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ssignment\"/>
    </mc:Choice>
  </mc:AlternateContent>
  <xr:revisionPtr revIDLastSave="0" documentId="13_ncr:1_{C2A9E2F0-2C1E-46F4-BAD4-1EA4E6639C2D}" xr6:coauthVersionLast="47" xr6:coauthVersionMax="47" xr10:uidLastSave="{00000000-0000-0000-0000-000000000000}"/>
  <bookViews>
    <workbookView xWindow="-110" yWindow="-110" windowWidth="19420" windowHeight="11500" firstSheet="1" activeTab="2" xr2:uid="{00000000-000D-0000-FFFF-FFFF00000000}"/>
  </bookViews>
  <sheets>
    <sheet name="30 Days Logical Raw Data" sheetId="1" r:id="rId1"/>
    <sheet name="Cleaned Dataset&amp;MIS" sheetId="2" r:id="rId2"/>
    <sheet name="Pivot Table" sheetId="4" r:id="rId3"/>
  </sheets>
  <definedNames>
    <definedName name="Slicer_Branch">#N/A</definedName>
    <definedName name="Slicer_Model">#N/A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2" i="2"/>
  <c r="L3" i="2" l="1"/>
  <c r="O3" i="2"/>
  <c r="P3" i="2" s="1"/>
  <c r="L4" i="2"/>
  <c r="O4" i="2"/>
  <c r="P4" i="2" s="1"/>
  <c r="L5" i="2"/>
  <c r="O5" i="2"/>
  <c r="P5" i="2" s="1"/>
  <c r="L6" i="2"/>
  <c r="O6" i="2"/>
  <c r="P6" i="2" s="1"/>
  <c r="L7" i="2"/>
  <c r="O7" i="2"/>
  <c r="P7" i="2" s="1"/>
  <c r="L8" i="2"/>
  <c r="O8" i="2"/>
  <c r="P8" i="2" s="1"/>
  <c r="L9" i="2"/>
  <c r="O9" i="2"/>
  <c r="P9" i="2" s="1"/>
  <c r="L10" i="2"/>
  <c r="O10" i="2"/>
  <c r="P10" i="2" s="1"/>
  <c r="L11" i="2"/>
  <c r="O11" i="2"/>
  <c r="P11" i="2" s="1"/>
  <c r="O12" i="2"/>
  <c r="P12" i="2" s="1"/>
  <c r="L12" i="2"/>
  <c r="L13" i="2"/>
  <c r="O13" i="2"/>
  <c r="P13" i="2" s="1"/>
  <c r="O14" i="2"/>
  <c r="P14" i="2" s="1"/>
  <c r="L14" i="2"/>
  <c r="O15" i="2"/>
  <c r="P15" i="2" s="1"/>
  <c r="L15" i="2"/>
  <c r="O16" i="2"/>
  <c r="P16" i="2" s="1"/>
  <c r="L16" i="2"/>
  <c r="L17" i="2"/>
  <c r="O17" i="2"/>
  <c r="P17" i="2" s="1"/>
  <c r="O18" i="2"/>
  <c r="P18" i="2" s="1"/>
  <c r="L18" i="2"/>
  <c r="O19" i="2"/>
  <c r="P19" i="2" s="1"/>
  <c r="L19" i="2"/>
  <c r="O20" i="2"/>
  <c r="P20" i="2" s="1"/>
  <c r="L20" i="2"/>
  <c r="O21" i="2"/>
  <c r="P21" i="2" s="1"/>
  <c r="L21" i="2"/>
  <c r="O22" i="2"/>
  <c r="P22" i="2" s="1"/>
  <c r="L22" i="2"/>
  <c r="O23" i="2"/>
  <c r="P23" i="2" s="1"/>
  <c r="L23" i="2"/>
  <c r="O24" i="2"/>
  <c r="P24" i="2" s="1"/>
  <c r="L24" i="2"/>
  <c r="O25" i="2"/>
  <c r="P25" i="2" s="1"/>
  <c r="L25" i="2"/>
  <c r="L26" i="2"/>
  <c r="O26" i="2"/>
  <c r="P26" i="2" s="1"/>
  <c r="O27" i="2"/>
  <c r="P27" i="2" s="1"/>
  <c r="L27" i="2"/>
  <c r="L28" i="2"/>
  <c r="O28" i="2"/>
  <c r="P28" i="2" s="1"/>
  <c r="L29" i="2"/>
  <c r="O29" i="2"/>
  <c r="P29" i="2" s="1"/>
  <c r="L30" i="2"/>
  <c r="O30" i="2"/>
  <c r="P30" i="2" s="1"/>
  <c r="L31" i="2"/>
  <c r="O31" i="2"/>
  <c r="P31" i="2" s="1"/>
  <c r="O32" i="2"/>
  <c r="P32" i="2" s="1"/>
  <c r="L32" i="2"/>
  <c r="L33" i="2"/>
  <c r="O33" i="2"/>
  <c r="P33" i="2" s="1"/>
  <c r="O34" i="2"/>
  <c r="P34" i="2" s="1"/>
  <c r="L34" i="2"/>
  <c r="L35" i="2"/>
  <c r="O35" i="2"/>
  <c r="P35" i="2" s="1"/>
  <c r="O36" i="2"/>
  <c r="P36" i="2" s="1"/>
  <c r="L36" i="2"/>
  <c r="L37" i="2"/>
  <c r="O37" i="2"/>
  <c r="P37" i="2" s="1"/>
  <c r="L38" i="2"/>
  <c r="O38" i="2"/>
  <c r="P38" i="2" s="1"/>
  <c r="O39" i="2"/>
  <c r="P39" i="2" s="1"/>
  <c r="L39" i="2"/>
  <c r="L40" i="2"/>
  <c r="O40" i="2"/>
  <c r="P40" i="2" s="1"/>
  <c r="L41" i="2"/>
  <c r="O41" i="2"/>
  <c r="P41" i="2" s="1"/>
  <c r="O42" i="2"/>
  <c r="P42" i="2" s="1"/>
  <c r="L42" i="2"/>
  <c r="L43" i="2"/>
  <c r="O43" i="2"/>
  <c r="P43" i="2" s="1"/>
  <c r="O44" i="2"/>
  <c r="P44" i="2" s="1"/>
  <c r="L44" i="2"/>
  <c r="L45" i="2"/>
  <c r="O45" i="2"/>
  <c r="P45" i="2" s="1"/>
  <c r="L46" i="2"/>
  <c r="O46" i="2"/>
  <c r="P46" i="2" s="1"/>
  <c r="O47" i="2"/>
  <c r="P47" i="2" s="1"/>
  <c r="L47" i="2"/>
  <c r="L48" i="2"/>
  <c r="O48" i="2"/>
  <c r="P48" i="2" s="1"/>
  <c r="O49" i="2"/>
  <c r="P49" i="2" s="1"/>
  <c r="L49" i="2"/>
  <c r="L50" i="2"/>
  <c r="O50" i="2"/>
  <c r="P50" i="2" s="1"/>
  <c r="L51" i="2"/>
  <c r="O51" i="2"/>
  <c r="P51" i="2" s="1"/>
  <c r="L52" i="2"/>
  <c r="O52" i="2"/>
  <c r="P52" i="2" s="1"/>
  <c r="L53" i="2"/>
  <c r="O53" i="2"/>
  <c r="P53" i="2" s="1"/>
  <c r="L54" i="2"/>
  <c r="O54" i="2"/>
  <c r="P54" i="2" s="1"/>
  <c r="O55" i="2"/>
  <c r="P55" i="2" s="1"/>
  <c r="L55" i="2"/>
  <c r="L56" i="2"/>
  <c r="O56" i="2"/>
  <c r="P56" i="2" s="1"/>
  <c r="L57" i="2"/>
  <c r="O57" i="2"/>
  <c r="P57" i="2" s="1"/>
  <c r="O58" i="2"/>
  <c r="P58" i="2" s="1"/>
  <c r="L58" i="2"/>
  <c r="O59" i="2"/>
  <c r="P59" i="2" s="1"/>
  <c r="L59" i="2"/>
  <c r="O60" i="2"/>
  <c r="P60" i="2" s="1"/>
  <c r="L60" i="2"/>
  <c r="L61" i="2"/>
  <c r="O61" i="2"/>
  <c r="P61" i="2" s="1"/>
  <c r="O62" i="2"/>
  <c r="P62" i="2" s="1"/>
  <c r="L62" i="2"/>
  <c r="O63" i="2"/>
  <c r="P63" i="2" s="1"/>
  <c r="L63" i="2"/>
  <c r="L64" i="2"/>
  <c r="O64" i="2"/>
  <c r="P64" i="2" s="1"/>
  <c r="O65" i="2"/>
  <c r="P65" i="2" s="1"/>
  <c r="L65" i="2"/>
  <c r="L66" i="2"/>
  <c r="O66" i="2"/>
  <c r="P66" i="2" s="1"/>
  <c r="L67" i="2"/>
  <c r="O67" i="2"/>
  <c r="P67" i="2" s="1"/>
  <c r="O68" i="2"/>
  <c r="P68" i="2" s="1"/>
  <c r="L68" i="2"/>
  <c r="L69" i="2"/>
  <c r="O69" i="2"/>
  <c r="P69" i="2" s="1"/>
  <c r="O70" i="2"/>
  <c r="P70" i="2" s="1"/>
  <c r="L70" i="2"/>
  <c r="L71" i="2"/>
  <c r="O71" i="2"/>
  <c r="P71" i="2" s="1"/>
  <c r="L72" i="2"/>
  <c r="O72" i="2"/>
  <c r="P72" i="2" s="1"/>
  <c r="L73" i="2"/>
  <c r="O73" i="2"/>
  <c r="P73" i="2" s="1"/>
  <c r="L74" i="2"/>
  <c r="O74" i="2"/>
  <c r="P74" i="2" s="1"/>
  <c r="O75" i="2"/>
  <c r="P75" i="2" s="1"/>
  <c r="L75" i="2"/>
  <c r="L76" i="2"/>
  <c r="O76" i="2"/>
  <c r="P76" i="2" s="1"/>
  <c r="L77" i="2"/>
  <c r="O77" i="2"/>
  <c r="P77" i="2" s="1"/>
  <c r="O78" i="2"/>
  <c r="P78" i="2" s="1"/>
  <c r="L78" i="2"/>
  <c r="L79" i="2"/>
  <c r="O79" i="2"/>
  <c r="P79" i="2" s="1"/>
  <c r="O80" i="2"/>
  <c r="P80" i="2" s="1"/>
  <c r="L80" i="2"/>
  <c r="L81" i="2"/>
  <c r="O81" i="2"/>
  <c r="P81" i="2" s="1"/>
  <c r="O82" i="2"/>
  <c r="P82" i="2" s="1"/>
  <c r="L82" i="2"/>
  <c r="O83" i="2"/>
  <c r="P83" i="2" s="1"/>
  <c r="L83" i="2"/>
  <c r="L84" i="2"/>
  <c r="O84" i="2"/>
  <c r="P84" i="2" s="1"/>
  <c r="L85" i="2"/>
  <c r="O85" i="2"/>
  <c r="P85" i="2" s="1"/>
  <c r="L86" i="2"/>
  <c r="O86" i="2"/>
  <c r="P86" i="2" s="1"/>
  <c r="L87" i="2"/>
  <c r="O87" i="2"/>
  <c r="P87" i="2" s="1"/>
  <c r="L88" i="2"/>
  <c r="O88" i="2"/>
  <c r="P88" i="2" s="1"/>
  <c r="L89" i="2"/>
  <c r="O89" i="2"/>
  <c r="P89" i="2" s="1"/>
  <c r="L90" i="2"/>
  <c r="O90" i="2"/>
  <c r="P90" i="2" s="1"/>
  <c r="L91" i="2"/>
  <c r="O91" i="2"/>
  <c r="P91" i="2" s="1"/>
  <c r="L92" i="2"/>
  <c r="O92" i="2"/>
  <c r="P92" i="2" s="1"/>
  <c r="L93" i="2"/>
  <c r="O93" i="2"/>
  <c r="P93" i="2" s="1"/>
  <c r="O94" i="2"/>
  <c r="P94" i="2" s="1"/>
  <c r="L94" i="2"/>
  <c r="O95" i="2"/>
  <c r="P95" i="2" s="1"/>
  <c r="L95" i="2"/>
  <c r="O96" i="2"/>
  <c r="P96" i="2" s="1"/>
  <c r="L96" i="2"/>
  <c r="O97" i="2"/>
  <c r="P97" i="2" s="1"/>
  <c r="L97" i="2"/>
  <c r="L98" i="2"/>
  <c r="O98" i="2"/>
  <c r="P98" i="2" s="1"/>
  <c r="L99" i="2"/>
  <c r="O99" i="2"/>
  <c r="P99" i="2" s="1"/>
  <c r="L100" i="2"/>
  <c r="O100" i="2"/>
  <c r="P100" i="2" s="1"/>
  <c r="L101" i="2"/>
  <c r="O101" i="2"/>
  <c r="P101" i="2" s="1"/>
  <c r="O102" i="2"/>
  <c r="P102" i="2" s="1"/>
  <c r="L102" i="2"/>
  <c r="L103" i="2"/>
  <c r="O103" i="2"/>
  <c r="P103" i="2" s="1"/>
  <c r="L104" i="2"/>
  <c r="O104" i="2"/>
  <c r="P104" i="2" s="1"/>
  <c r="L105" i="2"/>
  <c r="O105" i="2"/>
  <c r="P105" i="2" s="1"/>
  <c r="L106" i="2"/>
  <c r="O106" i="2"/>
  <c r="P106" i="2" s="1"/>
  <c r="L107" i="2"/>
  <c r="O107" i="2"/>
  <c r="P107" i="2" s="1"/>
  <c r="O108" i="2"/>
  <c r="P108" i="2" s="1"/>
  <c r="L108" i="2"/>
  <c r="L109" i="2"/>
  <c r="O109" i="2"/>
  <c r="P109" i="2" s="1"/>
  <c r="L110" i="2"/>
  <c r="O110" i="2"/>
  <c r="P110" i="2" s="1"/>
  <c r="L111" i="2"/>
  <c r="O111" i="2"/>
  <c r="P111" i="2" s="1"/>
  <c r="L112" i="2"/>
  <c r="O112" i="2"/>
  <c r="P112" i="2" s="1"/>
  <c r="O113" i="2"/>
  <c r="P113" i="2" s="1"/>
  <c r="L113" i="2"/>
  <c r="L114" i="2"/>
  <c r="O114" i="2"/>
  <c r="P114" i="2" s="1"/>
  <c r="L115" i="2"/>
  <c r="O115" i="2"/>
  <c r="P115" i="2" s="1"/>
  <c r="O116" i="2"/>
  <c r="P116" i="2" s="1"/>
  <c r="L116" i="2"/>
  <c r="O117" i="2"/>
  <c r="P117" i="2" s="1"/>
  <c r="L117" i="2"/>
  <c r="L118" i="2"/>
  <c r="O118" i="2"/>
  <c r="P118" i="2" s="1"/>
  <c r="O119" i="2"/>
  <c r="P119" i="2" s="1"/>
  <c r="L119" i="2"/>
  <c r="L120" i="2"/>
  <c r="O120" i="2"/>
  <c r="P120" i="2" s="1"/>
  <c r="O121" i="2"/>
  <c r="P121" i="2" s="1"/>
  <c r="L121" i="2"/>
  <c r="O122" i="2"/>
  <c r="P122" i="2" s="1"/>
  <c r="L122" i="2"/>
  <c r="L123" i="2"/>
  <c r="O123" i="2"/>
  <c r="P123" i="2" s="1"/>
  <c r="O124" i="2"/>
  <c r="P124" i="2" s="1"/>
  <c r="L124" i="2"/>
  <c r="O125" i="2"/>
  <c r="P125" i="2" s="1"/>
  <c r="L125" i="2"/>
  <c r="O126" i="2"/>
  <c r="P126" i="2" s="1"/>
  <c r="L126" i="2"/>
  <c r="L127" i="2"/>
  <c r="O127" i="2"/>
  <c r="P127" i="2" s="1"/>
  <c r="O128" i="2"/>
  <c r="P128" i="2" s="1"/>
  <c r="L128" i="2"/>
  <c r="O129" i="2"/>
  <c r="P129" i="2" s="1"/>
  <c r="L129" i="2"/>
  <c r="O130" i="2"/>
  <c r="P130" i="2" s="1"/>
  <c r="L130" i="2"/>
  <c r="O131" i="2"/>
  <c r="P131" i="2" s="1"/>
  <c r="L131" i="2"/>
  <c r="L132" i="2"/>
  <c r="O132" i="2"/>
  <c r="P132" i="2" s="1"/>
  <c r="O133" i="2"/>
  <c r="P133" i="2" s="1"/>
  <c r="L133" i="2"/>
  <c r="L134" i="2"/>
  <c r="O134" i="2"/>
  <c r="P134" i="2" s="1"/>
  <c r="O135" i="2"/>
  <c r="P135" i="2" s="1"/>
  <c r="L135" i="2"/>
  <c r="O136" i="2"/>
  <c r="P136" i="2" s="1"/>
  <c r="L136" i="2"/>
  <c r="O137" i="2"/>
  <c r="P137" i="2" s="1"/>
  <c r="L137" i="2"/>
  <c r="O138" i="2"/>
  <c r="P138" i="2" s="1"/>
  <c r="L138" i="2"/>
  <c r="O139" i="2"/>
  <c r="P139" i="2" s="1"/>
  <c r="L139" i="2"/>
  <c r="O140" i="2"/>
  <c r="P140" i="2" s="1"/>
  <c r="L140" i="2"/>
  <c r="O141" i="2"/>
  <c r="P141" i="2" s="1"/>
  <c r="L141" i="2"/>
  <c r="O142" i="2"/>
  <c r="P142" i="2" s="1"/>
  <c r="L142" i="2"/>
  <c r="O143" i="2"/>
  <c r="P143" i="2" s="1"/>
  <c r="L143" i="2"/>
  <c r="L144" i="2"/>
  <c r="O144" i="2"/>
  <c r="P144" i="2" s="1"/>
  <c r="L145" i="2"/>
  <c r="O145" i="2"/>
  <c r="P145" i="2" s="1"/>
  <c r="O146" i="2"/>
  <c r="P146" i="2" s="1"/>
  <c r="L146" i="2"/>
  <c r="O147" i="2"/>
  <c r="P147" i="2" s="1"/>
  <c r="L147" i="2"/>
  <c r="O148" i="2"/>
  <c r="P148" i="2" s="1"/>
  <c r="L148" i="2"/>
  <c r="L149" i="2"/>
  <c r="O149" i="2"/>
  <c r="P149" i="2" s="1"/>
  <c r="O150" i="2"/>
  <c r="P150" i="2" s="1"/>
  <c r="L150" i="2"/>
  <c r="O151" i="2"/>
  <c r="P151" i="2" s="1"/>
  <c r="L151" i="2"/>
  <c r="L152" i="2"/>
  <c r="O152" i="2"/>
  <c r="P152" i="2" s="1"/>
  <c r="L153" i="2"/>
  <c r="O153" i="2"/>
  <c r="P153" i="2" s="1"/>
  <c r="L154" i="2"/>
  <c r="O154" i="2"/>
  <c r="P154" i="2" s="1"/>
  <c r="L155" i="2"/>
  <c r="O155" i="2"/>
  <c r="P155" i="2" s="1"/>
  <c r="L156" i="2"/>
  <c r="O156" i="2"/>
  <c r="P156" i="2" s="1"/>
  <c r="O157" i="2"/>
  <c r="P157" i="2" s="1"/>
  <c r="L157" i="2"/>
  <c r="O158" i="2"/>
  <c r="P158" i="2" s="1"/>
  <c r="L158" i="2"/>
  <c r="L159" i="2"/>
  <c r="O159" i="2"/>
  <c r="P159" i="2" s="1"/>
  <c r="L160" i="2"/>
  <c r="O160" i="2"/>
  <c r="P160" i="2" s="1"/>
  <c r="O161" i="2"/>
  <c r="P161" i="2" s="1"/>
  <c r="L161" i="2"/>
  <c r="L162" i="2"/>
  <c r="O162" i="2"/>
  <c r="P162" i="2" s="1"/>
  <c r="L163" i="2"/>
  <c r="O163" i="2"/>
  <c r="P163" i="2" s="1"/>
  <c r="L164" i="2"/>
  <c r="O164" i="2"/>
  <c r="P164" i="2" s="1"/>
  <c r="L165" i="2"/>
  <c r="O165" i="2"/>
  <c r="P165" i="2" s="1"/>
  <c r="L166" i="2"/>
  <c r="O166" i="2"/>
  <c r="P166" i="2" s="1"/>
  <c r="L167" i="2"/>
  <c r="O167" i="2"/>
  <c r="P167" i="2" s="1"/>
  <c r="L168" i="2"/>
  <c r="O168" i="2"/>
  <c r="P168" i="2" s="1"/>
  <c r="L169" i="2"/>
  <c r="O169" i="2"/>
  <c r="P169" i="2" s="1"/>
  <c r="L170" i="2"/>
  <c r="O170" i="2"/>
  <c r="P170" i="2" s="1"/>
  <c r="L171" i="2"/>
  <c r="O171" i="2"/>
  <c r="P171" i="2" s="1"/>
  <c r="L172" i="2"/>
  <c r="O172" i="2"/>
  <c r="P172" i="2" s="1"/>
  <c r="L173" i="2"/>
  <c r="O173" i="2"/>
  <c r="P173" i="2" s="1"/>
  <c r="L174" i="2"/>
  <c r="O174" i="2"/>
  <c r="P174" i="2" s="1"/>
  <c r="L175" i="2"/>
  <c r="O175" i="2"/>
  <c r="P175" i="2" s="1"/>
  <c r="L176" i="2"/>
  <c r="O176" i="2"/>
  <c r="P176" i="2" s="1"/>
  <c r="L177" i="2"/>
  <c r="O177" i="2"/>
  <c r="P177" i="2" s="1"/>
  <c r="L178" i="2"/>
  <c r="O178" i="2"/>
  <c r="P178" i="2" s="1"/>
  <c r="L179" i="2"/>
  <c r="O179" i="2"/>
  <c r="P179" i="2" s="1"/>
  <c r="L180" i="2"/>
  <c r="O180" i="2"/>
  <c r="P180" i="2" s="1"/>
  <c r="L181" i="2"/>
  <c r="O181" i="2"/>
  <c r="P181" i="2" s="1"/>
  <c r="L182" i="2"/>
  <c r="O182" i="2"/>
  <c r="P182" i="2" s="1"/>
  <c r="L183" i="2"/>
  <c r="O183" i="2"/>
  <c r="P183" i="2" s="1"/>
  <c r="L184" i="2"/>
  <c r="O184" i="2"/>
  <c r="P184" i="2" s="1"/>
  <c r="L185" i="2"/>
  <c r="O185" i="2"/>
  <c r="P185" i="2" s="1"/>
  <c r="L186" i="2"/>
  <c r="O186" i="2"/>
  <c r="P186" i="2" s="1"/>
  <c r="O187" i="2"/>
  <c r="P187" i="2" s="1"/>
  <c r="L187" i="2"/>
  <c r="O188" i="2"/>
  <c r="P188" i="2" s="1"/>
  <c r="L188" i="2"/>
  <c r="O189" i="2"/>
  <c r="P189" i="2" s="1"/>
  <c r="L189" i="2"/>
  <c r="O190" i="2"/>
  <c r="P190" i="2" s="1"/>
  <c r="L190" i="2"/>
  <c r="O191" i="2"/>
  <c r="P191" i="2" s="1"/>
  <c r="L191" i="2"/>
  <c r="O192" i="2"/>
  <c r="P192" i="2" s="1"/>
  <c r="L192" i="2"/>
  <c r="O193" i="2"/>
  <c r="P193" i="2" s="1"/>
  <c r="L193" i="2"/>
  <c r="O194" i="2"/>
  <c r="P194" i="2" s="1"/>
  <c r="L194" i="2"/>
  <c r="O195" i="2"/>
  <c r="P195" i="2" s="1"/>
  <c r="L195" i="2"/>
  <c r="O196" i="2"/>
  <c r="P196" i="2" s="1"/>
  <c r="L196" i="2"/>
  <c r="O197" i="2"/>
  <c r="P197" i="2" s="1"/>
  <c r="L197" i="2"/>
  <c r="O198" i="2"/>
  <c r="P198" i="2" s="1"/>
  <c r="L198" i="2"/>
  <c r="L199" i="2"/>
  <c r="O199" i="2"/>
  <c r="P199" i="2" s="1"/>
  <c r="L200" i="2"/>
  <c r="O200" i="2"/>
  <c r="P200" i="2" s="1"/>
  <c r="L201" i="2"/>
  <c r="O201" i="2"/>
  <c r="P201" i="2" s="1"/>
  <c r="L202" i="2"/>
  <c r="O202" i="2"/>
  <c r="P202" i="2" s="1"/>
  <c r="L203" i="2"/>
  <c r="O203" i="2"/>
  <c r="P203" i="2" s="1"/>
  <c r="L204" i="2"/>
  <c r="O204" i="2"/>
  <c r="P204" i="2" s="1"/>
  <c r="L205" i="2"/>
  <c r="O205" i="2"/>
  <c r="P205" i="2" s="1"/>
  <c r="L206" i="2"/>
  <c r="O206" i="2"/>
  <c r="P206" i="2" s="1"/>
  <c r="L207" i="2"/>
  <c r="O207" i="2"/>
  <c r="P207" i="2" s="1"/>
  <c r="L208" i="2"/>
  <c r="O208" i="2"/>
  <c r="P208" i="2" s="1"/>
  <c r="L209" i="2"/>
  <c r="O209" i="2"/>
  <c r="P209" i="2" s="1"/>
  <c r="L210" i="2"/>
  <c r="O210" i="2"/>
  <c r="P210" i="2" s="1"/>
  <c r="L211" i="2"/>
  <c r="O211" i="2"/>
  <c r="P211" i="2" s="1"/>
  <c r="L212" i="2"/>
  <c r="O212" i="2"/>
  <c r="P212" i="2" s="1"/>
  <c r="L213" i="2"/>
  <c r="O213" i="2"/>
  <c r="P213" i="2" s="1"/>
  <c r="L214" i="2"/>
  <c r="O214" i="2"/>
  <c r="P214" i="2" s="1"/>
  <c r="L215" i="2"/>
  <c r="O215" i="2"/>
  <c r="P215" i="2" s="1"/>
  <c r="L216" i="2"/>
  <c r="O216" i="2"/>
  <c r="P216" i="2" s="1"/>
  <c r="L217" i="2"/>
  <c r="O217" i="2"/>
  <c r="P217" i="2" s="1"/>
  <c r="O218" i="2"/>
  <c r="P218" i="2" s="1"/>
  <c r="L218" i="2"/>
  <c r="L219" i="2"/>
  <c r="O219" i="2"/>
  <c r="P219" i="2" s="1"/>
  <c r="O220" i="2"/>
  <c r="P220" i="2" s="1"/>
  <c r="L220" i="2"/>
  <c r="O221" i="2"/>
  <c r="P221" i="2" s="1"/>
  <c r="L221" i="2"/>
  <c r="O222" i="2"/>
  <c r="P222" i="2" s="1"/>
  <c r="L222" i="2"/>
  <c r="O223" i="2"/>
  <c r="P223" i="2" s="1"/>
  <c r="L223" i="2"/>
  <c r="L224" i="2"/>
  <c r="O224" i="2"/>
  <c r="P224" i="2" s="1"/>
  <c r="L225" i="2"/>
  <c r="O225" i="2"/>
  <c r="P225" i="2" s="1"/>
  <c r="L226" i="2"/>
  <c r="O226" i="2"/>
  <c r="P226" i="2" s="1"/>
  <c r="L227" i="2"/>
  <c r="O227" i="2"/>
  <c r="P227" i="2" s="1"/>
  <c r="O228" i="2"/>
  <c r="P228" i="2" s="1"/>
  <c r="L228" i="2"/>
  <c r="O229" i="2"/>
  <c r="P229" i="2" s="1"/>
  <c r="L229" i="2"/>
  <c r="O230" i="2"/>
  <c r="P230" i="2" s="1"/>
  <c r="L230" i="2"/>
  <c r="O231" i="2"/>
  <c r="P231" i="2" s="1"/>
  <c r="L231" i="2"/>
  <c r="L232" i="2"/>
  <c r="O232" i="2"/>
  <c r="P232" i="2" s="1"/>
  <c r="L233" i="2"/>
  <c r="O233" i="2"/>
  <c r="P233" i="2" s="1"/>
  <c r="O234" i="2"/>
  <c r="P234" i="2" s="1"/>
  <c r="L234" i="2"/>
  <c r="L235" i="2"/>
  <c r="O235" i="2"/>
  <c r="P235" i="2" s="1"/>
  <c r="O236" i="2"/>
  <c r="P236" i="2" s="1"/>
  <c r="L236" i="2"/>
  <c r="O237" i="2"/>
  <c r="P237" i="2" s="1"/>
  <c r="L237" i="2"/>
  <c r="O238" i="2"/>
  <c r="P238" i="2" s="1"/>
  <c r="L238" i="2"/>
  <c r="O239" i="2"/>
  <c r="P239" i="2" s="1"/>
  <c r="L239" i="2"/>
  <c r="L240" i="2"/>
  <c r="O240" i="2"/>
  <c r="P240" i="2" s="1"/>
  <c r="L241" i="2"/>
  <c r="O241" i="2"/>
  <c r="P241" i="2" s="1"/>
  <c r="L242" i="2"/>
  <c r="O242" i="2"/>
  <c r="P242" i="2" s="1"/>
  <c r="O243" i="2"/>
  <c r="P243" i="2" s="1"/>
  <c r="L243" i="2"/>
  <c r="O244" i="2"/>
  <c r="P244" i="2" s="1"/>
  <c r="L244" i="2"/>
  <c r="L245" i="2"/>
  <c r="O245" i="2"/>
  <c r="P245" i="2" s="1"/>
  <c r="O246" i="2"/>
  <c r="P246" i="2" s="1"/>
  <c r="L246" i="2"/>
  <c r="L247" i="2"/>
  <c r="O247" i="2"/>
  <c r="P247" i="2" s="1"/>
  <c r="L248" i="2"/>
  <c r="O248" i="2"/>
  <c r="P248" i="2" s="1"/>
  <c r="L249" i="2"/>
  <c r="O249" i="2"/>
  <c r="P249" i="2" s="1"/>
  <c r="L250" i="2"/>
  <c r="O250" i="2"/>
  <c r="P250" i="2" s="1"/>
  <c r="L251" i="2"/>
  <c r="O251" i="2"/>
  <c r="P251" i="2" s="1"/>
  <c r="L252" i="2"/>
  <c r="O252" i="2"/>
  <c r="P252" i="2" s="1"/>
  <c r="O253" i="2"/>
  <c r="P253" i="2" s="1"/>
  <c r="L253" i="2"/>
  <c r="L254" i="2"/>
  <c r="O254" i="2"/>
  <c r="P254" i="2" s="1"/>
  <c r="L255" i="2"/>
  <c r="O255" i="2"/>
  <c r="P255" i="2" s="1"/>
  <c r="O256" i="2"/>
  <c r="P256" i="2" s="1"/>
  <c r="L256" i="2"/>
  <c r="O257" i="2"/>
  <c r="P257" i="2" s="1"/>
  <c r="L257" i="2"/>
  <c r="L258" i="2"/>
  <c r="O258" i="2"/>
  <c r="P258" i="2" s="1"/>
  <c r="O259" i="2"/>
  <c r="P259" i="2" s="1"/>
  <c r="L259" i="2"/>
  <c r="O260" i="2"/>
  <c r="P260" i="2" s="1"/>
  <c r="L260" i="2"/>
  <c r="O261" i="2"/>
  <c r="P261" i="2" s="1"/>
  <c r="L261" i="2"/>
  <c r="O262" i="2"/>
  <c r="P262" i="2" s="1"/>
  <c r="L262" i="2"/>
  <c r="O263" i="2"/>
  <c r="P263" i="2" s="1"/>
  <c r="L263" i="2"/>
  <c r="O264" i="2"/>
  <c r="P264" i="2" s="1"/>
  <c r="L264" i="2"/>
  <c r="O265" i="2"/>
  <c r="P265" i="2" s="1"/>
  <c r="L265" i="2"/>
  <c r="L266" i="2"/>
  <c r="O266" i="2"/>
  <c r="P266" i="2" s="1"/>
  <c r="L267" i="2"/>
  <c r="O267" i="2"/>
  <c r="P267" i="2" s="1"/>
  <c r="O268" i="2"/>
  <c r="P268" i="2" s="1"/>
  <c r="L268" i="2"/>
  <c r="O269" i="2"/>
  <c r="P269" i="2" s="1"/>
  <c r="L269" i="2"/>
  <c r="O270" i="2"/>
  <c r="P270" i="2" s="1"/>
  <c r="L270" i="2"/>
  <c r="O271" i="2"/>
  <c r="P271" i="2" s="1"/>
  <c r="L271" i="2"/>
  <c r="O272" i="2"/>
  <c r="P272" i="2" s="1"/>
  <c r="L272" i="2"/>
  <c r="L273" i="2"/>
  <c r="O273" i="2"/>
  <c r="P273" i="2" s="1"/>
  <c r="L274" i="2"/>
  <c r="O274" i="2"/>
  <c r="P274" i="2" s="1"/>
  <c r="O275" i="2"/>
  <c r="P275" i="2" s="1"/>
  <c r="L275" i="2"/>
  <c r="O276" i="2"/>
  <c r="P276" i="2" s="1"/>
  <c r="L276" i="2"/>
  <c r="O277" i="2"/>
  <c r="P277" i="2" s="1"/>
  <c r="L277" i="2"/>
  <c r="O278" i="2"/>
  <c r="P278" i="2" s="1"/>
  <c r="L278" i="2"/>
  <c r="O279" i="2"/>
  <c r="P279" i="2" s="1"/>
  <c r="L279" i="2"/>
  <c r="O280" i="2"/>
  <c r="P280" i="2" s="1"/>
  <c r="L280" i="2"/>
  <c r="L281" i="2"/>
  <c r="O281" i="2"/>
  <c r="P281" i="2" s="1"/>
  <c r="L282" i="2"/>
  <c r="O282" i="2"/>
  <c r="P282" i="2" s="1"/>
  <c r="L283" i="2"/>
  <c r="O283" i="2"/>
  <c r="P283" i="2" s="1"/>
  <c r="L284" i="2"/>
  <c r="O284" i="2"/>
  <c r="P284" i="2" s="1"/>
  <c r="L285" i="2"/>
  <c r="O285" i="2"/>
  <c r="P285" i="2" s="1"/>
  <c r="L286" i="2"/>
  <c r="O286" i="2"/>
  <c r="P286" i="2" s="1"/>
  <c r="O287" i="2"/>
  <c r="P287" i="2" s="1"/>
  <c r="L287" i="2"/>
  <c r="O288" i="2"/>
  <c r="P288" i="2" s="1"/>
  <c r="L288" i="2"/>
  <c r="O289" i="2"/>
  <c r="P289" i="2" s="1"/>
  <c r="L289" i="2"/>
  <c r="O290" i="2"/>
  <c r="P290" i="2" s="1"/>
  <c r="L290" i="2"/>
  <c r="L291" i="2"/>
  <c r="O291" i="2"/>
  <c r="P291" i="2" s="1"/>
  <c r="O292" i="2"/>
  <c r="P292" i="2" s="1"/>
  <c r="L292" i="2"/>
  <c r="O293" i="2"/>
  <c r="P293" i="2" s="1"/>
  <c r="L293" i="2"/>
  <c r="O294" i="2"/>
  <c r="P294" i="2" s="1"/>
  <c r="L294" i="2"/>
  <c r="O295" i="2"/>
  <c r="P295" i="2" s="1"/>
  <c r="L295" i="2"/>
  <c r="L296" i="2"/>
  <c r="O296" i="2"/>
  <c r="P296" i="2" s="1"/>
  <c r="O297" i="2"/>
  <c r="P297" i="2" s="1"/>
  <c r="L297" i="2"/>
  <c r="L298" i="2"/>
  <c r="O298" i="2"/>
  <c r="P298" i="2" s="1"/>
  <c r="O299" i="2"/>
  <c r="P299" i="2" s="1"/>
  <c r="L299" i="2"/>
  <c r="O300" i="2"/>
  <c r="P300" i="2" s="1"/>
  <c r="L300" i="2"/>
  <c r="O301" i="2"/>
  <c r="P301" i="2" s="1"/>
  <c r="L301" i="2"/>
  <c r="L302" i="2"/>
  <c r="O302" i="2"/>
  <c r="P302" i="2" s="1"/>
  <c r="O303" i="2"/>
  <c r="P303" i="2" s="1"/>
  <c r="L303" i="2"/>
  <c r="L304" i="2"/>
  <c r="O304" i="2"/>
  <c r="P304" i="2" s="1"/>
  <c r="O305" i="2"/>
  <c r="P305" i="2" s="1"/>
  <c r="L305" i="2"/>
  <c r="L306" i="2"/>
  <c r="O306" i="2"/>
  <c r="P306" i="2" s="1"/>
  <c r="L307" i="2"/>
  <c r="O307" i="2"/>
  <c r="P307" i="2" s="1"/>
  <c r="L308" i="2"/>
  <c r="O308" i="2"/>
  <c r="P308" i="2" s="1"/>
  <c r="L309" i="2"/>
  <c r="O309" i="2"/>
  <c r="P309" i="2" s="1"/>
  <c r="L310" i="2"/>
  <c r="O310" i="2"/>
  <c r="P310" i="2" s="1"/>
  <c r="L311" i="2"/>
  <c r="O311" i="2"/>
  <c r="P311" i="2" s="1"/>
  <c r="L312" i="2"/>
  <c r="O312" i="2"/>
  <c r="P312" i="2" s="1"/>
  <c r="O313" i="2"/>
  <c r="P313" i="2" s="1"/>
  <c r="L313" i="2"/>
  <c r="O314" i="2"/>
  <c r="P314" i="2" s="1"/>
  <c r="L314" i="2"/>
  <c r="O315" i="2"/>
  <c r="P315" i="2" s="1"/>
  <c r="L315" i="2"/>
  <c r="O316" i="2"/>
  <c r="P316" i="2" s="1"/>
  <c r="L316" i="2"/>
  <c r="O317" i="2"/>
  <c r="P317" i="2" s="1"/>
  <c r="L317" i="2"/>
  <c r="O318" i="2"/>
  <c r="P318" i="2" s="1"/>
  <c r="L318" i="2"/>
  <c r="L319" i="2"/>
  <c r="O319" i="2"/>
  <c r="P319" i="2" s="1"/>
  <c r="L320" i="2"/>
  <c r="O320" i="2"/>
  <c r="P320" i="2" s="1"/>
  <c r="O321" i="2"/>
  <c r="P321" i="2" s="1"/>
  <c r="L321" i="2"/>
  <c r="L322" i="2"/>
  <c r="O322" i="2"/>
  <c r="P322" i="2" s="1"/>
  <c r="O323" i="2"/>
  <c r="P323" i="2" s="1"/>
  <c r="L323" i="2"/>
  <c r="L324" i="2"/>
  <c r="O324" i="2"/>
  <c r="P324" i="2" s="1"/>
  <c r="O325" i="2"/>
  <c r="P325" i="2" s="1"/>
  <c r="L325" i="2"/>
  <c r="O326" i="2"/>
  <c r="P326" i="2" s="1"/>
  <c r="L326" i="2"/>
  <c r="O327" i="2"/>
  <c r="P327" i="2" s="1"/>
  <c r="L327" i="2"/>
  <c r="O328" i="2"/>
  <c r="P328" i="2" s="1"/>
  <c r="L328" i="2"/>
  <c r="L329" i="2"/>
  <c r="O329" i="2"/>
  <c r="P329" i="2" s="1"/>
  <c r="O330" i="2"/>
  <c r="P330" i="2" s="1"/>
  <c r="L330" i="2"/>
  <c r="O331" i="2"/>
  <c r="P331" i="2" s="1"/>
  <c r="L331" i="2"/>
  <c r="O332" i="2"/>
  <c r="P332" i="2" s="1"/>
  <c r="L332" i="2"/>
  <c r="O333" i="2"/>
  <c r="P333" i="2" s="1"/>
  <c r="L333" i="2"/>
  <c r="L334" i="2"/>
  <c r="O334" i="2"/>
  <c r="P334" i="2" s="1"/>
  <c r="L335" i="2"/>
  <c r="O335" i="2"/>
  <c r="P335" i="2" s="1"/>
  <c r="L336" i="2"/>
  <c r="O336" i="2"/>
  <c r="P336" i="2" s="1"/>
  <c r="L337" i="2"/>
  <c r="O337" i="2"/>
  <c r="P337" i="2" s="1"/>
  <c r="O338" i="2"/>
  <c r="P338" i="2" s="1"/>
  <c r="L338" i="2"/>
  <c r="O339" i="2"/>
  <c r="P339" i="2" s="1"/>
  <c r="L339" i="2"/>
  <c r="L340" i="2"/>
  <c r="O340" i="2"/>
  <c r="P340" i="2" s="1"/>
  <c r="L341" i="2"/>
  <c r="O341" i="2"/>
  <c r="P341" i="2" s="1"/>
  <c r="O342" i="2"/>
  <c r="P342" i="2" s="1"/>
  <c r="L342" i="2"/>
  <c r="L343" i="2"/>
  <c r="O343" i="2"/>
  <c r="P343" i="2" s="1"/>
  <c r="L344" i="2"/>
  <c r="O344" i="2"/>
  <c r="P344" i="2" s="1"/>
  <c r="L345" i="2"/>
  <c r="O345" i="2"/>
  <c r="P345" i="2" s="1"/>
  <c r="L346" i="2"/>
  <c r="O346" i="2"/>
  <c r="P346" i="2" s="1"/>
  <c r="O347" i="2"/>
  <c r="P347" i="2" s="1"/>
  <c r="L347" i="2"/>
  <c r="O348" i="2"/>
  <c r="P348" i="2" s="1"/>
  <c r="L348" i="2"/>
  <c r="O349" i="2"/>
  <c r="P349" i="2" s="1"/>
  <c r="L349" i="2"/>
  <c r="L350" i="2"/>
  <c r="O350" i="2"/>
  <c r="P350" i="2" s="1"/>
  <c r="L351" i="2"/>
  <c r="O351" i="2"/>
  <c r="P351" i="2" s="1"/>
  <c r="O352" i="2"/>
  <c r="P352" i="2" s="1"/>
  <c r="L352" i="2"/>
  <c r="L353" i="2"/>
  <c r="O353" i="2"/>
  <c r="P353" i="2" s="1"/>
  <c r="L354" i="2"/>
  <c r="O354" i="2"/>
  <c r="P354" i="2" s="1"/>
  <c r="L355" i="2"/>
  <c r="O355" i="2"/>
  <c r="P355" i="2" s="1"/>
  <c r="L356" i="2"/>
  <c r="O356" i="2"/>
  <c r="P356" i="2" s="1"/>
  <c r="L357" i="2"/>
  <c r="O357" i="2"/>
  <c r="P357" i="2" s="1"/>
  <c r="O358" i="2"/>
  <c r="P358" i="2" s="1"/>
  <c r="L358" i="2"/>
  <c r="L359" i="2"/>
  <c r="O359" i="2"/>
  <c r="P359" i="2" s="1"/>
  <c r="O360" i="2"/>
  <c r="P360" i="2" s="1"/>
  <c r="L360" i="2"/>
  <c r="O361" i="2"/>
  <c r="P361" i="2" s="1"/>
  <c r="L361" i="2"/>
  <c r="O362" i="2"/>
  <c r="P362" i="2" s="1"/>
  <c r="L362" i="2"/>
  <c r="O363" i="2"/>
  <c r="P363" i="2" s="1"/>
  <c r="L363" i="2"/>
  <c r="O364" i="2"/>
  <c r="P364" i="2" s="1"/>
  <c r="L364" i="2"/>
  <c r="O365" i="2"/>
  <c r="P365" i="2" s="1"/>
  <c r="L365" i="2"/>
  <c r="O366" i="2"/>
  <c r="P366" i="2" s="1"/>
  <c r="L366" i="2"/>
  <c r="O367" i="2"/>
  <c r="P367" i="2" s="1"/>
  <c r="L367" i="2"/>
  <c r="O368" i="2"/>
  <c r="P368" i="2" s="1"/>
  <c r="L368" i="2"/>
  <c r="L369" i="2"/>
  <c r="O369" i="2"/>
  <c r="P369" i="2" s="1"/>
  <c r="O370" i="2"/>
  <c r="P370" i="2" s="1"/>
  <c r="L370" i="2"/>
  <c r="O371" i="2"/>
  <c r="P371" i="2" s="1"/>
  <c r="L371" i="2"/>
  <c r="L372" i="2"/>
  <c r="O372" i="2"/>
  <c r="P372" i="2" s="1"/>
  <c r="L373" i="2"/>
  <c r="O373" i="2"/>
  <c r="P373" i="2" s="1"/>
  <c r="O374" i="2"/>
  <c r="P374" i="2" s="1"/>
  <c r="L374" i="2"/>
  <c r="L375" i="2"/>
  <c r="O375" i="2"/>
  <c r="P375" i="2" s="1"/>
  <c r="L376" i="2"/>
  <c r="O376" i="2"/>
  <c r="P376" i="2" s="1"/>
  <c r="L377" i="2"/>
  <c r="O377" i="2"/>
  <c r="P377" i="2" s="1"/>
  <c r="L378" i="2"/>
  <c r="O378" i="2"/>
  <c r="P378" i="2" s="1"/>
  <c r="L379" i="2"/>
  <c r="O379" i="2"/>
  <c r="P379" i="2" s="1"/>
  <c r="L380" i="2"/>
  <c r="O380" i="2"/>
  <c r="P380" i="2" s="1"/>
  <c r="L381" i="2"/>
  <c r="O381" i="2"/>
  <c r="P381" i="2" s="1"/>
  <c r="O382" i="2"/>
  <c r="P382" i="2" s="1"/>
  <c r="L382" i="2"/>
  <c r="L383" i="2"/>
  <c r="O383" i="2"/>
  <c r="P383" i="2" s="1"/>
  <c r="L384" i="2"/>
  <c r="O384" i="2"/>
  <c r="P384" i="2" s="1"/>
  <c r="L385" i="2"/>
  <c r="O385" i="2"/>
  <c r="P385" i="2" s="1"/>
  <c r="L386" i="2"/>
  <c r="O386" i="2"/>
  <c r="P386" i="2" s="1"/>
  <c r="L387" i="2"/>
  <c r="O387" i="2"/>
  <c r="P387" i="2" s="1"/>
  <c r="L388" i="2"/>
  <c r="O388" i="2"/>
  <c r="P388" i="2" s="1"/>
  <c r="L389" i="2"/>
  <c r="O389" i="2"/>
  <c r="P389" i="2" s="1"/>
  <c r="L390" i="2"/>
  <c r="O390" i="2"/>
  <c r="P390" i="2" s="1"/>
  <c r="O391" i="2"/>
  <c r="P391" i="2" s="1"/>
  <c r="L391" i="2"/>
  <c r="L392" i="2"/>
  <c r="O392" i="2"/>
  <c r="P392" i="2" s="1"/>
  <c r="O393" i="2"/>
  <c r="P393" i="2" s="1"/>
  <c r="L393" i="2"/>
  <c r="O394" i="2"/>
  <c r="P394" i="2" s="1"/>
  <c r="L394" i="2"/>
  <c r="O395" i="2"/>
  <c r="P395" i="2" s="1"/>
  <c r="L395" i="2"/>
  <c r="O396" i="2"/>
  <c r="P396" i="2" s="1"/>
  <c r="L396" i="2"/>
  <c r="L397" i="2"/>
  <c r="O397" i="2"/>
  <c r="P397" i="2" s="1"/>
  <c r="L398" i="2"/>
  <c r="O398" i="2"/>
  <c r="P398" i="2" s="1"/>
  <c r="L399" i="2"/>
  <c r="O399" i="2"/>
  <c r="P399" i="2" s="1"/>
  <c r="O400" i="2"/>
  <c r="P400" i="2" s="1"/>
  <c r="L400" i="2"/>
  <c r="O401" i="2"/>
  <c r="P401" i="2" s="1"/>
  <c r="L401" i="2"/>
  <c r="L402" i="2"/>
  <c r="O402" i="2"/>
  <c r="P402" i="2" s="1"/>
  <c r="O403" i="2"/>
  <c r="P403" i="2" s="1"/>
  <c r="L403" i="2"/>
  <c r="O404" i="2"/>
  <c r="P404" i="2" s="1"/>
  <c r="L404" i="2"/>
  <c r="L405" i="2"/>
  <c r="O405" i="2"/>
  <c r="P405" i="2" s="1"/>
  <c r="O406" i="2"/>
  <c r="P406" i="2" s="1"/>
  <c r="L406" i="2"/>
  <c r="L407" i="2"/>
  <c r="O407" i="2"/>
  <c r="P407" i="2" s="1"/>
  <c r="L408" i="2"/>
  <c r="O408" i="2"/>
  <c r="P408" i="2" s="1"/>
  <c r="L409" i="2"/>
  <c r="O409" i="2"/>
  <c r="P409" i="2" s="1"/>
  <c r="L410" i="2"/>
  <c r="O410" i="2"/>
  <c r="P410" i="2" s="1"/>
  <c r="L411" i="2"/>
  <c r="O411" i="2"/>
  <c r="P411" i="2" s="1"/>
  <c r="L412" i="2"/>
  <c r="O412" i="2"/>
  <c r="P412" i="2" s="1"/>
  <c r="O413" i="2"/>
  <c r="P413" i="2" s="1"/>
  <c r="L413" i="2"/>
  <c r="L414" i="2"/>
  <c r="O414" i="2"/>
  <c r="P414" i="2" s="1"/>
  <c r="L415" i="2"/>
  <c r="O415" i="2"/>
  <c r="P415" i="2" s="1"/>
  <c r="L416" i="2"/>
  <c r="O416" i="2"/>
  <c r="P416" i="2" s="1"/>
  <c r="L417" i="2"/>
  <c r="O417" i="2"/>
  <c r="P417" i="2" s="1"/>
  <c r="L418" i="2"/>
  <c r="O418" i="2"/>
  <c r="P418" i="2" s="1"/>
  <c r="O419" i="2"/>
  <c r="P419" i="2" s="1"/>
  <c r="L419" i="2"/>
  <c r="O420" i="2"/>
  <c r="P420" i="2" s="1"/>
  <c r="L420" i="2"/>
  <c r="O421" i="2"/>
  <c r="P421" i="2" s="1"/>
  <c r="L421" i="2"/>
  <c r="L422" i="2"/>
  <c r="O422" i="2"/>
  <c r="P422" i="2" s="1"/>
  <c r="O423" i="2"/>
  <c r="P423" i="2" s="1"/>
  <c r="L423" i="2"/>
  <c r="O424" i="2"/>
  <c r="P424" i="2" s="1"/>
  <c r="L424" i="2"/>
  <c r="O425" i="2"/>
  <c r="P425" i="2" s="1"/>
  <c r="L425" i="2"/>
  <c r="O426" i="2"/>
  <c r="P426" i="2" s="1"/>
  <c r="L426" i="2"/>
  <c r="O427" i="2"/>
  <c r="P427" i="2" s="1"/>
  <c r="L427" i="2"/>
  <c r="O428" i="2"/>
  <c r="P428" i="2" s="1"/>
  <c r="L428" i="2"/>
  <c r="O429" i="2"/>
  <c r="P429" i="2" s="1"/>
  <c r="L429" i="2"/>
  <c r="L430" i="2"/>
  <c r="O430" i="2"/>
  <c r="P430" i="2" s="1"/>
  <c r="O431" i="2"/>
  <c r="P431" i="2" s="1"/>
  <c r="L431" i="2"/>
  <c r="O432" i="2"/>
  <c r="P432" i="2" s="1"/>
  <c r="L432" i="2"/>
  <c r="O433" i="2"/>
  <c r="P433" i="2" s="1"/>
  <c r="L433" i="2"/>
  <c r="L434" i="2"/>
  <c r="O434" i="2"/>
  <c r="P434" i="2" s="1"/>
  <c r="O435" i="2"/>
  <c r="P435" i="2" s="1"/>
  <c r="L435" i="2"/>
  <c r="L436" i="2"/>
  <c r="O436" i="2"/>
  <c r="P436" i="2" s="1"/>
  <c r="O437" i="2"/>
  <c r="P437" i="2" s="1"/>
  <c r="L437" i="2"/>
  <c r="L438" i="2"/>
  <c r="O438" i="2"/>
  <c r="P438" i="2" s="1"/>
  <c r="L439" i="2"/>
  <c r="O439" i="2"/>
  <c r="P439" i="2" s="1"/>
  <c r="O440" i="2"/>
  <c r="P440" i="2" s="1"/>
  <c r="L440" i="2"/>
  <c r="O441" i="2"/>
  <c r="P441" i="2" s="1"/>
  <c r="L441" i="2"/>
  <c r="L442" i="2"/>
  <c r="O442" i="2"/>
  <c r="P442" i="2" s="1"/>
  <c r="O443" i="2"/>
  <c r="P443" i="2" s="1"/>
  <c r="L443" i="2"/>
  <c r="O444" i="2"/>
  <c r="P444" i="2" s="1"/>
  <c r="L444" i="2"/>
  <c r="O445" i="2"/>
  <c r="P445" i="2" s="1"/>
  <c r="L445" i="2"/>
  <c r="O446" i="2"/>
  <c r="P446" i="2" s="1"/>
  <c r="L446" i="2"/>
  <c r="L447" i="2"/>
  <c r="O447" i="2"/>
  <c r="P447" i="2" s="1"/>
  <c r="L448" i="2"/>
  <c r="O448" i="2"/>
  <c r="P448" i="2" s="1"/>
  <c r="L449" i="2"/>
  <c r="O449" i="2"/>
  <c r="P449" i="2" s="1"/>
  <c r="L450" i="2"/>
  <c r="O450" i="2"/>
  <c r="P450" i="2" s="1"/>
  <c r="L451" i="2"/>
  <c r="O451" i="2"/>
  <c r="P451" i="2" s="1"/>
  <c r="L452" i="2"/>
  <c r="O452" i="2"/>
  <c r="P452" i="2" s="1"/>
  <c r="O453" i="2"/>
  <c r="P453" i="2" s="1"/>
  <c r="L453" i="2"/>
  <c r="L454" i="2"/>
  <c r="O454" i="2"/>
  <c r="P454" i="2" s="1"/>
  <c r="L455" i="2"/>
  <c r="O455" i="2"/>
  <c r="P455" i="2" s="1"/>
  <c r="L456" i="2"/>
  <c r="O456" i="2"/>
  <c r="P456" i="2" s="1"/>
  <c r="L457" i="2"/>
  <c r="O457" i="2"/>
  <c r="P457" i="2" s="1"/>
  <c r="O458" i="2"/>
  <c r="P458" i="2" s="1"/>
  <c r="L458" i="2"/>
  <c r="L459" i="2"/>
  <c r="O459" i="2"/>
  <c r="P459" i="2" s="1"/>
  <c r="O460" i="2"/>
  <c r="P460" i="2" s="1"/>
  <c r="L460" i="2"/>
  <c r="L461" i="2"/>
  <c r="O461" i="2"/>
  <c r="P461" i="2" s="1"/>
  <c r="O462" i="2"/>
  <c r="P462" i="2" s="1"/>
  <c r="L462" i="2"/>
  <c r="O463" i="2"/>
  <c r="P463" i="2" s="1"/>
  <c r="L463" i="2"/>
  <c r="L464" i="2"/>
  <c r="O464" i="2"/>
  <c r="P464" i="2" s="1"/>
  <c r="L465" i="2"/>
  <c r="O465" i="2"/>
  <c r="P465" i="2" s="1"/>
  <c r="L466" i="2"/>
  <c r="O466" i="2"/>
  <c r="P466" i="2" s="1"/>
  <c r="L467" i="2"/>
  <c r="O467" i="2"/>
  <c r="P467" i="2" s="1"/>
  <c r="O468" i="2"/>
  <c r="P468" i="2" s="1"/>
  <c r="L468" i="2"/>
  <c r="O469" i="2"/>
  <c r="P469" i="2" s="1"/>
  <c r="L469" i="2"/>
  <c r="L470" i="2"/>
  <c r="O470" i="2"/>
  <c r="P470" i="2" s="1"/>
  <c r="L471" i="2"/>
  <c r="O471" i="2"/>
  <c r="P471" i="2" s="1"/>
  <c r="L472" i="2"/>
  <c r="O472" i="2"/>
  <c r="P472" i="2" s="1"/>
  <c r="L473" i="2"/>
  <c r="O473" i="2"/>
  <c r="P473" i="2" s="1"/>
  <c r="L474" i="2"/>
  <c r="O474" i="2"/>
  <c r="P474" i="2" s="1"/>
  <c r="O475" i="2"/>
  <c r="P475" i="2" s="1"/>
  <c r="L475" i="2"/>
  <c r="L476" i="2"/>
  <c r="O476" i="2"/>
  <c r="P476" i="2" s="1"/>
  <c r="L477" i="2"/>
  <c r="O477" i="2"/>
  <c r="P477" i="2" s="1"/>
  <c r="O478" i="2"/>
  <c r="P478" i="2" s="1"/>
  <c r="L478" i="2"/>
  <c r="L479" i="2"/>
  <c r="O479" i="2"/>
  <c r="P479" i="2" s="1"/>
  <c r="L480" i="2"/>
  <c r="O480" i="2"/>
  <c r="P480" i="2" s="1"/>
  <c r="L481" i="2"/>
  <c r="O481" i="2"/>
  <c r="P481" i="2" s="1"/>
  <c r="O482" i="2"/>
  <c r="P482" i="2" s="1"/>
  <c r="L482" i="2"/>
  <c r="O483" i="2"/>
  <c r="P483" i="2" s="1"/>
  <c r="L483" i="2"/>
  <c r="O484" i="2"/>
  <c r="P484" i="2" s="1"/>
  <c r="L484" i="2"/>
  <c r="L485" i="2"/>
  <c r="O485" i="2"/>
  <c r="P485" i="2" s="1"/>
  <c r="O486" i="2"/>
  <c r="P486" i="2" s="1"/>
  <c r="L486" i="2"/>
  <c r="O487" i="2"/>
  <c r="P487" i="2" s="1"/>
  <c r="L487" i="2"/>
  <c r="O488" i="2"/>
  <c r="P488" i="2" s="1"/>
  <c r="L488" i="2"/>
  <c r="L489" i="2"/>
  <c r="O489" i="2"/>
  <c r="P489" i="2" s="1"/>
  <c r="O490" i="2"/>
  <c r="P490" i="2" s="1"/>
  <c r="L490" i="2"/>
  <c r="L491" i="2"/>
  <c r="O491" i="2"/>
  <c r="P491" i="2" s="1"/>
  <c r="O492" i="2"/>
  <c r="P492" i="2" s="1"/>
  <c r="L492" i="2"/>
  <c r="O493" i="2"/>
  <c r="P493" i="2" s="1"/>
  <c r="L493" i="2"/>
  <c r="L494" i="2"/>
  <c r="O494" i="2"/>
  <c r="P494" i="2" s="1"/>
  <c r="L495" i="2"/>
  <c r="O495" i="2"/>
  <c r="P495" i="2" s="1"/>
  <c r="O496" i="2"/>
  <c r="P496" i="2" s="1"/>
  <c r="L496" i="2"/>
  <c r="O497" i="2"/>
  <c r="P497" i="2" s="1"/>
  <c r="L497" i="2"/>
  <c r="L498" i="2"/>
  <c r="O498" i="2"/>
  <c r="P498" i="2" s="1"/>
  <c r="O499" i="2"/>
  <c r="P499" i="2" s="1"/>
  <c r="L499" i="2"/>
  <c r="O500" i="2"/>
  <c r="P500" i="2" s="1"/>
  <c r="L500" i="2"/>
  <c r="O501" i="2"/>
  <c r="P501" i="2" s="1"/>
  <c r="L501" i="2"/>
  <c r="L502" i="2"/>
  <c r="O502" i="2"/>
  <c r="P502" i="2" s="1"/>
  <c r="L503" i="2"/>
  <c r="O503" i="2"/>
  <c r="P503" i="2" s="1"/>
  <c r="L504" i="2"/>
  <c r="O504" i="2"/>
  <c r="P504" i="2" s="1"/>
  <c r="L505" i="2"/>
  <c r="O505" i="2"/>
  <c r="P505" i="2" s="1"/>
  <c r="L506" i="2"/>
  <c r="O506" i="2"/>
  <c r="P506" i="2" s="1"/>
  <c r="O507" i="2"/>
  <c r="P507" i="2" s="1"/>
  <c r="L507" i="2"/>
  <c r="L508" i="2"/>
  <c r="O508" i="2"/>
  <c r="P508" i="2" s="1"/>
  <c r="L509" i="2"/>
  <c r="O509" i="2"/>
  <c r="P509" i="2" s="1"/>
  <c r="L510" i="2"/>
  <c r="O510" i="2"/>
  <c r="P510" i="2" s="1"/>
  <c r="L511" i="2"/>
  <c r="O511" i="2"/>
  <c r="P511" i="2" s="1"/>
  <c r="L512" i="2"/>
  <c r="O512" i="2"/>
  <c r="P512" i="2" s="1"/>
  <c r="L513" i="2"/>
  <c r="O513" i="2"/>
  <c r="P513" i="2" s="1"/>
  <c r="L514" i="2"/>
  <c r="O514" i="2"/>
  <c r="P514" i="2" s="1"/>
  <c r="O515" i="2"/>
  <c r="P515" i="2" s="1"/>
  <c r="L515" i="2"/>
  <c r="O516" i="2"/>
  <c r="P516" i="2" s="1"/>
  <c r="L516" i="2"/>
  <c r="O517" i="2"/>
  <c r="P517" i="2" s="1"/>
  <c r="L517" i="2"/>
  <c r="O518" i="2"/>
  <c r="P518" i="2" s="1"/>
  <c r="L518" i="2"/>
  <c r="L519" i="2"/>
  <c r="O519" i="2"/>
  <c r="P519" i="2" s="1"/>
  <c r="O520" i="2"/>
  <c r="P520" i="2" s="1"/>
  <c r="L520" i="2"/>
  <c r="L521" i="2"/>
  <c r="O521" i="2"/>
  <c r="P521" i="2" s="1"/>
  <c r="L522" i="2"/>
  <c r="O522" i="2"/>
  <c r="P522" i="2" s="1"/>
  <c r="L523" i="2"/>
  <c r="O523" i="2"/>
  <c r="P523" i="2" s="1"/>
  <c r="L524" i="2"/>
  <c r="O524" i="2"/>
  <c r="P524" i="2" s="1"/>
  <c r="O525" i="2"/>
  <c r="P525" i="2" s="1"/>
  <c r="L525" i="2"/>
  <c r="O526" i="2"/>
  <c r="P526" i="2" s="1"/>
  <c r="L526" i="2"/>
  <c r="O527" i="2"/>
  <c r="P527" i="2" s="1"/>
  <c r="L527" i="2"/>
  <c r="L528" i="2"/>
  <c r="O528" i="2"/>
  <c r="P528" i="2" s="1"/>
  <c r="O529" i="2"/>
  <c r="P529" i="2" s="1"/>
  <c r="L529" i="2"/>
  <c r="O530" i="2"/>
  <c r="P530" i="2" s="1"/>
  <c r="L530" i="2"/>
  <c r="L531" i="2"/>
  <c r="O531" i="2"/>
  <c r="P531" i="2" s="1"/>
  <c r="L532" i="2"/>
  <c r="O532" i="2"/>
  <c r="P532" i="2" s="1"/>
  <c r="L533" i="2"/>
  <c r="O533" i="2"/>
  <c r="P533" i="2" s="1"/>
  <c r="L534" i="2"/>
  <c r="O534" i="2"/>
  <c r="P534" i="2" s="1"/>
  <c r="L535" i="2"/>
  <c r="O535" i="2"/>
  <c r="P535" i="2" s="1"/>
  <c r="L536" i="2"/>
  <c r="O536" i="2"/>
  <c r="P536" i="2" s="1"/>
  <c r="L537" i="2"/>
  <c r="O537" i="2"/>
  <c r="P537" i="2" s="1"/>
  <c r="L538" i="2"/>
  <c r="O538" i="2"/>
  <c r="P538" i="2" s="1"/>
  <c r="L539" i="2"/>
  <c r="O539" i="2"/>
  <c r="P539" i="2" s="1"/>
  <c r="L540" i="2"/>
  <c r="O540" i="2"/>
  <c r="P540" i="2" s="1"/>
  <c r="L541" i="2"/>
  <c r="O541" i="2"/>
  <c r="P541" i="2" s="1"/>
  <c r="L542" i="2"/>
  <c r="O542" i="2"/>
  <c r="P542" i="2" s="1"/>
  <c r="L543" i="2"/>
  <c r="O543" i="2"/>
  <c r="P543" i="2" s="1"/>
  <c r="L544" i="2"/>
  <c r="O544" i="2"/>
  <c r="P544" i="2" s="1"/>
  <c r="L545" i="2"/>
  <c r="O545" i="2"/>
  <c r="P545" i="2" s="1"/>
  <c r="L546" i="2"/>
  <c r="O546" i="2"/>
  <c r="P546" i="2" s="1"/>
  <c r="O547" i="2"/>
  <c r="P547" i="2" s="1"/>
  <c r="L547" i="2"/>
  <c r="L548" i="2"/>
  <c r="O548" i="2"/>
  <c r="P548" i="2" s="1"/>
  <c r="O549" i="2"/>
  <c r="P549" i="2" s="1"/>
  <c r="L549" i="2"/>
  <c r="O550" i="2"/>
  <c r="P550" i="2" s="1"/>
  <c r="L550" i="2"/>
  <c r="O551" i="2"/>
  <c r="P551" i="2" s="1"/>
  <c r="L551" i="2"/>
  <c r="O552" i="2"/>
  <c r="P552" i="2" s="1"/>
  <c r="L552" i="2"/>
  <c r="L553" i="2"/>
  <c r="O553" i="2"/>
  <c r="P553" i="2" s="1"/>
  <c r="O554" i="2"/>
  <c r="P554" i="2" s="1"/>
  <c r="L554" i="2"/>
  <c r="O555" i="2"/>
  <c r="P555" i="2" s="1"/>
  <c r="L555" i="2"/>
  <c r="O556" i="2"/>
  <c r="P556" i="2" s="1"/>
  <c r="L556" i="2"/>
  <c r="O557" i="2"/>
  <c r="P557" i="2" s="1"/>
  <c r="L557" i="2"/>
  <c r="O558" i="2"/>
  <c r="P558" i="2" s="1"/>
  <c r="L558" i="2"/>
  <c r="O559" i="2"/>
  <c r="P559" i="2" s="1"/>
  <c r="L559" i="2"/>
  <c r="L560" i="2"/>
  <c r="O560" i="2"/>
  <c r="P560" i="2" s="1"/>
  <c r="L561" i="2"/>
  <c r="O561" i="2"/>
  <c r="P561" i="2" s="1"/>
  <c r="O562" i="2"/>
  <c r="P562" i="2" s="1"/>
  <c r="L562" i="2"/>
  <c r="O563" i="2"/>
  <c r="P563" i="2" s="1"/>
  <c r="L563" i="2"/>
  <c r="O564" i="2"/>
  <c r="P564" i="2" s="1"/>
  <c r="L564" i="2"/>
  <c r="L565" i="2"/>
  <c r="O565" i="2"/>
  <c r="P565" i="2" s="1"/>
  <c r="L566" i="2"/>
  <c r="O566" i="2"/>
  <c r="P566" i="2" s="1"/>
  <c r="L567" i="2"/>
  <c r="O567" i="2"/>
  <c r="P567" i="2" s="1"/>
  <c r="L568" i="2"/>
  <c r="O568" i="2"/>
  <c r="P568" i="2" s="1"/>
  <c r="L569" i="2"/>
  <c r="O569" i="2"/>
  <c r="P569" i="2" s="1"/>
  <c r="L570" i="2"/>
  <c r="O570" i="2"/>
  <c r="P570" i="2" s="1"/>
  <c r="L571" i="2"/>
  <c r="O571" i="2"/>
  <c r="P571" i="2" s="1"/>
  <c r="L572" i="2"/>
  <c r="O572" i="2"/>
  <c r="P572" i="2" s="1"/>
  <c r="L573" i="2"/>
  <c r="O573" i="2"/>
  <c r="P573" i="2" s="1"/>
  <c r="L574" i="2"/>
  <c r="O574" i="2"/>
  <c r="P574" i="2" s="1"/>
  <c r="O575" i="2"/>
  <c r="P575" i="2" s="1"/>
  <c r="L575" i="2"/>
  <c r="O576" i="2"/>
  <c r="P576" i="2" s="1"/>
  <c r="L576" i="2"/>
  <c r="O577" i="2"/>
  <c r="P577" i="2" s="1"/>
  <c r="L577" i="2"/>
  <c r="O578" i="2"/>
  <c r="P578" i="2" s="1"/>
  <c r="L578" i="2"/>
  <c r="L579" i="2"/>
  <c r="O579" i="2"/>
  <c r="P579" i="2" s="1"/>
  <c r="L580" i="2"/>
  <c r="O580" i="2"/>
  <c r="P580" i="2" s="1"/>
  <c r="O581" i="2"/>
  <c r="P581" i="2" s="1"/>
  <c r="L581" i="2"/>
  <c r="O582" i="2"/>
  <c r="P582" i="2" s="1"/>
  <c r="L582" i="2"/>
  <c r="L583" i="2"/>
  <c r="O583" i="2"/>
  <c r="P583" i="2" s="1"/>
  <c r="L584" i="2"/>
  <c r="O584" i="2"/>
  <c r="P584" i="2" s="1"/>
  <c r="L585" i="2"/>
  <c r="O585" i="2"/>
  <c r="P585" i="2" s="1"/>
  <c r="O586" i="2"/>
  <c r="P586" i="2" s="1"/>
  <c r="L586" i="2"/>
  <c r="O587" i="2"/>
  <c r="P587" i="2" s="1"/>
  <c r="L587" i="2"/>
  <c r="O588" i="2"/>
  <c r="P588" i="2" s="1"/>
  <c r="L588" i="2"/>
  <c r="O589" i="2"/>
  <c r="P589" i="2" s="1"/>
  <c r="L589" i="2"/>
  <c r="O590" i="2"/>
  <c r="P590" i="2" s="1"/>
  <c r="L590" i="2"/>
  <c r="O591" i="2"/>
  <c r="P591" i="2" s="1"/>
  <c r="L591" i="2"/>
  <c r="L592" i="2"/>
  <c r="O592" i="2"/>
  <c r="P592" i="2" s="1"/>
  <c r="O593" i="2"/>
  <c r="P593" i="2" s="1"/>
  <c r="L593" i="2"/>
  <c r="L594" i="2"/>
  <c r="O594" i="2"/>
  <c r="P594" i="2" s="1"/>
  <c r="L595" i="2"/>
  <c r="O595" i="2"/>
  <c r="P595" i="2" s="1"/>
  <c r="L596" i="2"/>
  <c r="O596" i="2"/>
  <c r="P596" i="2" s="1"/>
  <c r="O597" i="2"/>
  <c r="P597" i="2" s="1"/>
  <c r="L597" i="2"/>
  <c r="L598" i="2"/>
  <c r="O598" i="2"/>
  <c r="P598" i="2" s="1"/>
  <c r="O599" i="2"/>
  <c r="P599" i="2" s="1"/>
  <c r="L599" i="2"/>
  <c r="L600" i="2"/>
  <c r="O600" i="2"/>
  <c r="P600" i="2" s="1"/>
  <c r="O601" i="2"/>
  <c r="P601" i="2" s="1"/>
  <c r="L601" i="2"/>
  <c r="L602" i="2"/>
  <c r="O602" i="2"/>
  <c r="P602" i="2" s="1"/>
  <c r="L603" i="2"/>
  <c r="O603" i="2"/>
  <c r="P603" i="2" s="1"/>
  <c r="L604" i="2"/>
  <c r="O604" i="2"/>
  <c r="P604" i="2" s="1"/>
  <c r="L605" i="2"/>
  <c r="O605" i="2"/>
  <c r="P605" i="2" s="1"/>
  <c r="L606" i="2"/>
  <c r="O606" i="2"/>
  <c r="P606" i="2" s="1"/>
  <c r="L607" i="2"/>
  <c r="O607" i="2"/>
  <c r="P607" i="2" s="1"/>
  <c r="O608" i="2"/>
  <c r="P608" i="2" s="1"/>
  <c r="L608" i="2"/>
  <c r="L609" i="2"/>
  <c r="O609" i="2"/>
  <c r="P609" i="2" s="1"/>
  <c r="L610" i="2"/>
  <c r="O610" i="2"/>
  <c r="P610" i="2" s="1"/>
  <c r="O611" i="2"/>
  <c r="P611" i="2" s="1"/>
  <c r="L611" i="2"/>
  <c r="L612" i="2"/>
  <c r="O612" i="2"/>
  <c r="P612" i="2" s="1"/>
  <c r="O613" i="2"/>
  <c r="P613" i="2" s="1"/>
  <c r="L613" i="2"/>
  <c r="L614" i="2"/>
  <c r="O614" i="2"/>
  <c r="P614" i="2" s="1"/>
  <c r="L615" i="2"/>
  <c r="O615" i="2"/>
  <c r="P615" i="2" s="1"/>
  <c r="O616" i="2"/>
  <c r="P616" i="2" s="1"/>
  <c r="L616" i="2"/>
  <c r="L617" i="2"/>
  <c r="O617" i="2"/>
  <c r="P617" i="2" s="1"/>
  <c r="L618" i="2"/>
  <c r="O618" i="2"/>
  <c r="P618" i="2" s="1"/>
  <c r="O619" i="2"/>
  <c r="P619" i="2" s="1"/>
  <c r="L619" i="2"/>
  <c r="O620" i="2"/>
  <c r="P620" i="2" s="1"/>
  <c r="L620" i="2"/>
  <c r="O621" i="2"/>
  <c r="P621" i="2" s="1"/>
  <c r="L621" i="2"/>
  <c r="O622" i="2"/>
  <c r="P622" i="2" s="1"/>
  <c r="L622" i="2"/>
  <c r="O623" i="2"/>
  <c r="P623" i="2" s="1"/>
  <c r="L623" i="2"/>
  <c r="L624" i="2"/>
  <c r="O624" i="2"/>
  <c r="P624" i="2" s="1"/>
  <c r="O625" i="2"/>
  <c r="P625" i="2" s="1"/>
  <c r="L625" i="2"/>
  <c r="O626" i="2"/>
  <c r="P626" i="2" s="1"/>
  <c r="L626" i="2"/>
  <c r="O627" i="2"/>
  <c r="P627" i="2" s="1"/>
  <c r="L627" i="2"/>
  <c r="O628" i="2"/>
  <c r="P628" i="2" s="1"/>
  <c r="L628" i="2"/>
  <c r="O629" i="2"/>
  <c r="P629" i="2" s="1"/>
  <c r="L629" i="2"/>
  <c r="O630" i="2"/>
  <c r="P630" i="2" s="1"/>
  <c r="L630" i="2"/>
  <c r="L631" i="2"/>
  <c r="O631" i="2"/>
  <c r="P631" i="2" s="1"/>
  <c r="O632" i="2"/>
  <c r="P632" i="2" s="1"/>
  <c r="L632" i="2"/>
  <c r="L633" i="2"/>
  <c r="O633" i="2"/>
  <c r="P633" i="2" s="1"/>
  <c r="L634" i="2"/>
  <c r="O634" i="2"/>
  <c r="P634" i="2" s="1"/>
  <c r="L635" i="2"/>
  <c r="O635" i="2"/>
  <c r="P635" i="2" s="1"/>
  <c r="L636" i="2"/>
  <c r="O636" i="2"/>
  <c r="P636" i="2" s="1"/>
  <c r="L637" i="2"/>
  <c r="O637" i="2"/>
  <c r="P637" i="2" s="1"/>
  <c r="O638" i="2"/>
  <c r="P638" i="2" s="1"/>
  <c r="L638" i="2"/>
  <c r="L639" i="2"/>
  <c r="O639" i="2"/>
  <c r="P639" i="2" s="1"/>
  <c r="O640" i="2"/>
  <c r="P640" i="2" s="1"/>
  <c r="L640" i="2"/>
  <c r="L641" i="2"/>
  <c r="O641" i="2"/>
  <c r="P641" i="2" s="1"/>
  <c r="L642" i="2"/>
  <c r="O642" i="2"/>
  <c r="P642" i="2" s="1"/>
  <c r="O643" i="2"/>
  <c r="P643" i="2" s="1"/>
  <c r="L643" i="2"/>
  <c r="L644" i="2"/>
  <c r="O644" i="2"/>
  <c r="P644" i="2" s="1"/>
  <c r="O645" i="2"/>
  <c r="P645" i="2" s="1"/>
  <c r="L645" i="2"/>
  <c r="L646" i="2"/>
  <c r="O646" i="2"/>
  <c r="P646" i="2" s="1"/>
  <c r="L647" i="2"/>
  <c r="O647" i="2"/>
  <c r="P647" i="2" s="1"/>
  <c r="L648" i="2"/>
  <c r="O648" i="2"/>
  <c r="P648" i="2" s="1"/>
  <c r="L649" i="2"/>
  <c r="O649" i="2"/>
  <c r="P649" i="2" s="1"/>
  <c r="L650" i="2"/>
  <c r="O650" i="2"/>
  <c r="P650" i="2" s="1"/>
  <c r="L651" i="2"/>
  <c r="O651" i="2"/>
  <c r="P651" i="2" s="1"/>
  <c r="L652" i="2"/>
  <c r="O652" i="2"/>
  <c r="P652" i="2" s="1"/>
  <c r="O653" i="2"/>
  <c r="P653" i="2" s="1"/>
  <c r="L653" i="2"/>
  <c r="L654" i="2"/>
  <c r="O654" i="2"/>
  <c r="P654" i="2" s="1"/>
  <c r="L655" i="2"/>
  <c r="O655" i="2"/>
  <c r="P655" i="2" s="1"/>
  <c r="L656" i="2"/>
  <c r="O656" i="2"/>
  <c r="P656" i="2" s="1"/>
  <c r="L657" i="2"/>
  <c r="O657" i="2"/>
  <c r="P657" i="2" s="1"/>
  <c r="L658" i="2"/>
  <c r="O658" i="2"/>
  <c r="P658" i="2" s="1"/>
  <c r="L659" i="2"/>
  <c r="O659" i="2"/>
  <c r="P659" i="2" s="1"/>
  <c r="L660" i="2"/>
  <c r="O660" i="2"/>
  <c r="P660" i="2" s="1"/>
  <c r="O661" i="2"/>
  <c r="P661" i="2" s="1"/>
  <c r="L661" i="2"/>
  <c r="L662" i="2"/>
  <c r="O662" i="2"/>
  <c r="P662" i="2" s="1"/>
  <c r="O663" i="2"/>
  <c r="P663" i="2" s="1"/>
  <c r="L663" i="2"/>
  <c r="O664" i="2"/>
  <c r="P664" i="2" s="1"/>
  <c r="L664" i="2"/>
  <c r="O665" i="2"/>
  <c r="P665" i="2" s="1"/>
  <c r="L665" i="2"/>
  <c r="O666" i="2"/>
  <c r="P666" i="2" s="1"/>
  <c r="L666" i="2"/>
  <c r="O667" i="2"/>
  <c r="P667" i="2" s="1"/>
  <c r="L667" i="2"/>
  <c r="O668" i="2"/>
  <c r="P668" i="2" s="1"/>
  <c r="L668" i="2"/>
  <c r="O669" i="2"/>
  <c r="P669" i="2" s="1"/>
  <c r="L669" i="2"/>
  <c r="O670" i="2"/>
  <c r="P670" i="2" s="1"/>
  <c r="L670" i="2"/>
  <c r="O671" i="2"/>
  <c r="P671" i="2" s="1"/>
  <c r="L671" i="2"/>
  <c r="L672" i="2"/>
  <c r="O672" i="2"/>
  <c r="P672" i="2" s="1"/>
  <c r="O673" i="2"/>
  <c r="P673" i="2" s="1"/>
  <c r="L673" i="2"/>
  <c r="O674" i="2"/>
  <c r="P674" i="2" s="1"/>
  <c r="L674" i="2"/>
  <c r="O675" i="2"/>
  <c r="P675" i="2" s="1"/>
  <c r="L675" i="2"/>
  <c r="O676" i="2"/>
  <c r="P676" i="2" s="1"/>
  <c r="L676" i="2"/>
  <c r="O677" i="2"/>
  <c r="P677" i="2" s="1"/>
  <c r="L677" i="2"/>
  <c r="O678" i="2"/>
  <c r="P678" i="2" s="1"/>
  <c r="L678" i="2"/>
  <c r="O679" i="2"/>
  <c r="P679" i="2" s="1"/>
  <c r="L679" i="2"/>
  <c r="O680" i="2"/>
  <c r="P680" i="2" s="1"/>
  <c r="L680" i="2"/>
  <c r="O681" i="2"/>
  <c r="P681" i="2" s="1"/>
  <c r="L681" i="2"/>
  <c r="L682" i="2"/>
  <c r="O682" i="2"/>
  <c r="P682" i="2" s="1"/>
  <c r="O683" i="2"/>
  <c r="P683" i="2" s="1"/>
  <c r="L683" i="2"/>
  <c r="L684" i="2"/>
  <c r="O684" i="2"/>
  <c r="P684" i="2" s="1"/>
  <c r="L685" i="2"/>
  <c r="O685" i="2"/>
  <c r="P685" i="2" s="1"/>
  <c r="L686" i="2"/>
  <c r="O686" i="2"/>
  <c r="P686" i="2" s="1"/>
  <c r="O687" i="2"/>
  <c r="P687" i="2" s="1"/>
  <c r="L687" i="2"/>
  <c r="L688" i="2"/>
  <c r="O688" i="2"/>
  <c r="P688" i="2" s="1"/>
  <c r="L689" i="2"/>
  <c r="O689" i="2"/>
  <c r="P689" i="2" s="1"/>
  <c r="L690" i="2"/>
  <c r="O690" i="2"/>
  <c r="P690" i="2" s="1"/>
  <c r="O691" i="2"/>
  <c r="P691" i="2" s="1"/>
  <c r="L691" i="2"/>
  <c r="L692" i="2"/>
  <c r="O692" i="2"/>
  <c r="P692" i="2" s="1"/>
  <c r="O693" i="2"/>
  <c r="P693" i="2" s="1"/>
  <c r="L693" i="2"/>
  <c r="O694" i="2"/>
  <c r="P694" i="2" s="1"/>
  <c r="L694" i="2"/>
  <c r="O695" i="2"/>
  <c r="P695" i="2" s="1"/>
  <c r="L695" i="2"/>
  <c r="O696" i="2"/>
  <c r="P696" i="2" s="1"/>
  <c r="L696" i="2"/>
  <c r="L697" i="2"/>
  <c r="O697" i="2"/>
  <c r="P697" i="2" s="1"/>
  <c r="O698" i="2"/>
  <c r="P698" i="2" s="1"/>
  <c r="L698" i="2"/>
  <c r="O699" i="2"/>
  <c r="P699" i="2" s="1"/>
  <c r="L699" i="2"/>
  <c r="L700" i="2"/>
  <c r="O700" i="2"/>
  <c r="P700" i="2" s="1"/>
  <c r="L701" i="2"/>
  <c r="O701" i="2"/>
  <c r="P701" i="2" s="1"/>
  <c r="O702" i="2"/>
  <c r="P702" i="2" s="1"/>
  <c r="L702" i="2"/>
  <c r="L703" i="2"/>
  <c r="O703" i="2"/>
  <c r="P703" i="2" s="1"/>
  <c r="O704" i="2"/>
  <c r="P704" i="2" s="1"/>
  <c r="L704" i="2"/>
  <c r="L705" i="2"/>
  <c r="O705" i="2"/>
  <c r="P705" i="2" s="1"/>
  <c r="L706" i="2"/>
  <c r="O706" i="2"/>
  <c r="P706" i="2" s="1"/>
  <c r="L707" i="2"/>
  <c r="O707" i="2"/>
  <c r="P707" i="2" s="1"/>
  <c r="L708" i="2"/>
  <c r="O708" i="2"/>
  <c r="P708" i="2" s="1"/>
  <c r="L709" i="2"/>
  <c r="O709" i="2"/>
  <c r="P709" i="2" s="1"/>
  <c r="L710" i="2"/>
  <c r="O710" i="2"/>
  <c r="P710" i="2" s="1"/>
  <c r="L711" i="2"/>
  <c r="O711" i="2"/>
  <c r="P711" i="2" s="1"/>
  <c r="L712" i="2"/>
  <c r="O712" i="2"/>
  <c r="P712" i="2" s="1"/>
  <c r="O713" i="2"/>
  <c r="P713" i="2" s="1"/>
  <c r="L713" i="2"/>
  <c r="L714" i="2"/>
  <c r="O714" i="2"/>
  <c r="P714" i="2" s="1"/>
  <c r="L715" i="2"/>
  <c r="O715" i="2"/>
  <c r="P715" i="2" s="1"/>
  <c r="L716" i="2"/>
  <c r="O716" i="2"/>
  <c r="P716" i="2" s="1"/>
  <c r="O717" i="2"/>
  <c r="P717" i="2" s="1"/>
  <c r="L717" i="2"/>
  <c r="L718" i="2"/>
  <c r="O718" i="2"/>
  <c r="P718" i="2" s="1"/>
  <c r="O719" i="2"/>
  <c r="P719" i="2" s="1"/>
  <c r="L719" i="2"/>
  <c r="O720" i="2"/>
  <c r="P720" i="2" s="1"/>
  <c r="L720" i="2"/>
  <c r="O721" i="2"/>
  <c r="P721" i="2" s="1"/>
  <c r="L721" i="2"/>
  <c r="O722" i="2"/>
  <c r="P722" i="2" s="1"/>
  <c r="L722" i="2"/>
  <c r="O723" i="2"/>
  <c r="P723" i="2" s="1"/>
  <c r="L723" i="2"/>
  <c r="O724" i="2"/>
  <c r="P724" i="2" s="1"/>
  <c r="L724" i="2"/>
  <c r="O725" i="2"/>
  <c r="P725" i="2" s="1"/>
  <c r="L725" i="2"/>
  <c r="O726" i="2"/>
  <c r="P726" i="2" s="1"/>
  <c r="L726" i="2"/>
  <c r="O727" i="2"/>
  <c r="P727" i="2" s="1"/>
  <c r="L727" i="2"/>
  <c r="L728" i="2"/>
  <c r="O728" i="2"/>
  <c r="P728" i="2" s="1"/>
  <c r="O729" i="2"/>
  <c r="P729" i="2" s="1"/>
  <c r="L729" i="2"/>
  <c r="L730" i="2"/>
  <c r="O730" i="2"/>
  <c r="P730" i="2" s="1"/>
  <c r="L731" i="2"/>
  <c r="O731" i="2"/>
  <c r="P731" i="2" s="1"/>
  <c r="O732" i="2"/>
  <c r="P732" i="2" s="1"/>
  <c r="L732" i="2"/>
  <c r="L733" i="2"/>
  <c r="O733" i="2"/>
  <c r="P733" i="2" s="1"/>
  <c r="O734" i="2"/>
  <c r="P734" i="2" s="1"/>
  <c r="L734" i="2"/>
  <c r="O735" i="2"/>
  <c r="P735" i="2" s="1"/>
  <c r="L735" i="2"/>
  <c r="O736" i="2"/>
  <c r="P736" i="2" s="1"/>
  <c r="L736" i="2"/>
  <c r="O737" i="2"/>
  <c r="P737" i="2" s="1"/>
  <c r="L737" i="2"/>
  <c r="O738" i="2"/>
  <c r="P738" i="2" s="1"/>
  <c r="L738" i="2"/>
  <c r="L739" i="2"/>
  <c r="O739" i="2"/>
  <c r="P739" i="2" s="1"/>
  <c r="L740" i="2"/>
  <c r="O740" i="2"/>
  <c r="P740" i="2" s="1"/>
  <c r="O741" i="2"/>
  <c r="P741" i="2" s="1"/>
  <c r="L741" i="2"/>
  <c r="O742" i="2"/>
  <c r="P742" i="2" s="1"/>
  <c r="L742" i="2"/>
  <c r="L743" i="2"/>
  <c r="O743" i="2"/>
  <c r="P743" i="2" s="1"/>
  <c r="O744" i="2"/>
  <c r="P744" i="2" s="1"/>
  <c r="L744" i="2"/>
  <c r="L745" i="2"/>
  <c r="O745" i="2"/>
  <c r="P745" i="2" s="1"/>
  <c r="O746" i="2"/>
  <c r="P746" i="2" s="1"/>
  <c r="L746" i="2"/>
  <c r="O747" i="2"/>
  <c r="P747" i="2" s="1"/>
  <c r="L747" i="2"/>
  <c r="O748" i="2"/>
  <c r="P748" i="2" s="1"/>
  <c r="L748" i="2"/>
  <c r="L749" i="2"/>
  <c r="O749" i="2"/>
  <c r="P749" i="2" s="1"/>
  <c r="O750" i="2"/>
  <c r="P750" i="2" s="1"/>
  <c r="L750" i="2"/>
  <c r="O751" i="2"/>
  <c r="P751" i="2" s="1"/>
  <c r="L751" i="2"/>
  <c r="O752" i="2"/>
  <c r="P752" i="2" s="1"/>
  <c r="L752" i="2"/>
  <c r="O753" i="2"/>
  <c r="P753" i="2" s="1"/>
  <c r="L753" i="2"/>
  <c r="O754" i="2"/>
  <c r="P754" i="2" s="1"/>
  <c r="L754" i="2"/>
  <c r="O755" i="2"/>
  <c r="P755" i="2" s="1"/>
  <c r="L755" i="2"/>
  <c r="O756" i="2"/>
  <c r="P756" i="2" s="1"/>
  <c r="L756" i="2"/>
  <c r="O757" i="2"/>
  <c r="P757" i="2" s="1"/>
  <c r="L757" i="2"/>
  <c r="O758" i="2"/>
  <c r="P758" i="2" s="1"/>
  <c r="L758" i="2"/>
  <c r="O759" i="2"/>
  <c r="P759" i="2" s="1"/>
  <c r="L759" i="2"/>
  <c r="O760" i="2"/>
  <c r="P760" i="2" s="1"/>
  <c r="L760" i="2"/>
  <c r="O761" i="2"/>
  <c r="P761" i="2" s="1"/>
  <c r="L761" i="2"/>
  <c r="O762" i="2"/>
  <c r="P762" i="2" s="1"/>
  <c r="L762" i="2"/>
  <c r="O763" i="2"/>
  <c r="P763" i="2" s="1"/>
  <c r="L763" i="2"/>
  <c r="L764" i="2"/>
  <c r="O764" i="2"/>
  <c r="P764" i="2" s="1"/>
  <c r="O765" i="2"/>
  <c r="P765" i="2" s="1"/>
  <c r="L765" i="2"/>
  <c r="L766" i="2"/>
  <c r="O766" i="2"/>
  <c r="P766" i="2" s="1"/>
  <c r="L767" i="2"/>
  <c r="O767" i="2"/>
  <c r="P767" i="2" s="1"/>
  <c r="L768" i="2"/>
  <c r="O768" i="2"/>
  <c r="P768" i="2" s="1"/>
  <c r="L769" i="2"/>
  <c r="O769" i="2"/>
  <c r="P769" i="2" s="1"/>
  <c r="O770" i="2"/>
  <c r="P770" i="2" s="1"/>
  <c r="L770" i="2"/>
  <c r="L771" i="2"/>
  <c r="O771" i="2"/>
  <c r="P771" i="2" s="1"/>
  <c r="L772" i="2"/>
  <c r="O772" i="2"/>
  <c r="P772" i="2" s="1"/>
  <c r="L773" i="2"/>
  <c r="O773" i="2"/>
  <c r="P773" i="2" s="1"/>
  <c r="O774" i="2"/>
  <c r="P774" i="2" s="1"/>
  <c r="L774" i="2"/>
  <c r="L775" i="2"/>
  <c r="O775" i="2"/>
  <c r="P775" i="2" s="1"/>
  <c r="O776" i="2"/>
  <c r="P776" i="2" s="1"/>
  <c r="L776" i="2"/>
  <c r="L777" i="2"/>
  <c r="O777" i="2"/>
  <c r="P777" i="2" s="1"/>
  <c r="L778" i="2"/>
  <c r="O778" i="2"/>
  <c r="P778" i="2" s="1"/>
  <c r="O779" i="2"/>
  <c r="P779" i="2" s="1"/>
  <c r="L779" i="2"/>
  <c r="L780" i="2"/>
  <c r="O780" i="2"/>
  <c r="P780" i="2" s="1"/>
  <c r="L781" i="2"/>
  <c r="O781" i="2"/>
  <c r="P781" i="2" s="1"/>
  <c r="L782" i="2"/>
  <c r="O782" i="2"/>
  <c r="P782" i="2" s="1"/>
  <c r="O783" i="2"/>
  <c r="P783" i="2" s="1"/>
  <c r="L783" i="2"/>
  <c r="O784" i="2"/>
  <c r="P784" i="2" s="1"/>
  <c r="L784" i="2"/>
  <c r="L785" i="2"/>
  <c r="O785" i="2"/>
  <c r="P785" i="2" s="1"/>
  <c r="L786" i="2"/>
  <c r="O786" i="2"/>
  <c r="P786" i="2" s="1"/>
  <c r="L787" i="2"/>
  <c r="O787" i="2"/>
  <c r="P787" i="2" s="1"/>
  <c r="L788" i="2"/>
  <c r="O788" i="2"/>
  <c r="P788" i="2" s="1"/>
  <c r="L789" i="2"/>
  <c r="O789" i="2"/>
  <c r="P789" i="2" s="1"/>
  <c r="L790" i="2"/>
  <c r="O790" i="2"/>
  <c r="P790" i="2" s="1"/>
  <c r="L791" i="2"/>
  <c r="O791" i="2"/>
  <c r="P791" i="2" s="1"/>
  <c r="L792" i="2"/>
  <c r="O792" i="2"/>
  <c r="P792" i="2" s="1"/>
  <c r="O793" i="2"/>
  <c r="P793" i="2" s="1"/>
  <c r="L793" i="2"/>
  <c r="O794" i="2"/>
  <c r="P794" i="2" s="1"/>
  <c r="L794" i="2"/>
  <c r="L795" i="2"/>
  <c r="O795" i="2"/>
  <c r="P795" i="2" s="1"/>
  <c r="L796" i="2"/>
  <c r="O796" i="2"/>
  <c r="P796" i="2" s="1"/>
  <c r="L797" i="2"/>
  <c r="O797" i="2"/>
  <c r="P797" i="2" s="1"/>
  <c r="O798" i="2"/>
  <c r="P798" i="2" s="1"/>
  <c r="L798" i="2"/>
  <c r="O799" i="2"/>
  <c r="P799" i="2" s="1"/>
  <c r="L799" i="2"/>
  <c r="O800" i="2"/>
  <c r="P800" i="2" s="1"/>
  <c r="L800" i="2"/>
  <c r="O801" i="2"/>
  <c r="P801" i="2" s="1"/>
  <c r="L801" i="2"/>
  <c r="L802" i="2"/>
  <c r="O802" i="2"/>
  <c r="P802" i="2" s="1"/>
  <c r="O803" i="2"/>
  <c r="P803" i="2" s="1"/>
  <c r="L803" i="2"/>
  <c r="O804" i="2"/>
  <c r="P804" i="2" s="1"/>
  <c r="L804" i="2"/>
  <c r="O805" i="2"/>
  <c r="P805" i="2" s="1"/>
  <c r="L805" i="2"/>
  <c r="O806" i="2"/>
  <c r="P806" i="2" s="1"/>
  <c r="L806" i="2"/>
  <c r="O807" i="2"/>
  <c r="P807" i="2" s="1"/>
  <c r="L807" i="2"/>
  <c r="O808" i="2"/>
  <c r="P808" i="2" s="1"/>
  <c r="L808" i="2"/>
  <c r="O809" i="2"/>
  <c r="P809" i="2" s="1"/>
  <c r="L809" i="2"/>
  <c r="O810" i="2"/>
  <c r="P810" i="2" s="1"/>
  <c r="L810" i="2"/>
  <c r="O811" i="2"/>
  <c r="P811" i="2" s="1"/>
  <c r="L811" i="2"/>
  <c r="O812" i="2"/>
  <c r="P812" i="2" s="1"/>
  <c r="L812" i="2"/>
  <c r="O813" i="2"/>
  <c r="P813" i="2" s="1"/>
  <c r="L813" i="2"/>
  <c r="L814" i="2"/>
  <c r="O814" i="2"/>
  <c r="P814" i="2" s="1"/>
  <c r="L815" i="2"/>
  <c r="O815" i="2"/>
  <c r="P815" i="2" s="1"/>
  <c r="O816" i="2"/>
  <c r="P816" i="2" s="1"/>
  <c r="L816" i="2"/>
  <c r="L817" i="2"/>
  <c r="O817" i="2"/>
  <c r="P817" i="2" s="1"/>
  <c r="L818" i="2"/>
  <c r="O818" i="2"/>
  <c r="P818" i="2" s="1"/>
  <c r="L819" i="2"/>
  <c r="O819" i="2"/>
  <c r="P819" i="2" s="1"/>
  <c r="L820" i="2"/>
  <c r="O820" i="2"/>
  <c r="P820" i="2" s="1"/>
  <c r="L821" i="2"/>
  <c r="O821" i="2"/>
  <c r="P821" i="2" s="1"/>
  <c r="L822" i="2"/>
  <c r="O822" i="2"/>
  <c r="P822" i="2" s="1"/>
  <c r="O823" i="2"/>
  <c r="P823" i="2" s="1"/>
  <c r="L823" i="2"/>
  <c r="L824" i="2"/>
  <c r="O824" i="2"/>
  <c r="P824" i="2" s="1"/>
  <c r="O825" i="2"/>
  <c r="P825" i="2" s="1"/>
  <c r="L825" i="2"/>
  <c r="O826" i="2"/>
  <c r="P826" i="2" s="1"/>
  <c r="L826" i="2"/>
  <c r="L827" i="2"/>
  <c r="O827" i="2"/>
  <c r="P827" i="2" s="1"/>
  <c r="O828" i="2"/>
  <c r="P828" i="2" s="1"/>
  <c r="L828" i="2"/>
  <c r="O829" i="2"/>
  <c r="P829" i="2" s="1"/>
  <c r="L829" i="2"/>
  <c r="O830" i="2"/>
  <c r="P830" i="2" s="1"/>
  <c r="L830" i="2"/>
  <c r="L831" i="2"/>
  <c r="O831" i="2"/>
  <c r="P831" i="2" s="1"/>
  <c r="L832" i="2"/>
  <c r="O832" i="2"/>
  <c r="P832" i="2" s="1"/>
  <c r="L833" i="2"/>
  <c r="O833" i="2"/>
  <c r="P833" i="2" s="1"/>
  <c r="L834" i="2"/>
  <c r="O834" i="2"/>
  <c r="P834" i="2" s="1"/>
  <c r="L835" i="2"/>
  <c r="O835" i="2"/>
  <c r="P835" i="2" s="1"/>
  <c r="O836" i="2"/>
  <c r="P836" i="2" s="1"/>
  <c r="L836" i="2"/>
  <c r="L837" i="2"/>
  <c r="O837" i="2"/>
  <c r="P837" i="2" s="1"/>
  <c r="O838" i="2"/>
  <c r="P838" i="2" s="1"/>
  <c r="L838" i="2"/>
  <c r="O839" i="2"/>
  <c r="P839" i="2" s="1"/>
  <c r="L839" i="2"/>
  <c r="O840" i="2"/>
  <c r="P840" i="2" s="1"/>
  <c r="L840" i="2"/>
  <c r="O841" i="2"/>
  <c r="P841" i="2" s="1"/>
  <c r="L841" i="2"/>
  <c r="O842" i="2"/>
  <c r="P842" i="2" s="1"/>
  <c r="L842" i="2"/>
  <c r="O843" i="2"/>
  <c r="P843" i="2" s="1"/>
  <c r="L843" i="2"/>
  <c r="O844" i="2"/>
  <c r="P844" i="2" s="1"/>
  <c r="L844" i="2"/>
  <c r="O845" i="2"/>
  <c r="P845" i="2" s="1"/>
  <c r="L845" i="2"/>
  <c r="O846" i="2"/>
  <c r="P846" i="2" s="1"/>
  <c r="L846" i="2"/>
  <c r="O847" i="2"/>
  <c r="P847" i="2" s="1"/>
  <c r="L847" i="2"/>
  <c r="O848" i="2"/>
  <c r="P848" i="2" s="1"/>
  <c r="L848" i="2"/>
  <c r="O849" i="2"/>
  <c r="P849" i="2" s="1"/>
  <c r="L849" i="2"/>
  <c r="O850" i="2"/>
  <c r="P850" i="2" s="1"/>
  <c r="L850" i="2"/>
  <c r="O851" i="2"/>
  <c r="P851" i="2" s="1"/>
  <c r="L851" i="2"/>
  <c r="O852" i="2"/>
  <c r="P852" i="2" s="1"/>
  <c r="L852" i="2"/>
  <c r="O853" i="2"/>
  <c r="P853" i="2" s="1"/>
  <c r="L853" i="2"/>
  <c r="O854" i="2"/>
  <c r="P854" i="2" s="1"/>
  <c r="L854" i="2"/>
  <c r="O855" i="2"/>
  <c r="P855" i="2" s="1"/>
  <c r="L855" i="2"/>
  <c r="O856" i="2"/>
  <c r="P856" i="2" s="1"/>
  <c r="L856" i="2"/>
  <c r="O857" i="2"/>
  <c r="P857" i="2" s="1"/>
  <c r="L857" i="2"/>
  <c r="O858" i="2"/>
  <c r="P858" i="2" s="1"/>
  <c r="L858" i="2"/>
  <c r="L859" i="2"/>
  <c r="O859" i="2"/>
  <c r="P859" i="2" s="1"/>
  <c r="O860" i="2"/>
  <c r="P860" i="2" s="1"/>
  <c r="L860" i="2"/>
  <c r="L861" i="2"/>
  <c r="O861" i="2"/>
  <c r="P861" i="2" s="1"/>
  <c r="L862" i="2"/>
  <c r="O862" i="2"/>
  <c r="P862" i="2" s="1"/>
  <c r="L863" i="2"/>
  <c r="O863" i="2"/>
  <c r="P863" i="2" s="1"/>
  <c r="O864" i="2"/>
  <c r="P864" i="2" s="1"/>
  <c r="L864" i="2"/>
  <c r="O865" i="2"/>
  <c r="P865" i="2" s="1"/>
  <c r="L865" i="2"/>
  <c r="L866" i="2"/>
  <c r="O866" i="2"/>
  <c r="P866" i="2" s="1"/>
  <c r="O867" i="2"/>
  <c r="P867" i="2" s="1"/>
  <c r="L867" i="2"/>
  <c r="L868" i="2"/>
  <c r="O868" i="2"/>
  <c r="P868" i="2" s="1"/>
  <c r="O869" i="2"/>
  <c r="P869" i="2" s="1"/>
  <c r="L869" i="2"/>
  <c r="O870" i="2"/>
  <c r="P870" i="2" s="1"/>
  <c r="L870" i="2"/>
  <c r="L871" i="2"/>
  <c r="O871" i="2"/>
  <c r="P871" i="2" s="1"/>
  <c r="O872" i="2"/>
  <c r="P872" i="2" s="1"/>
  <c r="L872" i="2"/>
  <c r="O873" i="2"/>
  <c r="P873" i="2" s="1"/>
  <c r="L873" i="2"/>
  <c r="L874" i="2"/>
  <c r="O874" i="2"/>
  <c r="P874" i="2" s="1"/>
  <c r="O875" i="2"/>
  <c r="P875" i="2" s="1"/>
  <c r="L875" i="2"/>
  <c r="O876" i="2"/>
  <c r="P876" i="2" s="1"/>
  <c r="L876" i="2"/>
  <c r="O877" i="2"/>
  <c r="P877" i="2" s="1"/>
  <c r="L877" i="2"/>
  <c r="O878" i="2"/>
  <c r="P878" i="2" s="1"/>
  <c r="L878" i="2"/>
  <c r="O879" i="2"/>
  <c r="P879" i="2" s="1"/>
  <c r="L879" i="2"/>
  <c r="L880" i="2"/>
  <c r="O880" i="2"/>
  <c r="P880" i="2" s="1"/>
  <c r="O881" i="2"/>
  <c r="P881" i="2" s="1"/>
  <c r="L881" i="2"/>
  <c r="L882" i="2"/>
  <c r="O882" i="2"/>
  <c r="P882" i="2" s="1"/>
  <c r="O883" i="2"/>
  <c r="P883" i="2" s="1"/>
  <c r="L883" i="2"/>
  <c r="L884" i="2"/>
  <c r="O884" i="2"/>
  <c r="P884" i="2" s="1"/>
  <c r="O885" i="2"/>
  <c r="P885" i="2" s="1"/>
  <c r="L885" i="2"/>
  <c r="O886" i="2"/>
  <c r="P886" i="2" s="1"/>
  <c r="L886" i="2"/>
  <c r="L887" i="2"/>
  <c r="O887" i="2"/>
  <c r="P887" i="2" s="1"/>
  <c r="O888" i="2"/>
  <c r="P888" i="2" s="1"/>
  <c r="L888" i="2"/>
  <c r="O889" i="2"/>
  <c r="P889" i="2" s="1"/>
  <c r="L889" i="2"/>
  <c r="O890" i="2"/>
  <c r="P890" i="2" s="1"/>
  <c r="L890" i="2"/>
  <c r="L891" i="2"/>
  <c r="O891" i="2"/>
  <c r="P891" i="2" s="1"/>
  <c r="O892" i="2"/>
  <c r="P892" i="2" s="1"/>
  <c r="L892" i="2"/>
  <c r="O893" i="2"/>
  <c r="P893" i="2" s="1"/>
  <c r="L893" i="2"/>
  <c r="O894" i="2"/>
  <c r="P894" i="2" s="1"/>
  <c r="L894" i="2"/>
  <c r="O895" i="2"/>
  <c r="P895" i="2" s="1"/>
  <c r="L895" i="2"/>
  <c r="O896" i="2"/>
  <c r="P896" i="2" s="1"/>
  <c r="L896" i="2"/>
  <c r="O897" i="2"/>
  <c r="P897" i="2" s="1"/>
  <c r="L897" i="2"/>
  <c r="L898" i="2"/>
  <c r="O898" i="2"/>
  <c r="P898" i="2" s="1"/>
  <c r="O899" i="2"/>
  <c r="P899" i="2" s="1"/>
  <c r="L899" i="2"/>
  <c r="L900" i="2"/>
  <c r="O900" i="2"/>
  <c r="P900" i="2" s="1"/>
  <c r="L901" i="2"/>
  <c r="O901" i="2"/>
  <c r="P901" i="2" s="1"/>
  <c r="L902" i="2"/>
  <c r="O902" i="2"/>
  <c r="P902" i="2" s="1"/>
  <c r="L903" i="2"/>
  <c r="O903" i="2"/>
  <c r="P903" i="2" s="1"/>
  <c r="L904" i="2"/>
  <c r="O904" i="2"/>
  <c r="P904" i="2" s="1"/>
  <c r="L905" i="2"/>
  <c r="O905" i="2"/>
  <c r="P905" i="2" s="1"/>
  <c r="L906" i="2"/>
  <c r="O906" i="2"/>
  <c r="P906" i="2" s="1"/>
  <c r="L907" i="2"/>
  <c r="O907" i="2"/>
  <c r="P907" i="2" s="1"/>
  <c r="L908" i="2"/>
  <c r="O908" i="2"/>
  <c r="P908" i="2" s="1"/>
  <c r="L909" i="2"/>
  <c r="O909" i="2"/>
  <c r="P909" i="2" s="1"/>
  <c r="O910" i="2"/>
  <c r="P910" i="2" s="1"/>
  <c r="L910" i="2"/>
  <c r="L911" i="2"/>
  <c r="O911" i="2"/>
  <c r="P911" i="2" s="1"/>
  <c r="L912" i="2"/>
  <c r="O912" i="2"/>
  <c r="P912" i="2" s="1"/>
  <c r="L913" i="2"/>
  <c r="O913" i="2"/>
  <c r="P913" i="2" s="1"/>
  <c r="L914" i="2"/>
  <c r="O914" i="2"/>
  <c r="P914" i="2" s="1"/>
  <c r="L915" i="2"/>
  <c r="O915" i="2"/>
  <c r="P915" i="2" s="1"/>
  <c r="O916" i="2"/>
  <c r="P916" i="2" s="1"/>
  <c r="L916" i="2"/>
  <c r="O917" i="2"/>
  <c r="P917" i="2" s="1"/>
  <c r="L917" i="2"/>
  <c r="L918" i="2"/>
  <c r="O918" i="2"/>
  <c r="P918" i="2" s="1"/>
  <c r="O919" i="2"/>
  <c r="P919" i="2" s="1"/>
  <c r="L919" i="2"/>
  <c r="O920" i="2"/>
  <c r="P920" i="2" s="1"/>
  <c r="L920" i="2"/>
  <c r="L921" i="2"/>
  <c r="O921" i="2"/>
  <c r="P921" i="2" s="1"/>
  <c r="O922" i="2"/>
  <c r="P922" i="2" s="1"/>
  <c r="L922" i="2"/>
  <c r="O923" i="2"/>
  <c r="P923" i="2" s="1"/>
  <c r="L923" i="2"/>
  <c r="O924" i="2"/>
  <c r="P924" i="2" s="1"/>
  <c r="L924" i="2"/>
  <c r="O925" i="2"/>
  <c r="P925" i="2" s="1"/>
  <c r="L925" i="2"/>
  <c r="O926" i="2"/>
  <c r="P926" i="2" s="1"/>
  <c r="L926" i="2"/>
  <c r="O927" i="2"/>
  <c r="P927" i="2" s="1"/>
  <c r="L927" i="2"/>
  <c r="L928" i="2"/>
  <c r="O928" i="2"/>
  <c r="P928" i="2" s="1"/>
  <c r="L929" i="2"/>
  <c r="O929" i="2"/>
  <c r="P929" i="2" s="1"/>
  <c r="O930" i="2"/>
  <c r="P930" i="2" s="1"/>
  <c r="L930" i="2"/>
  <c r="O931" i="2"/>
  <c r="P931" i="2" s="1"/>
  <c r="L931" i="2"/>
  <c r="O932" i="2"/>
  <c r="P932" i="2" s="1"/>
  <c r="L932" i="2"/>
  <c r="O933" i="2"/>
  <c r="P933" i="2" s="1"/>
  <c r="L933" i="2"/>
  <c r="L934" i="2"/>
  <c r="O934" i="2"/>
  <c r="P934" i="2" s="1"/>
  <c r="O935" i="2"/>
  <c r="P935" i="2" s="1"/>
  <c r="L935" i="2"/>
  <c r="O936" i="2"/>
  <c r="P936" i="2" s="1"/>
  <c r="L936" i="2"/>
  <c r="L937" i="2"/>
  <c r="O937" i="2"/>
  <c r="P937" i="2" s="1"/>
  <c r="L938" i="2"/>
  <c r="O938" i="2"/>
  <c r="P938" i="2" s="1"/>
  <c r="O939" i="2"/>
  <c r="P939" i="2" s="1"/>
  <c r="L939" i="2"/>
  <c r="L940" i="2"/>
  <c r="O940" i="2"/>
  <c r="P940" i="2" s="1"/>
  <c r="O941" i="2"/>
  <c r="P941" i="2" s="1"/>
  <c r="L941" i="2"/>
  <c r="O942" i="2"/>
  <c r="P942" i="2" s="1"/>
  <c r="L942" i="2"/>
  <c r="O943" i="2"/>
  <c r="P943" i="2" s="1"/>
  <c r="L943" i="2"/>
  <c r="O944" i="2"/>
  <c r="P944" i="2" s="1"/>
  <c r="L944" i="2"/>
  <c r="L945" i="2"/>
  <c r="O945" i="2"/>
  <c r="P945" i="2" s="1"/>
  <c r="O946" i="2"/>
  <c r="P946" i="2" s="1"/>
  <c r="L946" i="2"/>
  <c r="O947" i="2"/>
  <c r="P947" i="2" s="1"/>
  <c r="L947" i="2"/>
  <c r="O948" i="2"/>
  <c r="P948" i="2" s="1"/>
  <c r="L948" i="2"/>
  <c r="L949" i="2"/>
  <c r="O949" i="2"/>
  <c r="P949" i="2" s="1"/>
  <c r="O950" i="2"/>
  <c r="P950" i="2" s="1"/>
  <c r="L950" i="2"/>
  <c r="O951" i="2"/>
  <c r="P951" i="2" s="1"/>
  <c r="L951" i="2"/>
  <c r="O952" i="2"/>
  <c r="P952" i="2" s="1"/>
  <c r="L952" i="2"/>
  <c r="L953" i="2"/>
  <c r="O953" i="2"/>
  <c r="P953" i="2" s="1"/>
  <c r="L954" i="2"/>
  <c r="O954" i="2"/>
  <c r="P954" i="2" s="1"/>
  <c r="L955" i="2"/>
  <c r="O955" i="2"/>
  <c r="P955" i="2" s="1"/>
  <c r="L956" i="2"/>
  <c r="O956" i="2"/>
  <c r="P956" i="2" s="1"/>
  <c r="O957" i="2"/>
  <c r="P957" i="2" s="1"/>
  <c r="L957" i="2"/>
  <c r="O958" i="2"/>
  <c r="P958" i="2" s="1"/>
  <c r="L958" i="2"/>
  <c r="O959" i="2"/>
  <c r="P959" i="2" s="1"/>
  <c r="L959" i="2"/>
  <c r="O960" i="2"/>
  <c r="P960" i="2" s="1"/>
  <c r="L960" i="2"/>
  <c r="O961" i="2"/>
  <c r="P961" i="2" s="1"/>
  <c r="L961" i="2"/>
  <c r="L962" i="2"/>
  <c r="O962" i="2"/>
  <c r="P962" i="2" s="1"/>
  <c r="L963" i="2"/>
  <c r="O963" i="2"/>
  <c r="P963" i="2" s="1"/>
  <c r="O964" i="2"/>
  <c r="P964" i="2" s="1"/>
  <c r="L964" i="2"/>
  <c r="O965" i="2"/>
  <c r="P965" i="2" s="1"/>
  <c r="L965" i="2"/>
  <c r="L966" i="2"/>
  <c r="O966" i="2"/>
  <c r="P966" i="2" s="1"/>
  <c r="O967" i="2"/>
  <c r="P967" i="2" s="1"/>
  <c r="L967" i="2"/>
  <c r="L968" i="2"/>
  <c r="O968" i="2"/>
  <c r="P968" i="2" s="1"/>
  <c r="O969" i="2"/>
  <c r="P969" i="2" s="1"/>
  <c r="L969" i="2"/>
  <c r="L970" i="2"/>
  <c r="O970" i="2"/>
  <c r="P970" i="2" s="1"/>
  <c r="O971" i="2"/>
  <c r="P971" i="2" s="1"/>
  <c r="L971" i="2"/>
  <c r="L972" i="2"/>
  <c r="O972" i="2"/>
  <c r="P972" i="2" s="1"/>
  <c r="O973" i="2"/>
  <c r="P973" i="2" s="1"/>
  <c r="L973" i="2"/>
  <c r="O974" i="2"/>
  <c r="P974" i="2" s="1"/>
  <c r="L974" i="2"/>
  <c r="L975" i="2"/>
  <c r="O975" i="2"/>
  <c r="P975" i="2" s="1"/>
  <c r="L976" i="2"/>
  <c r="O976" i="2"/>
  <c r="P976" i="2" s="1"/>
  <c r="L977" i="2"/>
  <c r="O977" i="2"/>
  <c r="P977" i="2" s="1"/>
  <c r="L978" i="2"/>
  <c r="O978" i="2"/>
  <c r="P978" i="2" s="1"/>
  <c r="L979" i="2"/>
  <c r="O979" i="2"/>
  <c r="P979" i="2" s="1"/>
  <c r="L980" i="2"/>
  <c r="O980" i="2"/>
  <c r="P980" i="2" s="1"/>
  <c r="O981" i="2"/>
  <c r="P981" i="2" s="1"/>
  <c r="L981" i="2"/>
  <c r="L982" i="2"/>
  <c r="O982" i="2"/>
  <c r="P982" i="2" s="1"/>
  <c r="L983" i="2"/>
  <c r="O983" i="2"/>
  <c r="P983" i="2" s="1"/>
  <c r="O984" i="2"/>
  <c r="P984" i="2" s="1"/>
  <c r="L984" i="2"/>
  <c r="O985" i="2"/>
  <c r="P985" i="2" s="1"/>
  <c r="L985" i="2"/>
  <c r="O986" i="2"/>
  <c r="P986" i="2" s="1"/>
  <c r="L986" i="2"/>
  <c r="O987" i="2"/>
  <c r="P987" i="2" s="1"/>
  <c r="L987" i="2"/>
  <c r="L988" i="2"/>
  <c r="O988" i="2"/>
  <c r="P988" i="2" s="1"/>
  <c r="O989" i="2"/>
  <c r="P989" i="2" s="1"/>
  <c r="L989" i="2"/>
  <c r="L990" i="2"/>
  <c r="O990" i="2"/>
  <c r="P990" i="2" s="1"/>
  <c r="L991" i="2"/>
  <c r="O991" i="2"/>
  <c r="P991" i="2" s="1"/>
  <c r="O992" i="2"/>
  <c r="P992" i="2" s="1"/>
  <c r="L992" i="2"/>
  <c r="L993" i="2"/>
  <c r="O993" i="2"/>
  <c r="P993" i="2" s="1"/>
  <c r="L994" i="2"/>
  <c r="O994" i="2"/>
  <c r="P994" i="2" s="1"/>
  <c r="O995" i="2"/>
  <c r="P995" i="2" s="1"/>
  <c r="L995" i="2"/>
  <c r="L996" i="2"/>
  <c r="O996" i="2"/>
  <c r="P996" i="2" s="1"/>
  <c r="O997" i="2"/>
  <c r="P997" i="2" s="1"/>
  <c r="L997" i="2"/>
  <c r="L998" i="2"/>
  <c r="O998" i="2"/>
  <c r="P998" i="2" s="1"/>
  <c r="L999" i="2"/>
  <c r="O999" i="2"/>
  <c r="P999" i="2" s="1"/>
  <c r="O1000" i="2"/>
  <c r="P1000" i="2" s="1"/>
  <c r="L1000" i="2"/>
  <c r="L1001" i="2"/>
  <c r="O1001" i="2"/>
  <c r="P1001" i="2" s="1"/>
  <c r="O1002" i="2"/>
  <c r="P1002" i="2" s="1"/>
  <c r="L1002" i="2"/>
  <c r="O1003" i="2"/>
  <c r="P1003" i="2" s="1"/>
  <c r="L1003" i="2"/>
  <c r="O1004" i="2"/>
  <c r="P1004" i="2" s="1"/>
  <c r="L1004" i="2"/>
  <c r="O1005" i="2"/>
  <c r="P1005" i="2" s="1"/>
  <c r="L1005" i="2"/>
  <c r="O1006" i="2"/>
  <c r="P1006" i="2" s="1"/>
  <c r="L1006" i="2"/>
  <c r="L1007" i="2"/>
  <c r="O1007" i="2"/>
  <c r="P1007" i="2" s="1"/>
  <c r="O1008" i="2"/>
  <c r="P1008" i="2" s="1"/>
  <c r="L1008" i="2"/>
  <c r="O1009" i="2"/>
  <c r="P1009" i="2" s="1"/>
  <c r="L1009" i="2"/>
  <c r="O1010" i="2"/>
  <c r="P1010" i="2" s="1"/>
  <c r="L1010" i="2"/>
  <c r="O1011" i="2"/>
  <c r="P1011" i="2" s="1"/>
  <c r="L1011" i="2"/>
  <c r="O1012" i="2"/>
  <c r="P1012" i="2" s="1"/>
  <c r="L1012" i="2"/>
  <c r="O1013" i="2"/>
  <c r="P1013" i="2" s="1"/>
  <c r="L1013" i="2"/>
  <c r="O1014" i="2"/>
  <c r="P1014" i="2" s="1"/>
  <c r="L1014" i="2"/>
  <c r="O1015" i="2"/>
  <c r="P1015" i="2" s="1"/>
  <c r="L1015" i="2"/>
  <c r="L1016" i="2"/>
  <c r="O1016" i="2"/>
  <c r="P1016" i="2" s="1"/>
  <c r="L1017" i="2"/>
  <c r="O1017" i="2"/>
  <c r="P1017" i="2" s="1"/>
  <c r="L1018" i="2"/>
  <c r="O1018" i="2"/>
  <c r="P1018" i="2" s="1"/>
  <c r="L1019" i="2"/>
  <c r="O1019" i="2"/>
  <c r="P1019" i="2" s="1"/>
  <c r="L1020" i="2"/>
  <c r="O1020" i="2"/>
  <c r="P1020" i="2" s="1"/>
  <c r="L1021" i="2"/>
  <c r="O1021" i="2"/>
  <c r="P1021" i="2" s="1"/>
  <c r="L1022" i="2"/>
  <c r="O1022" i="2"/>
  <c r="P1022" i="2" s="1"/>
  <c r="L1023" i="2"/>
  <c r="O1023" i="2"/>
  <c r="P1023" i="2" s="1"/>
  <c r="L1024" i="2"/>
  <c r="O1024" i="2"/>
  <c r="P1024" i="2" s="1"/>
  <c r="O1025" i="2"/>
  <c r="P1025" i="2" s="1"/>
  <c r="L1025" i="2"/>
  <c r="O1026" i="2"/>
  <c r="P1026" i="2" s="1"/>
  <c r="L1026" i="2"/>
  <c r="O1027" i="2"/>
  <c r="P1027" i="2" s="1"/>
  <c r="L1027" i="2"/>
  <c r="O1028" i="2"/>
  <c r="P1028" i="2" s="1"/>
  <c r="L1028" i="2"/>
  <c r="O1029" i="2"/>
  <c r="P1029" i="2" s="1"/>
  <c r="L1029" i="2"/>
  <c r="O1030" i="2"/>
  <c r="P1030" i="2" s="1"/>
  <c r="L1030" i="2"/>
  <c r="O1031" i="2"/>
  <c r="P1031" i="2" s="1"/>
  <c r="L1031" i="2"/>
  <c r="O1032" i="2"/>
  <c r="P1032" i="2" s="1"/>
  <c r="L1032" i="2"/>
  <c r="O1033" i="2"/>
  <c r="P1033" i="2" s="1"/>
  <c r="L1033" i="2"/>
  <c r="O1034" i="2"/>
  <c r="P1034" i="2" s="1"/>
  <c r="L1034" i="2"/>
  <c r="O1035" i="2"/>
  <c r="P1035" i="2" s="1"/>
  <c r="L1035" i="2"/>
  <c r="O1036" i="2"/>
  <c r="P1036" i="2" s="1"/>
  <c r="L1036" i="2"/>
  <c r="O1037" i="2"/>
  <c r="P1037" i="2" s="1"/>
  <c r="L1037" i="2"/>
  <c r="O1038" i="2"/>
  <c r="P1038" i="2" s="1"/>
  <c r="L1038" i="2"/>
  <c r="O1039" i="2"/>
  <c r="P1039" i="2" s="1"/>
  <c r="L1039" i="2"/>
  <c r="L1040" i="2"/>
  <c r="O1040" i="2"/>
  <c r="P1040" i="2" s="1"/>
  <c r="O1041" i="2"/>
  <c r="P1041" i="2" s="1"/>
  <c r="L1041" i="2"/>
  <c r="O1042" i="2"/>
  <c r="P1042" i="2" s="1"/>
  <c r="L1042" i="2"/>
  <c r="O1043" i="2"/>
  <c r="P1043" i="2" s="1"/>
  <c r="L1043" i="2"/>
  <c r="O1044" i="2"/>
  <c r="P1044" i="2" s="1"/>
  <c r="L1044" i="2"/>
  <c r="O1045" i="2"/>
  <c r="P1045" i="2" s="1"/>
  <c r="L1045" i="2"/>
  <c r="O1046" i="2"/>
  <c r="P1046" i="2" s="1"/>
  <c r="L1046" i="2"/>
  <c r="O1047" i="2"/>
  <c r="P1047" i="2" s="1"/>
  <c r="L1047" i="2"/>
  <c r="O1048" i="2"/>
  <c r="P1048" i="2" s="1"/>
  <c r="L1048" i="2"/>
  <c r="O1049" i="2"/>
  <c r="P1049" i="2" s="1"/>
  <c r="L1049" i="2"/>
  <c r="O1050" i="2"/>
  <c r="P1050" i="2" s="1"/>
  <c r="L1050" i="2"/>
  <c r="L1051" i="2"/>
  <c r="O1051" i="2"/>
  <c r="P1051" i="2" s="1"/>
  <c r="O2" i="2"/>
  <c r="P2" i="2" s="1"/>
  <c r="L2" i="2"/>
</calcChain>
</file>

<file path=xl/sharedStrings.xml><?xml version="1.0" encoding="utf-8"?>
<sst xmlns="http://schemas.openxmlformats.org/spreadsheetml/2006/main" count="9660" uniqueCount="100">
  <si>
    <t>Date</t>
  </si>
  <si>
    <t>State</t>
  </si>
  <si>
    <t>Branch</t>
  </si>
  <si>
    <t>Model</t>
  </si>
  <si>
    <t>Segment</t>
  </si>
  <si>
    <t>Opening Stock</t>
  </si>
  <si>
    <t>Inward Supply</t>
  </si>
  <si>
    <t>Sell Out</t>
  </si>
  <si>
    <t>Closing Stock</t>
  </si>
  <si>
    <t>Target</t>
  </si>
  <si>
    <t>Demo Units</t>
  </si>
  <si>
    <t>01-May-2026</t>
  </si>
  <si>
    <t>Assam</t>
  </si>
  <si>
    <t>Guwahati</t>
  </si>
  <si>
    <t>X300FE</t>
  </si>
  <si>
    <t>25K-35K</t>
  </si>
  <si>
    <t>V70FE</t>
  </si>
  <si>
    <t>20K-25K</t>
  </si>
  <si>
    <t>Y21</t>
  </si>
  <si>
    <t>10K-15K</t>
  </si>
  <si>
    <t>Y11</t>
  </si>
  <si>
    <t>Below 10K</t>
  </si>
  <si>
    <t>Ultra</t>
  </si>
  <si>
    <t>35K+</t>
  </si>
  <si>
    <t>Silchar</t>
  </si>
  <si>
    <t>Jorhat</t>
  </si>
  <si>
    <t>Meghalaya</t>
  </si>
  <si>
    <t>Shillong</t>
  </si>
  <si>
    <t>Tripura</t>
  </si>
  <si>
    <t>Agartala</t>
  </si>
  <si>
    <t>X-300FE</t>
  </si>
  <si>
    <t>Manipur</t>
  </si>
  <si>
    <t>Imphal</t>
  </si>
  <si>
    <t>Nagaland</t>
  </si>
  <si>
    <t>Dimapur</t>
  </si>
  <si>
    <t>02-May-2026</t>
  </si>
  <si>
    <t>Guwhati</t>
  </si>
  <si>
    <t>03-May-2026</t>
  </si>
  <si>
    <t xml:space="preserve"> Imphal </t>
  </si>
  <si>
    <t>2026/05/20</t>
  </si>
  <si>
    <t>04-May-2026</t>
  </si>
  <si>
    <t>05-May-2026</t>
  </si>
  <si>
    <t>2026/05/23</t>
  </si>
  <si>
    <t>Thirty</t>
  </si>
  <si>
    <t>06-May-2026</t>
  </si>
  <si>
    <t>AS</t>
  </si>
  <si>
    <t>07-May-2026</t>
  </si>
  <si>
    <t>08-May-2026</t>
  </si>
  <si>
    <t>2026/05/18</t>
  </si>
  <si>
    <t>09-May-2026</t>
  </si>
  <si>
    <t>10-May-2026</t>
  </si>
  <si>
    <t>2026/05/10</t>
  </si>
  <si>
    <t>2026/05/14</t>
  </si>
  <si>
    <t>11-May-2026</t>
  </si>
  <si>
    <t>12-May-2026</t>
  </si>
  <si>
    <t>13-May-2026</t>
  </si>
  <si>
    <t>2026/05/04</t>
  </si>
  <si>
    <t>14-May-2026</t>
  </si>
  <si>
    <t>15-May-2026</t>
  </si>
  <si>
    <t>16-May-2026</t>
  </si>
  <si>
    <t>17-May-2026</t>
  </si>
  <si>
    <t>18-May-2026</t>
  </si>
  <si>
    <t>2026/05/29</t>
  </si>
  <si>
    <t>19-May-2026</t>
  </si>
  <si>
    <t>20-May-2026</t>
  </si>
  <si>
    <t>21-May-2026</t>
  </si>
  <si>
    <t>22-May-2026</t>
  </si>
  <si>
    <t>23-May-2026</t>
  </si>
  <si>
    <t>24-May-2026</t>
  </si>
  <si>
    <t>25-May-2026</t>
  </si>
  <si>
    <t>26-May-2026</t>
  </si>
  <si>
    <t>27-May-2026</t>
  </si>
  <si>
    <t>2026/05/17</t>
  </si>
  <si>
    <t>28-May-2026</t>
  </si>
  <si>
    <t>29-May-2026</t>
  </si>
  <si>
    <t>2026/05/28</t>
  </si>
  <si>
    <t>30-May-2026</t>
  </si>
  <si>
    <t>Remark</t>
  </si>
  <si>
    <t>Achievement</t>
  </si>
  <si>
    <t>Average Daily Sales</t>
  </si>
  <si>
    <t>DOS</t>
  </si>
  <si>
    <t>Stock Status Categories</t>
  </si>
  <si>
    <t>Average of DOS</t>
  </si>
  <si>
    <t>Healthy</t>
  </si>
  <si>
    <t>Low Stock</t>
  </si>
  <si>
    <t>Overstock</t>
  </si>
  <si>
    <t>Total Sales.</t>
  </si>
  <si>
    <t>Sales Contribution</t>
  </si>
  <si>
    <t>% Sales Achieved</t>
  </si>
  <si>
    <t>Total Sales</t>
  </si>
  <si>
    <t>Total Inward Supply</t>
  </si>
  <si>
    <t>Total Closing Stock</t>
  </si>
  <si>
    <t>Average DOS</t>
  </si>
  <si>
    <t>Stock Status</t>
  </si>
  <si>
    <t>Number of Model</t>
  </si>
  <si>
    <t>Best Performed Branch</t>
  </si>
  <si>
    <t xml:space="preserve"> Achievement %</t>
  </si>
  <si>
    <t>Total Target</t>
  </si>
  <si>
    <t/>
  </si>
  <si>
    <t xml:space="preserv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</si>
</sst>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name val="Calibri"/>
      <family val="2"/>
    </font>
    <font>
      <b/>
      <sz val="11"/>
      <color theme="1"/>
      <name val="Calibri"/>
      <family val="2"/>
      <scheme val="minor"/>
    </font>
    <font>
      <b/>
      <sz val="11"/>
      <name val="Calibri"/>
      <family val="2"/>
    </font>
  </fonts>
  <fills count="3">
    <fill>
      <patternFill patternType="none"/>
    </fill>
    <fill>
      <patternFill patternType="gray125"/>
    </fill>
    <fill>
      <patternFill patternType="solid">
        <fgColor rgb="FFEAF3F8"/>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0" borderId="0" xfId="0" applyNumberFormat="1"/>
  </cellXfs>
  <cellStyles count="1">
    <cellStyle name="Normal" xfId="0" builtinId="0"/>
  </cellStyles>
  <dxfs count="3">
    <dxf>
      <font>
        <color rgb="FFFF0000"/>
      </font>
    </dxf>
    <dxf>
      <numFmt numFmtId="19" formatCode="dd/mm/yyyy"/>
    </dxf>
    <dxf>
      <font>
        <b/>
        <i val="0"/>
        <strike val="0"/>
        <condense val="0"/>
        <extend val="0"/>
        <outline val="0"/>
        <shadow val="0"/>
        <u val="none"/>
        <vertAlign val="baseline"/>
        <sz val="11"/>
        <color theme="1"/>
        <name val="Calibri"/>
        <family val="2"/>
        <scheme val="minor"/>
      </font>
    </dxf>
  </dxfs>
  <tableStyles count="3" defaultTableStyle="TableStyleMedium9" defaultPivotStyle="PivotStyleLight16">
    <tableStyle name="Slicer Style 1" pivot="0" table="0" count="0" xr9:uid="{134F0199-B220-42EB-AA39-28AAF1E60EBF}"/>
    <tableStyle name="Slicer Style 2" pivot="0" table="0" count="1" xr9:uid="{BFF285F3-7E90-4382-9F7C-CFD9B1B5DE6D}"/>
    <tableStyle name="Slicer Style 3" pivot="0" table="0" count="1" xr9:uid="{4EA43047-1A64-4FD4-906A-8BCF6675106E}"/>
  </tableStyles>
  <colors>
    <mruColors>
      <color rgb="FFEAF3F8"/>
      <color rgb="FF000000"/>
      <color rgb="FF1794A9"/>
    </mruColors>
  </colors>
  <extLst>
    <ext xmlns:x14="http://schemas.microsoft.com/office/spreadsheetml/2009/9/main" uri="{46F421CA-312F-682f-3DD2-61675219B42D}">
      <x14:dxfs count="2">
        <dxf>
          <font>
            <color theme="4" tint="0.79998168889431442"/>
          </font>
        </dxf>
        <dxf>
          <font>
            <color rgb="FF1794A9"/>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[vivo_30days_logical_dummy_raw_data (1).xlsx]Pivot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Table'!$A$4:$A$10</c:f>
              <c:strCache>
                <c:ptCount val="7"/>
                <c:pt idx="0">
                  <c:v>Agartala</c:v>
                </c:pt>
                <c:pt idx="1">
                  <c:v>Dimapur</c:v>
                </c:pt>
                <c:pt idx="2">
                  <c:v>Guwahati</c:v>
                </c:pt>
                <c:pt idx="3">
                  <c:v>Imphal</c:v>
                </c:pt>
                <c:pt idx="4">
                  <c:v>Jorhat</c:v>
                </c:pt>
                <c:pt idx="5">
                  <c:v>Shillong</c:v>
                </c:pt>
                <c:pt idx="6">
                  <c:v>Silchar</c:v>
                </c:pt>
              </c:strCache>
            </c:strRef>
          </c:cat>
          <c:val>
            <c:numRef>
              <c:f>'Pivot Table'!$B$4:$B$10</c:f>
              <c:numCache>
                <c:formatCode>General</c:formatCode>
                <c:ptCount val="7"/>
                <c:pt idx="0">
                  <c:v>3469</c:v>
                </c:pt>
                <c:pt idx="1">
                  <c:v>3324</c:v>
                </c:pt>
                <c:pt idx="2">
                  <c:v>3889</c:v>
                </c:pt>
                <c:pt idx="3">
                  <c:v>3512</c:v>
                </c:pt>
                <c:pt idx="4">
                  <c:v>3424</c:v>
                </c:pt>
                <c:pt idx="5">
                  <c:v>3405</c:v>
                </c:pt>
                <c:pt idx="6">
                  <c:v>3579</c:v>
                </c:pt>
              </c:numCache>
            </c:numRef>
          </c:val>
          <c:extLst>
            <c:ext xmlns:c16="http://schemas.microsoft.com/office/drawing/2014/chart" uri="{C3380CC4-5D6E-409C-BE32-E72D297353CC}">
              <c16:uniqueId val="{00000002-B5C2-4F31-9A32-E63F7760D50E}"/>
            </c:ext>
          </c:extLst>
        </c:ser>
        <c:dLbls>
          <c:dLblPos val="inEnd"/>
          <c:showLegendKey val="0"/>
          <c:showVal val="1"/>
          <c:showCatName val="0"/>
          <c:showSerName val="0"/>
          <c:showPercent val="0"/>
          <c:showBubbleSize val="0"/>
        </c:dLbls>
        <c:gapWidth val="65"/>
        <c:axId val="217600"/>
        <c:axId val="218080"/>
      </c:barChart>
      <c:catAx>
        <c:axId val="2176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8080"/>
        <c:crosses val="autoZero"/>
        <c:auto val="1"/>
        <c:lblAlgn val="ctr"/>
        <c:lblOffset val="100"/>
        <c:noMultiLvlLbl val="0"/>
      </c:catAx>
      <c:valAx>
        <c:axId val="2180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[vivo_30days_logical_dummy_raw_data (1).xlsx]Pivot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contribution by Model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79-4C9C-A3D7-ED76A8F7D5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79-4C9C-A3D7-ED76A8F7D5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79-4C9C-A3D7-ED76A8F7D5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79-4C9C-A3D7-ED76A8F7D5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A79-4C9C-A3D7-ED76A8F7D51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A79-4C9C-A3D7-ED76A8F7D5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Table'!$D$4:$D$8</c:f>
              <c:strCache>
                <c:ptCount val="5"/>
                <c:pt idx="0">
                  <c:v>Ultra</c:v>
                </c:pt>
                <c:pt idx="1">
                  <c:v>V70FE</c:v>
                </c:pt>
                <c:pt idx="2">
                  <c:v>X300FE</c:v>
                </c:pt>
                <c:pt idx="3">
                  <c:v>Y11</c:v>
                </c:pt>
                <c:pt idx="4">
                  <c:v>Y21</c:v>
                </c:pt>
              </c:strCache>
            </c:strRef>
          </c:cat>
          <c:val>
            <c:numRef>
              <c:f>'Pivot Table'!$E$4:$E$8</c:f>
              <c:numCache>
                <c:formatCode>0.00%</c:formatCode>
                <c:ptCount val="5"/>
                <c:pt idx="0">
                  <c:v>9.0521095845866192E-2</c:v>
                </c:pt>
                <c:pt idx="1">
                  <c:v>0.18201772213641168</c:v>
                </c:pt>
                <c:pt idx="2">
                  <c:v>0.19140720266644989</c:v>
                </c:pt>
                <c:pt idx="3">
                  <c:v>0.27522152670514594</c:v>
                </c:pt>
                <c:pt idx="4">
                  <c:v>0.26083245264612631</c:v>
                </c:pt>
              </c:numCache>
            </c:numRef>
          </c:val>
          <c:extLst>
            <c:ext xmlns:c16="http://schemas.microsoft.com/office/drawing/2014/chart" uri="{C3380CC4-5D6E-409C-BE32-E72D297353CC}">
              <c16:uniqueId val="{00000002-C3AF-4926-A769-1E787FF8000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[vivo_30days_logical_dummy_raw_data (1).xlsx]Pivot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DOS</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Table'!$G$4:$G$8</c:f>
              <c:strCache>
                <c:ptCount val="5"/>
                <c:pt idx="0">
                  <c:v>Ultra</c:v>
                </c:pt>
                <c:pt idx="1">
                  <c:v>V70FE</c:v>
                </c:pt>
                <c:pt idx="2">
                  <c:v>X300FE</c:v>
                </c:pt>
                <c:pt idx="3">
                  <c:v>Y11</c:v>
                </c:pt>
                <c:pt idx="4">
                  <c:v>Y21</c:v>
                </c:pt>
              </c:strCache>
            </c:strRef>
          </c:cat>
          <c:val>
            <c:numRef>
              <c:f>'Pivot Table'!$H$4:$H$8</c:f>
              <c:numCache>
                <c:formatCode>General</c:formatCode>
                <c:ptCount val="5"/>
                <c:pt idx="0">
                  <c:v>40.373383584257681</c:v>
                </c:pt>
                <c:pt idx="1">
                  <c:v>12.354832376936074</c:v>
                </c:pt>
                <c:pt idx="2">
                  <c:v>13.941473254224228</c:v>
                </c:pt>
                <c:pt idx="3">
                  <c:v>4.9918671047571896</c:v>
                </c:pt>
                <c:pt idx="4">
                  <c:v>4.2618028437141549</c:v>
                </c:pt>
              </c:numCache>
            </c:numRef>
          </c:val>
          <c:extLst>
            <c:ext xmlns:c16="http://schemas.microsoft.com/office/drawing/2014/chart" uri="{C3380CC4-5D6E-409C-BE32-E72D297353CC}">
              <c16:uniqueId val="{00000002-AF8E-42CA-9584-0F8D5D2A8183}"/>
            </c:ext>
          </c:extLst>
        </c:ser>
        <c:dLbls>
          <c:showLegendKey val="0"/>
          <c:showVal val="0"/>
          <c:showCatName val="0"/>
          <c:showSerName val="0"/>
          <c:showPercent val="0"/>
          <c:showBubbleSize val="0"/>
        </c:dLbls>
        <c:gapWidth val="65"/>
        <c:shape val="box"/>
        <c:axId val="348946832"/>
        <c:axId val="348954512"/>
        <c:axId val="0"/>
      </c:bar3DChart>
      <c:catAx>
        <c:axId val="3489468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8954512"/>
        <c:crosses val="autoZero"/>
        <c:auto val="1"/>
        <c:lblAlgn val="ctr"/>
        <c:lblOffset val="100"/>
        <c:noMultiLvlLbl val="0"/>
      </c:catAx>
      <c:valAx>
        <c:axId val="3489545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894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[vivo_30days_logical_dummy_raw_data (1).xlsx]Pivot Table!PivotTable4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Percentage Sales Achieved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Table'!$J$4:$J$8</c:f>
              <c:strCache>
                <c:ptCount val="5"/>
                <c:pt idx="0">
                  <c:v>Ultra</c:v>
                </c:pt>
                <c:pt idx="1">
                  <c:v>V70FE</c:v>
                </c:pt>
                <c:pt idx="2">
                  <c:v>X300FE</c:v>
                </c:pt>
                <c:pt idx="3">
                  <c:v>Y11</c:v>
                </c:pt>
                <c:pt idx="4">
                  <c:v>Y21</c:v>
                </c:pt>
              </c:strCache>
            </c:strRef>
          </c:cat>
          <c:val>
            <c:numRef>
              <c:f>'Pivot Table'!$K$4:$K$8</c:f>
              <c:numCache>
                <c:formatCode>General</c:formatCode>
                <c:ptCount val="5"/>
                <c:pt idx="0">
                  <c:v>61.623950683897377</c:v>
                </c:pt>
                <c:pt idx="1">
                  <c:v>73.55826743417677</c:v>
                </c:pt>
                <c:pt idx="2">
                  <c:v>74.058008311183443</c:v>
                </c:pt>
                <c:pt idx="3">
                  <c:v>82.15844720813071</c:v>
                </c:pt>
                <c:pt idx="4">
                  <c:v>79.308963892144178</c:v>
                </c:pt>
              </c:numCache>
            </c:numRef>
          </c:val>
          <c:extLst>
            <c:ext xmlns:c16="http://schemas.microsoft.com/office/drawing/2014/chart" uri="{C3380CC4-5D6E-409C-BE32-E72D297353CC}">
              <c16:uniqueId val="{00000004-9A26-41CD-BABF-E5819E1E6227}"/>
            </c:ext>
          </c:extLst>
        </c:ser>
        <c:dLbls>
          <c:showLegendKey val="0"/>
          <c:showVal val="0"/>
          <c:showCatName val="0"/>
          <c:showSerName val="0"/>
          <c:showPercent val="0"/>
          <c:showBubbleSize val="0"/>
        </c:dLbls>
        <c:gapWidth val="219"/>
        <c:overlap val="-27"/>
        <c:axId val="2057639056"/>
        <c:axId val="2057639536"/>
      </c:barChart>
      <c:catAx>
        <c:axId val="2057639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7639536"/>
        <c:crosses val="autoZero"/>
        <c:auto val="1"/>
        <c:lblAlgn val="ctr"/>
        <c:lblOffset val="100"/>
        <c:noMultiLvlLbl val="0"/>
      </c:catAx>
      <c:valAx>
        <c:axId val="20576395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763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lin ang="162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[vivo_30days_logical_dummy_raw_data (1).xlsx]Pivot Table!PivotTable5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Stock Status by Model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Table'!$N$3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14-4A62-B1F5-AB30D4FD139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14-4A62-B1F5-AB30D4FD139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014-4A62-B1F5-AB30D4FD139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Table'!$M$4:$M$6</c:f>
              <c:strCache>
                <c:ptCount val="3"/>
                <c:pt idx="0">
                  <c:v>Healthy</c:v>
                </c:pt>
                <c:pt idx="1">
                  <c:v>Low Stock</c:v>
                </c:pt>
                <c:pt idx="2">
                  <c:v>Overstock</c:v>
                </c:pt>
              </c:strCache>
            </c:strRef>
          </c:cat>
          <c:val>
            <c:numRef>
              <c:f>'Pivot Table'!$N$4:$N$6</c:f>
              <c:numCache>
                <c:formatCode>General</c:formatCode>
                <c:ptCount val="3"/>
                <c:pt idx="0">
                  <c:v>197</c:v>
                </c:pt>
                <c:pt idx="1">
                  <c:v>719</c:v>
                </c:pt>
                <c:pt idx="2">
                  <c:v>134</c:v>
                </c:pt>
              </c:numCache>
            </c:numRef>
          </c:val>
          <c:extLst>
            <c:ext xmlns:c16="http://schemas.microsoft.com/office/drawing/2014/chart" uri="{C3380CC4-5D6E-409C-BE32-E72D297353CC}">
              <c16:uniqueId val="{00000002-663D-443D-B1F2-8A14E9EE3C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166544713598605"/>
          <c:y val="0.39599715693137555"/>
          <c:w val="0.33333303206149922"/>
          <c:h val="0.3587717113240311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[vivo_30days_logical_dummy_raw_data (1).xlsx]Pivot Table!PivotTable8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Inward</a:t>
            </a:r>
            <a:r>
              <a:rPr lang="en-US" baseline="0"/>
              <a:t> Supply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Table'!$V$3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Table'!$U$4:$U$8</c:f>
              <c:strCache>
                <c:ptCount val="5"/>
                <c:pt idx="0">
                  <c:v>Ultra</c:v>
                </c:pt>
                <c:pt idx="1">
                  <c:v>V70FE</c:v>
                </c:pt>
                <c:pt idx="2">
                  <c:v>X300FE</c:v>
                </c:pt>
                <c:pt idx="3">
                  <c:v>Y11</c:v>
                </c:pt>
                <c:pt idx="4">
                  <c:v>Y21</c:v>
                </c:pt>
              </c:strCache>
            </c:strRef>
          </c:cat>
          <c:val>
            <c:numRef>
              <c:f>'Pivot Table'!$V$4:$V$8</c:f>
              <c:numCache>
                <c:formatCode>General</c:formatCode>
                <c:ptCount val="5"/>
                <c:pt idx="0">
                  <c:v>6071</c:v>
                </c:pt>
                <c:pt idx="1">
                  <c:v>6073</c:v>
                </c:pt>
                <c:pt idx="2">
                  <c:v>7030</c:v>
                </c:pt>
                <c:pt idx="3">
                  <c:v>6190</c:v>
                </c:pt>
                <c:pt idx="4">
                  <c:v>5976</c:v>
                </c:pt>
              </c:numCache>
            </c:numRef>
          </c:val>
          <c:extLst>
            <c:ext xmlns:c16="http://schemas.microsoft.com/office/drawing/2014/chart" uri="{C3380CC4-5D6E-409C-BE32-E72D297353CC}">
              <c16:uniqueId val="{00000002-19E9-4811-A380-1144F682776B}"/>
            </c:ext>
          </c:extLst>
        </c:ser>
        <c:dLbls>
          <c:showLegendKey val="0"/>
          <c:showVal val="0"/>
          <c:showCatName val="0"/>
          <c:showSerName val="0"/>
          <c:showPercent val="0"/>
          <c:showBubbleSize val="0"/>
        </c:dLbls>
        <c:gapWidth val="65"/>
        <c:shape val="box"/>
        <c:axId val="478021488"/>
        <c:axId val="478021968"/>
        <c:axId val="0"/>
      </c:bar3DChart>
      <c:catAx>
        <c:axId val="478021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8021968"/>
        <c:crosses val="autoZero"/>
        <c:auto val="1"/>
        <c:lblAlgn val="ctr"/>
        <c:lblOffset val="100"/>
        <c:noMultiLvlLbl val="0"/>
      </c:catAx>
      <c:valAx>
        <c:axId val="4780219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802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[vivo_30days_logical_dummy_raw_data (1).xlsx]Pivot Table!PivotTable7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solidFill>
                  <a:schemeClr val="tx1"/>
                </a:solidFill>
              </a:rPr>
              <a:t>Average Dos by Model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Table'!$Q$3</c:f>
              <c:strCache>
                <c:ptCount val="1"/>
                <c:pt idx="0">
                  <c:v>Total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Table'!$P$4:$P$8</c:f>
              <c:strCache>
                <c:ptCount val="5"/>
                <c:pt idx="0">
                  <c:v>Ultra</c:v>
                </c:pt>
                <c:pt idx="1">
                  <c:v>X300FE</c:v>
                </c:pt>
                <c:pt idx="2">
                  <c:v>V70FE</c:v>
                </c:pt>
                <c:pt idx="3">
                  <c:v>Y11</c:v>
                </c:pt>
                <c:pt idx="4">
                  <c:v>Y21</c:v>
                </c:pt>
              </c:strCache>
            </c:strRef>
          </c:cat>
          <c:val>
            <c:numRef>
              <c:f>'Pivot Table'!$Q$4:$Q$8</c:f>
              <c:numCache>
                <c:formatCode>General</c:formatCode>
                <c:ptCount val="5"/>
                <c:pt idx="0">
                  <c:v>2227</c:v>
                </c:pt>
                <c:pt idx="1">
                  <c:v>4709</c:v>
                </c:pt>
                <c:pt idx="2">
                  <c:v>4478</c:v>
                </c:pt>
                <c:pt idx="3">
                  <c:v>6771</c:v>
                </c:pt>
                <c:pt idx="4">
                  <c:v>6417</c:v>
                </c:pt>
              </c:numCache>
            </c:numRef>
          </c:val>
          <c:extLst>
            <c:ext xmlns:c16="http://schemas.microsoft.com/office/drawing/2014/chart" uri="{C3380CC4-5D6E-409C-BE32-E72D297353CC}">
              <c16:uniqueId val="{00000000-240D-4960-A13B-C3874FEB5856}"/>
            </c:ext>
          </c:extLst>
        </c:ser>
        <c:ser>
          <c:idx val="1"/>
          <c:order val="1"/>
          <c:tx>
            <c:strRef>
              <c:f>'Pivot Table'!$R$3</c:f>
              <c:strCache>
                <c:ptCount val="1"/>
                <c:pt idx="0">
                  <c:v>Total Closing Stock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Table'!$P$4:$P$8</c:f>
              <c:strCache>
                <c:ptCount val="5"/>
                <c:pt idx="0">
                  <c:v>Ultra</c:v>
                </c:pt>
                <c:pt idx="1">
                  <c:v>X300FE</c:v>
                </c:pt>
                <c:pt idx="2">
                  <c:v>V70FE</c:v>
                </c:pt>
                <c:pt idx="3">
                  <c:v>Y11</c:v>
                </c:pt>
                <c:pt idx="4">
                  <c:v>Y21</c:v>
                </c:pt>
              </c:strCache>
            </c:strRef>
          </c:cat>
          <c:val>
            <c:numRef>
              <c:f>'Pivot Table'!$R$4:$R$8</c:f>
              <c:numCache>
                <c:formatCode>General</c:formatCode>
                <c:ptCount val="5"/>
                <c:pt idx="0">
                  <c:v>89788</c:v>
                </c:pt>
                <c:pt idx="1">
                  <c:v>65979</c:v>
                </c:pt>
                <c:pt idx="2">
                  <c:v>54848</c:v>
                </c:pt>
                <c:pt idx="3">
                  <c:v>33008</c:v>
                </c:pt>
                <c:pt idx="4">
                  <c:v>27342</c:v>
                </c:pt>
              </c:numCache>
            </c:numRef>
          </c:val>
          <c:extLst>
            <c:ext xmlns:c16="http://schemas.microsoft.com/office/drawing/2014/chart" uri="{C3380CC4-5D6E-409C-BE32-E72D297353CC}">
              <c16:uniqueId val="{00000001-240D-4960-A13B-C3874FEB5856}"/>
            </c:ext>
          </c:extLst>
        </c:ser>
        <c:ser>
          <c:idx val="2"/>
          <c:order val="2"/>
          <c:tx>
            <c:strRef>
              <c:f>'Pivot Table'!$S$3</c:f>
              <c:strCache>
                <c:ptCount val="1"/>
                <c:pt idx="0">
                  <c:v>Average DOS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Table'!$P$4:$P$8</c:f>
              <c:strCache>
                <c:ptCount val="5"/>
                <c:pt idx="0">
                  <c:v>Ultra</c:v>
                </c:pt>
                <c:pt idx="1">
                  <c:v>X300FE</c:v>
                </c:pt>
                <c:pt idx="2">
                  <c:v>V70FE</c:v>
                </c:pt>
                <c:pt idx="3">
                  <c:v>Y11</c:v>
                </c:pt>
                <c:pt idx="4">
                  <c:v>Y21</c:v>
                </c:pt>
              </c:strCache>
            </c:strRef>
          </c:cat>
          <c:val>
            <c:numRef>
              <c:f>'Pivot Table'!$S$4:$S$8</c:f>
              <c:numCache>
                <c:formatCode>General</c:formatCode>
                <c:ptCount val="5"/>
                <c:pt idx="0">
                  <c:v>40.373383584257681</c:v>
                </c:pt>
                <c:pt idx="1">
                  <c:v>13.941473254224228</c:v>
                </c:pt>
                <c:pt idx="2">
                  <c:v>12.354832376936074</c:v>
                </c:pt>
                <c:pt idx="3">
                  <c:v>4.9918671047571896</c:v>
                </c:pt>
                <c:pt idx="4">
                  <c:v>4.2618028437141549</c:v>
                </c:pt>
              </c:numCache>
            </c:numRef>
          </c:val>
          <c:extLst>
            <c:ext xmlns:c16="http://schemas.microsoft.com/office/drawing/2014/chart" uri="{C3380CC4-5D6E-409C-BE32-E72D297353CC}">
              <c16:uniqueId val="{00000002-240D-4960-A13B-C3874FEB5856}"/>
            </c:ext>
          </c:extLst>
        </c:ser>
        <c:dLbls>
          <c:showLegendKey val="0"/>
          <c:showVal val="0"/>
          <c:showCatName val="0"/>
          <c:showSerName val="0"/>
          <c:showPercent val="0"/>
          <c:showBubbleSize val="0"/>
        </c:dLbls>
        <c:gapWidth val="150"/>
        <c:shape val="box"/>
        <c:axId val="185166160"/>
        <c:axId val="185164720"/>
        <c:axId val="336817920"/>
      </c:bar3DChart>
      <c:catAx>
        <c:axId val="185166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164720"/>
        <c:crosses val="autoZero"/>
        <c:auto val="1"/>
        <c:lblAlgn val="ctr"/>
        <c:lblOffset val="100"/>
        <c:noMultiLvlLbl val="0"/>
      </c:catAx>
      <c:valAx>
        <c:axId val="1851647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166160"/>
        <c:crosses val="autoZero"/>
        <c:crossBetween val="between"/>
      </c:valAx>
      <c:serAx>
        <c:axId val="336817920"/>
        <c:scaling>
          <c:orientation val="minMax"/>
        </c:scaling>
        <c:delete val="0"/>
        <c:axPos val="b"/>
        <c:majorTickMark val="out"/>
        <c:minorTickMark val="none"/>
        <c:tickLblPos val="nextTo"/>
        <c:spPr>
          <a:solidFill>
            <a:srgbClr val="000000"/>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1647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lin ang="162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[vivo_30days_logical_dummy_raw_data (1).xlsx]Pivot Table!PivotTable6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Performance Chart by Branch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Table'!$Y$3</c:f>
              <c:strCache>
                <c:ptCount val="1"/>
                <c:pt idx="0">
                  <c:v>Total Sales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Table'!$X$4:$X$10</c:f>
              <c:strCache>
                <c:ptCount val="7"/>
                <c:pt idx="0">
                  <c:v>Silchar</c:v>
                </c:pt>
                <c:pt idx="1">
                  <c:v>Agartala</c:v>
                </c:pt>
                <c:pt idx="2">
                  <c:v>Dimapur</c:v>
                </c:pt>
                <c:pt idx="3">
                  <c:v>Guwahati</c:v>
                </c:pt>
                <c:pt idx="4">
                  <c:v>Imphal</c:v>
                </c:pt>
                <c:pt idx="5">
                  <c:v>Shillong</c:v>
                </c:pt>
                <c:pt idx="6">
                  <c:v>Jorhat</c:v>
                </c:pt>
              </c:strCache>
            </c:strRef>
          </c:cat>
          <c:val>
            <c:numRef>
              <c:f>'Pivot Table'!$Y$4:$Y$10</c:f>
              <c:numCache>
                <c:formatCode>General</c:formatCode>
                <c:ptCount val="7"/>
                <c:pt idx="0">
                  <c:v>3579</c:v>
                </c:pt>
                <c:pt idx="1">
                  <c:v>3469</c:v>
                </c:pt>
                <c:pt idx="2">
                  <c:v>3324</c:v>
                </c:pt>
                <c:pt idx="3">
                  <c:v>3889</c:v>
                </c:pt>
                <c:pt idx="4">
                  <c:v>3512</c:v>
                </c:pt>
                <c:pt idx="5">
                  <c:v>3405</c:v>
                </c:pt>
                <c:pt idx="6">
                  <c:v>3424</c:v>
                </c:pt>
              </c:numCache>
            </c:numRef>
          </c:val>
          <c:extLst>
            <c:ext xmlns:c16="http://schemas.microsoft.com/office/drawing/2014/chart" uri="{C3380CC4-5D6E-409C-BE32-E72D297353CC}">
              <c16:uniqueId val="{00000000-DE4E-4983-AEF9-D3FE7AF6057E}"/>
            </c:ext>
          </c:extLst>
        </c:ser>
        <c:ser>
          <c:idx val="1"/>
          <c:order val="1"/>
          <c:tx>
            <c:strRef>
              <c:f>'Pivot Table'!$Z$3</c:f>
              <c:strCache>
                <c:ptCount val="1"/>
                <c:pt idx="0">
                  <c:v>Total Target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Table'!$X$4:$X$10</c:f>
              <c:strCache>
                <c:ptCount val="7"/>
                <c:pt idx="0">
                  <c:v>Silchar</c:v>
                </c:pt>
                <c:pt idx="1">
                  <c:v>Agartala</c:v>
                </c:pt>
                <c:pt idx="2">
                  <c:v>Dimapur</c:v>
                </c:pt>
                <c:pt idx="3">
                  <c:v>Guwahati</c:v>
                </c:pt>
                <c:pt idx="4">
                  <c:v>Imphal</c:v>
                </c:pt>
                <c:pt idx="5">
                  <c:v>Shillong</c:v>
                </c:pt>
                <c:pt idx="6">
                  <c:v>Jorhat</c:v>
                </c:pt>
              </c:strCache>
            </c:strRef>
          </c:cat>
          <c:val>
            <c:numRef>
              <c:f>'Pivot Table'!$Z$4:$Z$10</c:f>
              <c:numCache>
                <c:formatCode>General</c:formatCode>
                <c:ptCount val="7"/>
                <c:pt idx="0">
                  <c:v>4584</c:v>
                </c:pt>
                <c:pt idx="1">
                  <c:v>4444</c:v>
                </c:pt>
                <c:pt idx="2">
                  <c:v>4263</c:v>
                </c:pt>
                <c:pt idx="3">
                  <c:v>4991</c:v>
                </c:pt>
                <c:pt idx="4">
                  <c:v>4572</c:v>
                </c:pt>
                <c:pt idx="5">
                  <c:v>4494</c:v>
                </c:pt>
                <c:pt idx="6">
                  <c:v>4568</c:v>
                </c:pt>
              </c:numCache>
            </c:numRef>
          </c:val>
          <c:extLst>
            <c:ext xmlns:c16="http://schemas.microsoft.com/office/drawing/2014/chart" uri="{C3380CC4-5D6E-409C-BE32-E72D297353CC}">
              <c16:uniqueId val="{00000001-DE4E-4983-AEF9-D3FE7AF6057E}"/>
            </c:ext>
          </c:extLst>
        </c:ser>
        <c:ser>
          <c:idx val="2"/>
          <c:order val="2"/>
          <c:tx>
            <c:strRef>
              <c:f>'Pivot Table'!$AA$3</c:f>
              <c:strCache>
                <c:ptCount val="1"/>
                <c:pt idx="0">
                  <c:v> Achievement %</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Table'!$X$4:$X$10</c:f>
              <c:strCache>
                <c:ptCount val="7"/>
                <c:pt idx="0">
                  <c:v>Silchar</c:v>
                </c:pt>
                <c:pt idx="1">
                  <c:v>Agartala</c:v>
                </c:pt>
                <c:pt idx="2">
                  <c:v>Dimapur</c:v>
                </c:pt>
                <c:pt idx="3">
                  <c:v>Guwahati</c:v>
                </c:pt>
                <c:pt idx="4">
                  <c:v>Imphal</c:v>
                </c:pt>
                <c:pt idx="5">
                  <c:v>Shillong</c:v>
                </c:pt>
                <c:pt idx="6">
                  <c:v>Jorhat</c:v>
                </c:pt>
              </c:strCache>
            </c:strRef>
          </c:cat>
          <c:val>
            <c:numRef>
              <c:f>'Pivot Table'!$AA$4:$AA$10</c:f>
              <c:numCache>
                <c:formatCode>General</c:formatCode>
                <c:ptCount val="7"/>
                <c:pt idx="0">
                  <c:v>0.78075916230366493</c:v>
                </c:pt>
                <c:pt idx="1">
                  <c:v>0.78060306030603055</c:v>
                </c:pt>
                <c:pt idx="2">
                  <c:v>0.77973258268824774</c:v>
                </c:pt>
                <c:pt idx="3">
                  <c:v>0.77920256461630932</c:v>
                </c:pt>
                <c:pt idx="4">
                  <c:v>0.76815398075240593</c:v>
                </c:pt>
                <c:pt idx="5">
                  <c:v>0.7576769025367156</c:v>
                </c:pt>
                <c:pt idx="6">
                  <c:v>0.74956217162872152</c:v>
                </c:pt>
              </c:numCache>
            </c:numRef>
          </c:val>
          <c:extLst>
            <c:ext xmlns:c16="http://schemas.microsoft.com/office/drawing/2014/chart" uri="{C3380CC4-5D6E-409C-BE32-E72D297353CC}">
              <c16:uniqueId val="{00000002-DE4E-4983-AEF9-D3FE7AF6057E}"/>
            </c:ext>
          </c:extLst>
        </c:ser>
        <c:dLbls>
          <c:showLegendKey val="0"/>
          <c:showVal val="0"/>
          <c:showCatName val="0"/>
          <c:showSerName val="0"/>
          <c:showPercent val="0"/>
          <c:showBubbleSize val="0"/>
        </c:dLbls>
        <c:gapWidth val="65"/>
        <c:shape val="box"/>
        <c:axId val="614199983"/>
        <c:axId val="614187023"/>
        <c:axId val="0"/>
      </c:bar3DChart>
      <c:catAx>
        <c:axId val="6141999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4187023"/>
        <c:crosses val="autoZero"/>
        <c:auto val="1"/>
        <c:lblAlgn val="ctr"/>
        <c:lblOffset val="100"/>
        <c:noMultiLvlLbl val="0"/>
      </c:catAx>
      <c:valAx>
        <c:axId val="61418702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41999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[vivo_30days_logical_dummy_raw_data (1).xlsx]Pivot Table!PivotTable9</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Table'!$AD$3:$AD$4</c:f>
              <c:strCache>
                <c:ptCount val="1"/>
                <c:pt idx="0">
                  <c:v>Healthy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4C-4FAA-92F2-4539B6788E4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4C-4FAA-92F2-4539B6788E4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E4C-4FAA-92F2-4539B6788E4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E4C-4FAA-92F2-4539B6788E4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E4C-4FAA-92F2-4539B6788E4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Table'!$AC$5:$AC$9</c:f>
              <c:strCache>
                <c:ptCount val="5"/>
                <c:pt idx="0">
                  <c:v>Ultra</c:v>
                </c:pt>
                <c:pt idx="1">
                  <c:v>V70FE</c:v>
                </c:pt>
                <c:pt idx="2">
                  <c:v>X300FE</c:v>
                </c:pt>
                <c:pt idx="3">
                  <c:v>Y11</c:v>
                </c:pt>
                <c:pt idx="4">
                  <c:v>Y21</c:v>
                </c:pt>
              </c:strCache>
            </c:strRef>
          </c:cat>
          <c:val>
            <c:numRef>
              <c:f>'Pivot Table'!$AD$5:$AD$9</c:f>
              <c:numCache>
                <c:formatCode>General</c:formatCode>
                <c:ptCount val="5"/>
                <c:pt idx="0">
                  <c:v>63</c:v>
                </c:pt>
                <c:pt idx="1">
                  <c:v>55</c:v>
                </c:pt>
                <c:pt idx="2">
                  <c:v>79</c:v>
                </c:pt>
              </c:numCache>
            </c:numRef>
          </c:val>
          <c:extLst>
            <c:ext xmlns:c16="http://schemas.microsoft.com/office/drawing/2014/chart" uri="{C3380CC4-5D6E-409C-BE32-E72D297353CC}">
              <c16:uniqueId val="{00000000-C042-4671-9EB6-1A13D9369DF1}"/>
            </c:ext>
          </c:extLst>
        </c:ser>
        <c:ser>
          <c:idx val="1"/>
          <c:order val="1"/>
          <c:tx>
            <c:strRef>
              <c:f>'Pivot Table'!$AE$3:$AE$4</c:f>
              <c:strCache>
                <c:ptCount val="1"/>
                <c:pt idx="0">
                  <c:v>Low Stock</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E4C-4FAA-92F2-4539B6788E4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E4C-4FAA-92F2-4539B6788E4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E4C-4FAA-92F2-4539B6788E4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E4C-4FAA-92F2-4539B6788E4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E4C-4FAA-92F2-4539B6788E4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Table'!$AC$5:$AC$9</c:f>
              <c:strCache>
                <c:ptCount val="5"/>
                <c:pt idx="0">
                  <c:v>Ultra</c:v>
                </c:pt>
                <c:pt idx="1">
                  <c:v>V70FE</c:v>
                </c:pt>
                <c:pt idx="2">
                  <c:v>X300FE</c:v>
                </c:pt>
                <c:pt idx="3">
                  <c:v>Y11</c:v>
                </c:pt>
                <c:pt idx="4">
                  <c:v>Y21</c:v>
                </c:pt>
              </c:strCache>
            </c:strRef>
          </c:cat>
          <c:val>
            <c:numRef>
              <c:f>'Pivot Table'!$AE$5:$AE$9</c:f>
              <c:numCache>
                <c:formatCode>General</c:formatCode>
                <c:ptCount val="5"/>
                <c:pt idx="0">
                  <c:v>9</c:v>
                </c:pt>
                <c:pt idx="1">
                  <c:v>155</c:v>
                </c:pt>
                <c:pt idx="2">
                  <c:v>140</c:v>
                </c:pt>
                <c:pt idx="3">
                  <c:v>209</c:v>
                </c:pt>
                <c:pt idx="4">
                  <c:v>206</c:v>
                </c:pt>
              </c:numCache>
            </c:numRef>
          </c:val>
          <c:extLst>
            <c:ext xmlns:c16="http://schemas.microsoft.com/office/drawing/2014/chart" uri="{C3380CC4-5D6E-409C-BE32-E72D297353CC}">
              <c16:uniqueId val="{00000001-C042-4671-9EB6-1A13D9369DF1}"/>
            </c:ext>
          </c:extLst>
        </c:ser>
        <c:ser>
          <c:idx val="2"/>
          <c:order val="2"/>
          <c:tx>
            <c:strRef>
              <c:f>'Pivot Table'!$AF$3:$AF$4</c:f>
              <c:strCache>
                <c:ptCount val="1"/>
                <c:pt idx="0">
                  <c:v>Overstock</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0E4C-4FAA-92F2-4539B6788E4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0E4C-4FAA-92F2-4539B6788E4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0E4C-4FAA-92F2-4539B6788E4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0E4C-4FAA-92F2-4539B6788E4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0E4C-4FAA-92F2-4539B6788E4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Table'!$AC$5:$AC$9</c:f>
              <c:strCache>
                <c:ptCount val="5"/>
                <c:pt idx="0">
                  <c:v>Ultra</c:v>
                </c:pt>
                <c:pt idx="1">
                  <c:v>V70FE</c:v>
                </c:pt>
                <c:pt idx="2">
                  <c:v>X300FE</c:v>
                </c:pt>
                <c:pt idx="3">
                  <c:v>Y11</c:v>
                </c:pt>
                <c:pt idx="4">
                  <c:v>Y21</c:v>
                </c:pt>
              </c:strCache>
            </c:strRef>
          </c:cat>
          <c:val>
            <c:numRef>
              <c:f>'Pivot Table'!$AF$5:$AF$9</c:f>
              <c:numCache>
                <c:formatCode>General</c:formatCode>
                <c:ptCount val="5"/>
                <c:pt idx="0">
                  <c:v>133</c:v>
                </c:pt>
                <c:pt idx="2">
                  <c:v>1</c:v>
                </c:pt>
              </c:numCache>
            </c:numRef>
          </c:val>
          <c:extLst>
            <c:ext xmlns:c16="http://schemas.microsoft.com/office/drawing/2014/chart" uri="{C3380CC4-5D6E-409C-BE32-E72D297353CC}">
              <c16:uniqueId val="{00000002-C042-4671-9EB6-1A13D9369DF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12699</xdr:rowOff>
    </xdr:from>
    <xdr:to>
      <xdr:col>2</xdr:col>
      <xdr:colOff>6350</xdr:colOff>
      <xdr:row>25</xdr:row>
      <xdr:rowOff>184726</xdr:rowOff>
    </xdr:to>
    <xdr:graphicFrame macro="">
      <xdr:nvGraphicFramePr>
        <xdr:cNvPr id="2" name="Chart 1">
          <a:extLst>
            <a:ext uri="{FF2B5EF4-FFF2-40B4-BE49-F238E27FC236}">
              <a16:creationId xmlns:a16="http://schemas.microsoft.com/office/drawing/2014/main" id="{AB312A99-B614-8F49-CB2E-84D05752A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603250</xdr:colOff>
      <xdr:row>11</xdr:row>
      <xdr:rowOff>12699</xdr:rowOff>
    </xdr:from>
    <xdr:to>
      <xdr:col>5</xdr:col>
      <xdr:colOff>19050</xdr:colOff>
      <xdr:row>25</xdr:row>
      <xdr:rowOff>184726</xdr:rowOff>
    </xdr:to>
    <xdr:graphicFrame macro="">
      <xdr:nvGraphicFramePr>
        <xdr:cNvPr id="3" name="Chart 2">
          <a:extLst>
            <a:ext uri="{FF2B5EF4-FFF2-40B4-BE49-F238E27FC236}">
              <a16:creationId xmlns:a16="http://schemas.microsoft.com/office/drawing/2014/main" id="{59B51979-524A-7E0F-A860-CE20BC864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6350</xdr:colOff>
      <xdr:row>11</xdr:row>
      <xdr:rowOff>6349</xdr:rowOff>
    </xdr:from>
    <xdr:to>
      <xdr:col>8</xdr:col>
      <xdr:colOff>0</xdr:colOff>
      <xdr:row>26</xdr:row>
      <xdr:rowOff>11545</xdr:rowOff>
    </xdr:to>
    <xdr:graphicFrame macro="">
      <xdr:nvGraphicFramePr>
        <xdr:cNvPr id="4" name="Chart 3">
          <a:extLst>
            <a:ext uri="{FF2B5EF4-FFF2-40B4-BE49-F238E27FC236}">
              <a16:creationId xmlns:a16="http://schemas.microsoft.com/office/drawing/2014/main" id="{6FBF2A5F-93AB-B17B-4360-92256FAEF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6350</xdr:colOff>
      <xdr:row>11</xdr:row>
      <xdr:rowOff>6350</xdr:rowOff>
    </xdr:from>
    <xdr:to>
      <xdr:col>10</xdr:col>
      <xdr:colOff>2274455</xdr:colOff>
      <xdr:row>26</xdr:row>
      <xdr:rowOff>23091</xdr:rowOff>
    </xdr:to>
    <xdr:graphicFrame macro="">
      <xdr:nvGraphicFramePr>
        <xdr:cNvPr id="6" name="Chart 5">
          <a:extLst>
            <a:ext uri="{FF2B5EF4-FFF2-40B4-BE49-F238E27FC236}">
              <a16:creationId xmlns:a16="http://schemas.microsoft.com/office/drawing/2014/main" id="{94DEA541-DB0A-E06A-E37D-B78D61EA7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6350</xdr:colOff>
      <xdr:row>10</xdr:row>
      <xdr:rowOff>184725</xdr:rowOff>
    </xdr:from>
    <xdr:to>
      <xdr:col>14</xdr:col>
      <xdr:colOff>19050</xdr:colOff>
      <xdr:row>25</xdr:row>
      <xdr:rowOff>161635</xdr:rowOff>
    </xdr:to>
    <xdr:graphicFrame macro="">
      <xdr:nvGraphicFramePr>
        <xdr:cNvPr id="8" name="Chart 7">
          <a:extLst>
            <a:ext uri="{FF2B5EF4-FFF2-40B4-BE49-F238E27FC236}">
              <a16:creationId xmlns:a16="http://schemas.microsoft.com/office/drawing/2014/main" id="{AD074944-FA50-A5A5-9BA1-0FCDFD1A1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12700</xdr:colOff>
      <xdr:row>11</xdr:row>
      <xdr:rowOff>24681</xdr:rowOff>
    </xdr:from>
    <xdr:to>
      <xdr:col>22</xdr:col>
      <xdr:colOff>0</xdr:colOff>
      <xdr:row>25</xdr:row>
      <xdr:rowOff>164381</xdr:rowOff>
    </xdr:to>
    <xdr:graphicFrame macro="">
      <xdr:nvGraphicFramePr>
        <xdr:cNvPr id="9" name="Chart 8">
          <a:extLst>
            <a:ext uri="{FF2B5EF4-FFF2-40B4-BE49-F238E27FC236}">
              <a16:creationId xmlns:a16="http://schemas.microsoft.com/office/drawing/2014/main" id="{352E84CC-D88C-2F67-25D1-EBCEE5346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696948</xdr:colOff>
      <xdr:row>0</xdr:row>
      <xdr:rowOff>0</xdr:rowOff>
    </xdr:from>
    <xdr:ext cx="9093598" cy="598690"/>
    <xdr:sp macro="" textlink="">
      <xdr:nvSpPr>
        <xdr:cNvPr id="12" name="Rectangle 11">
          <a:extLst>
            <a:ext uri="{FF2B5EF4-FFF2-40B4-BE49-F238E27FC236}">
              <a16:creationId xmlns:a16="http://schemas.microsoft.com/office/drawing/2014/main" id="{4C538AC3-42D7-8456-0A50-056941CCE05B}"/>
            </a:ext>
          </a:extLst>
        </xdr:cNvPr>
        <xdr:cNvSpPr/>
      </xdr:nvSpPr>
      <xdr:spPr>
        <a:xfrm>
          <a:off x="7635766" y="0"/>
          <a:ext cx="9093598" cy="598690"/>
        </a:xfrm>
        <a:prstGeom prst="rect">
          <a:avLst/>
        </a:prstGeom>
        <a:solidFill>
          <a:srgbClr val="1794A9"/>
        </a:solidFill>
      </xdr:spPr>
      <xdr:style>
        <a:lnRef idx="1">
          <a:schemeClr val="accent1"/>
        </a:lnRef>
        <a:fillRef idx="2">
          <a:schemeClr val="accent1"/>
        </a:fillRef>
        <a:effectRef idx="1">
          <a:schemeClr val="accent1"/>
        </a:effectRef>
        <a:fontRef idx="minor">
          <a:schemeClr val="dk1"/>
        </a:fontRef>
      </xdr:style>
      <xdr:txBody>
        <a:bodyPr wrap="square" lIns="91440" tIns="45720" rIns="91440" bIns="45720">
          <a:spAutoFit/>
        </a:bodyPr>
        <a:lstStyle/>
        <a:p>
          <a:pPr algn="ctr"/>
          <a:r>
            <a:rPr lang="en-IN" sz="2800">
              <a:solidFill>
                <a:schemeClr val="bg1"/>
              </a:solidFill>
              <a:latin typeface="Arial Black" panose="020B0A04020102020204" pitchFamily="34" charset="0"/>
            </a:rPr>
            <a:t>Sales &amp; Stock Performance Dashboard</a:t>
          </a:r>
          <a:endParaRPr lang="en-US" sz="2800" b="0" cap="none" spc="0">
            <a:ln w="0"/>
            <a:solidFill>
              <a:schemeClr val="bg1"/>
            </a:solidFill>
            <a:effectLst>
              <a:reflection blurRad="6350" stA="53000" endA="300" endPos="35500" dir="5400000" sy="-90000" algn="bl" rotWithShape="0"/>
            </a:effectLst>
            <a:latin typeface="Arial Black" panose="020B0A04020102020204" pitchFamily="34" charset="0"/>
          </a:endParaRPr>
        </a:p>
      </xdr:txBody>
    </xdr:sp>
    <xdr:clientData/>
  </xdr:oneCellAnchor>
  <xdr:twoCellAnchor editAs="oneCell">
    <xdr:from>
      <xdr:col>9</xdr:col>
      <xdr:colOff>1000414</xdr:colOff>
      <xdr:row>1</xdr:row>
      <xdr:rowOff>277090</xdr:rowOff>
    </xdr:from>
    <xdr:to>
      <xdr:col>14</xdr:col>
      <xdr:colOff>499205</xdr:colOff>
      <xdr:row>1</xdr:row>
      <xdr:rowOff>1015999</xdr:rowOff>
    </xdr:to>
    <mc:AlternateContent xmlns:mc="http://schemas.openxmlformats.org/markup-compatibility/2006" xmlns:a14="http://schemas.microsoft.com/office/drawing/2010/main">
      <mc:Choice Requires="a14">
        <xdr:graphicFrame macro="">
          <xdr:nvGraphicFramePr>
            <xdr:cNvPr id="14" name="Model">
              <a:extLst>
                <a:ext uri="{FF2B5EF4-FFF2-40B4-BE49-F238E27FC236}">
                  <a16:creationId xmlns:a16="http://schemas.microsoft.com/office/drawing/2014/main" id="{5B2B697A-F3BA-DA95-9134-4659C522F08F}"/>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8173231" y="938921"/>
              <a:ext cx="4516185" cy="738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432256</xdr:colOff>
      <xdr:row>1</xdr:row>
      <xdr:rowOff>277090</xdr:rowOff>
    </xdr:from>
    <xdr:to>
      <xdr:col>21</xdr:col>
      <xdr:colOff>518451</xdr:colOff>
      <xdr:row>1</xdr:row>
      <xdr:rowOff>961572</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219D9B31-853B-5A6E-5227-7965D95D0B1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784803" y="744354"/>
              <a:ext cx="5909026" cy="684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669470</xdr:colOff>
      <xdr:row>1</xdr:row>
      <xdr:rowOff>272143</xdr:rowOff>
    </xdr:from>
    <xdr:to>
      <xdr:col>9</xdr:col>
      <xdr:colOff>309292</xdr:colOff>
      <xdr:row>1</xdr:row>
      <xdr:rowOff>1027468</xdr:rowOff>
    </xdr:to>
    <mc:AlternateContent xmlns:mc="http://schemas.openxmlformats.org/markup-compatibility/2006" xmlns:a14="http://schemas.microsoft.com/office/drawing/2010/main">
      <mc:Choice Requires="a14">
        <xdr:graphicFrame macro="">
          <xdr:nvGraphicFramePr>
            <xdr:cNvPr id="17" name="Branch">
              <a:extLst>
                <a:ext uri="{FF2B5EF4-FFF2-40B4-BE49-F238E27FC236}">
                  <a16:creationId xmlns:a16="http://schemas.microsoft.com/office/drawing/2014/main" id="{747C4ACE-CCDB-62DD-3524-087BC4CA737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69470" y="745507"/>
              <a:ext cx="6862290" cy="752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20710</xdr:colOff>
      <xdr:row>11</xdr:row>
      <xdr:rowOff>23775</xdr:rowOff>
    </xdr:from>
    <xdr:to>
      <xdr:col>19</xdr:col>
      <xdr:colOff>0</xdr:colOff>
      <xdr:row>26</xdr:row>
      <xdr:rowOff>4622</xdr:rowOff>
    </xdr:to>
    <xdr:graphicFrame macro="">
      <xdr:nvGraphicFramePr>
        <xdr:cNvPr id="5" name="Chart 4">
          <a:extLst>
            <a:ext uri="{FF2B5EF4-FFF2-40B4-BE49-F238E27FC236}">
              <a16:creationId xmlns:a16="http://schemas.microsoft.com/office/drawing/2014/main" id="{1642FEEA-BF32-10E1-BEAB-95B3F7E63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3578</xdr:colOff>
      <xdr:row>10</xdr:row>
      <xdr:rowOff>184599</xdr:rowOff>
    </xdr:from>
    <xdr:to>
      <xdr:col>27</xdr:col>
      <xdr:colOff>26831</xdr:colOff>
      <xdr:row>25</xdr:row>
      <xdr:rowOff>110545</xdr:rowOff>
    </xdr:to>
    <xdr:graphicFrame macro="">
      <xdr:nvGraphicFramePr>
        <xdr:cNvPr id="7" name="Chart 6">
          <a:extLst>
            <a:ext uri="{FF2B5EF4-FFF2-40B4-BE49-F238E27FC236}">
              <a16:creationId xmlns:a16="http://schemas.microsoft.com/office/drawing/2014/main" id="{C5F9AB91-224B-1482-491D-18451B38F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721591</xdr:colOff>
      <xdr:row>10</xdr:row>
      <xdr:rowOff>146627</xdr:rowOff>
    </xdr:from>
    <xdr:to>
      <xdr:col>32</xdr:col>
      <xdr:colOff>46182</xdr:colOff>
      <xdr:row>25</xdr:row>
      <xdr:rowOff>118918</xdr:rowOff>
    </xdr:to>
    <xdr:graphicFrame macro="">
      <xdr:nvGraphicFramePr>
        <xdr:cNvPr id="10" name="Chart 9">
          <a:extLst>
            <a:ext uri="{FF2B5EF4-FFF2-40B4-BE49-F238E27FC236}">
              <a16:creationId xmlns:a16="http://schemas.microsoft.com/office/drawing/2014/main" id="{6A95BC39-1A6B-DCD8-8022-C09AD6C0B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tu bharadwaj" refreshedDate="46163.842063310185" createdVersion="8" refreshedVersion="8" minRefreshableVersion="3" recordCount="1050" xr:uid="{67F3753A-A178-47E1-8208-6C22352C24E6}">
  <cacheSource type="worksheet">
    <worksheetSource name="Table2"/>
  </cacheSource>
  <cacheFields count="17">
    <cacheField name="Date" numFmtId="14">
      <sharedItems containsSemiMixedTypes="0" containsNonDate="0" containsDate="1" containsString="0" minDate="2026-05-01T00:00:00" maxDate="2026-05-31T00:00:00"/>
    </cacheField>
    <cacheField name="State" numFmtId="0">
      <sharedItems count="5">
        <s v="Assam"/>
        <s v="Meghalaya"/>
        <s v="Tripura"/>
        <s v="Manipur"/>
        <s v="Nagaland"/>
      </sharedItems>
    </cacheField>
    <cacheField name="Branch" numFmtId="0">
      <sharedItems count="7">
        <s v="Guwahati"/>
        <s v="Silchar"/>
        <s v="Jorhat"/>
        <s v="Shillong"/>
        <s v="Agartala"/>
        <s v="Imphal"/>
        <s v="Dimapur"/>
      </sharedItems>
    </cacheField>
    <cacheField name="Model" numFmtId="0">
      <sharedItems count="6">
        <s v="X300FE"/>
        <s v="V70FE"/>
        <s v="Y21"/>
        <s v="Y11"/>
        <s v="Ultra"/>
        <s v="X-300FE" u="1"/>
      </sharedItems>
    </cacheField>
    <cacheField name="Segment" numFmtId="0">
      <sharedItems/>
    </cacheField>
    <cacheField name="Opening Stock" numFmtId="0">
      <sharedItems containsSemiMixedTypes="0" containsString="0" containsNumber="1" containsInteger="1" minValue="0" maxValue="858"/>
    </cacheField>
    <cacheField name="Inward Supply" numFmtId="0">
      <sharedItems containsSemiMixedTypes="0" containsString="0" containsNumber="1" containsInteger="1" minValue="0" maxValue="60"/>
    </cacheField>
    <cacheField name="Sell Out" numFmtId="0">
      <sharedItems containsSemiMixedTypes="0" containsString="0" containsNumber="1" containsInteger="1" minValue="3" maxValue="50"/>
    </cacheField>
    <cacheField name="Closing Stock" numFmtId="0">
      <sharedItems containsSemiMixedTypes="0" containsString="0" containsNumber="1" containsInteger="1" minValue="-17" maxValue="879"/>
    </cacheField>
    <cacheField name="Target" numFmtId="0">
      <sharedItems containsSemiMixedTypes="0" containsString="0" containsNumber="1" containsInteger="1" minValue="0" maxValue="64"/>
    </cacheField>
    <cacheField name="Demo Units" numFmtId="0">
      <sharedItems containsSemiMixedTypes="0" containsString="0" containsNumber="1" containsInteger="1" minValue="1" maxValue="5"/>
    </cacheField>
    <cacheField name="Remark" numFmtId="0">
      <sharedItems/>
    </cacheField>
    <cacheField name="Achievement" numFmtId="0">
      <sharedItems containsSemiMixedTypes="0" containsString="0" containsNumber="1" minValue="0" maxValue="272.72727272727269"/>
    </cacheField>
    <cacheField name="Average Daily Sales" numFmtId="0">
      <sharedItems containsSemiMixedTypes="0" containsString="0" containsNumber="1" minValue="9.9032258064516121" maxValue="34.515151515151516"/>
    </cacheField>
    <cacheField name="DOS" numFmtId="0">
      <sharedItems containsSemiMixedTypes="0" containsString="0" containsNumber="1" minValue="-0.4925373134328358" maxValue="86.436482084690567"/>
    </cacheField>
    <cacheField name="Stock Status Categories" numFmtId="0">
      <sharedItems count="3">
        <s v="Low Stock"/>
        <s v="Healthy"/>
        <s v="Overstock"/>
      </sharedItems>
    </cacheField>
    <cacheField name="Achievement %" numFmtId="0" formula="'Sell Out'/Target" databaseField="0"/>
  </cacheFields>
  <extLst>
    <ext xmlns:x14="http://schemas.microsoft.com/office/spreadsheetml/2009/9/main" uri="{725AE2AE-9491-48be-B2B4-4EB974FC3084}">
      <x14:pivotCacheDefinition pivotCacheId="1389863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d v="2026-05-01T00:00:00"/>
    <x v="0"/>
    <x v="0"/>
    <x v="0"/>
    <s v="25K-35K"/>
    <n v="213"/>
    <n v="10"/>
    <n v="30"/>
    <n v="193"/>
    <n v="36"/>
    <n v="2"/>
    <s v="Correct"/>
    <n v="83.333333333333343"/>
    <n v="21.666666666666668"/>
    <n v="8.907692307692308"/>
    <x v="0"/>
  </r>
  <r>
    <d v="2026-05-01T00:00:00"/>
    <x v="0"/>
    <x v="0"/>
    <x v="1"/>
    <s v="20K-25K"/>
    <n v="123"/>
    <n v="50"/>
    <n v="19"/>
    <n v="154"/>
    <n v="20"/>
    <n v="5"/>
    <s v="Correct"/>
    <n v="95"/>
    <n v="20.030303030303031"/>
    <n v="7.6883509833585473"/>
    <x v="0"/>
  </r>
  <r>
    <d v="2026-05-01T00:00:00"/>
    <x v="0"/>
    <x v="0"/>
    <x v="2"/>
    <s v="10K-15K"/>
    <n v="197"/>
    <n v="52"/>
    <n v="29"/>
    <n v="220"/>
    <n v="33"/>
    <n v="3"/>
    <s v="Correct"/>
    <n v="87.878787878787875"/>
    <n v="33.34375"/>
    <n v="6.5979381443298966"/>
    <x v="0"/>
  </r>
  <r>
    <d v="2026-05-01T00:00:00"/>
    <x v="0"/>
    <x v="0"/>
    <x v="3"/>
    <s v="Below 10K"/>
    <n v="203"/>
    <n v="14"/>
    <n v="34"/>
    <n v="183"/>
    <n v="48"/>
    <n v="4"/>
    <s v="Correct"/>
    <n v="70.833333333333343"/>
    <n v="34.515151515151516"/>
    <n v="5.3020193151887618"/>
    <x v="0"/>
  </r>
  <r>
    <d v="2026-05-01T00:00:00"/>
    <x v="0"/>
    <x v="0"/>
    <x v="4"/>
    <s v="35K+"/>
    <n v="98"/>
    <n v="26"/>
    <n v="16"/>
    <n v="108"/>
    <n v="23"/>
    <n v="4"/>
    <s v="Correct"/>
    <n v="69.565217391304344"/>
    <n v="9.9032258064516121"/>
    <n v="10.905537459283389"/>
    <x v="0"/>
  </r>
  <r>
    <d v="2026-05-01T00:00:00"/>
    <x v="0"/>
    <x v="1"/>
    <x v="0"/>
    <s v="25K-35K"/>
    <n v="110"/>
    <n v="0"/>
    <n v="31"/>
    <n v="79"/>
    <n v="36"/>
    <n v="3"/>
    <s v="Correct"/>
    <n v="86.111111111111114"/>
    <n v="21.35483870967742"/>
    <n v="3.6993957703927491"/>
    <x v="0"/>
  </r>
  <r>
    <d v="2026-05-01T00:00:00"/>
    <x v="0"/>
    <x v="1"/>
    <x v="1"/>
    <s v="20K-25K"/>
    <n v="210"/>
    <n v="31"/>
    <n v="30"/>
    <n v="211"/>
    <n v="32"/>
    <n v="2"/>
    <s v="Correct"/>
    <n v="93.75"/>
    <n v="21.9"/>
    <n v="9.6347031963470329"/>
    <x v="0"/>
  </r>
  <r>
    <d v="2026-05-01T00:00:00"/>
    <x v="0"/>
    <x v="1"/>
    <x v="2"/>
    <s v="10K-15K"/>
    <n v="142"/>
    <n v="9"/>
    <n v="43"/>
    <n v="108"/>
    <n v="43"/>
    <n v="2"/>
    <s v="Correct"/>
    <n v="100"/>
    <n v="31.586206896551722"/>
    <n v="3.4192139737991267"/>
    <x v="0"/>
  </r>
  <r>
    <d v="2026-05-01T00:00:00"/>
    <x v="0"/>
    <x v="1"/>
    <x v="3"/>
    <s v="Below 10K"/>
    <n v="163"/>
    <n v="10"/>
    <n v="26"/>
    <n v="147"/>
    <n v="29"/>
    <n v="2"/>
    <s v="Correct"/>
    <n v="89.65517241379311"/>
    <n v="34.200000000000003"/>
    <n v="4.2982456140350873"/>
    <x v="0"/>
  </r>
  <r>
    <d v="2026-05-01T00:00:00"/>
    <x v="0"/>
    <x v="1"/>
    <x v="4"/>
    <s v="35K+"/>
    <n v="170"/>
    <n v="20"/>
    <n v="18"/>
    <n v="172"/>
    <n v="23"/>
    <n v="1"/>
    <s v="Correct"/>
    <n v="78.260869565217391"/>
    <n v="10.96551724137931"/>
    <n v="15.685534591194969"/>
    <x v="1"/>
  </r>
  <r>
    <d v="2026-05-01T00:00:00"/>
    <x v="0"/>
    <x v="2"/>
    <x v="0"/>
    <s v="25K-35K"/>
    <n v="94"/>
    <n v="52"/>
    <n v="12"/>
    <n v="134"/>
    <n v="25"/>
    <n v="1"/>
    <s v="Correct"/>
    <n v="48"/>
    <n v="20.7"/>
    <n v="6.4734299516908216"/>
    <x v="0"/>
  </r>
  <r>
    <d v="2026-05-01T00:00:00"/>
    <x v="0"/>
    <x v="2"/>
    <x v="1"/>
    <s v="20K-25K"/>
    <n v="93"/>
    <n v="41"/>
    <n v="17"/>
    <n v="117"/>
    <n v="30"/>
    <n v="5"/>
    <s v="Correct"/>
    <n v="56.666666666666664"/>
    <n v="23.758620689655171"/>
    <n v="4.9245283018867925"/>
    <x v="0"/>
  </r>
  <r>
    <d v="2026-05-01T00:00:00"/>
    <x v="0"/>
    <x v="2"/>
    <x v="2"/>
    <s v="10K-15K"/>
    <n v="105"/>
    <n v="49"/>
    <n v="47"/>
    <n v="107"/>
    <n v="61"/>
    <n v="5"/>
    <s v="Correct"/>
    <n v="77.049180327868854"/>
    <n v="31.142857142857142"/>
    <n v="3.4357798165137616"/>
    <x v="0"/>
  </r>
  <r>
    <d v="2026-05-01T00:00:00"/>
    <x v="0"/>
    <x v="2"/>
    <x v="3"/>
    <s v="Below 10K"/>
    <n v="169"/>
    <n v="53"/>
    <n v="31"/>
    <n v="191"/>
    <n v="33"/>
    <n v="2"/>
    <s v="Correct"/>
    <n v="93.939393939393938"/>
    <n v="31.137931034482758"/>
    <n v="6.1339977851605756"/>
    <x v="0"/>
  </r>
  <r>
    <d v="2026-05-01T00:00:00"/>
    <x v="0"/>
    <x v="2"/>
    <x v="4"/>
    <s v="35K+"/>
    <n v="199"/>
    <n v="2"/>
    <n v="4"/>
    <n v="197"/>
    <n v="9"/>
    <n v="4"/>
    <s v="Correct"/>
    <n v="44.444444444444443"/>
    <n v="11.3"/>
    <n v="17.43362831858407"/>
    <x v="1"/>
  </r>
  <r>
    <d v="2026-05-01T00:00:00"/>
    <x v="1"/>
    <x v="3"/>
    <x v="0"/>
    <s v="25K-35K"/>
    <n v="150"/>
    <n v="37"/>
    <n v="18"/>
    <n v="169"/>
    <n v="24"/>
    <n v="5"/>
    <s v="Correct"/>
    <n v="75"/>
    <n v="22.258064516129032"/>
    <n v="7.5927536231884059"/>
    <x v="0"/>
  </r>
  <r>
    <d v="2026-05-01T00:00:00"/>
    <x v="1"/>
    <x v="3"/>
    <x v="1"/>
    <s v="20K-25K"/>
    <n v="103"/>
    <n v="2"/>
    <n v="9"/>
    <n v="96"/>
    <n v="12"/>
    <n v="2"/>
    <s v="Correct"/>
    <n v="75"/>
    <n v="20.172413793103448"/>
    <n v="4.7589743589743589"/>
    <x v="0"/>
  </r>
  <r>
    <d v="2026-05-01T00:00:00"/>
    <x v="1"/>
    <x v="3"/>
    <x v="2"/>
    <s v="10K-15K"/>
    <n v="190"/>
    <n v="48"/>
    <n v="20"/>
    <n v="218"/>
    <n v="24"/>
    <n v="4"/>
    <s v="Correct"/>
    <n v="83.333333333333343"/>
    <n v="29.733333333333334"/>
    <n v="7.3318385650224212"/>
    <x v="0"/>
  </r>
  <r>
    <d v="2026-05-01T00:00:00"/>
    <x v="1"/>
    <x v="3"/>
    <x v="3"/>
    <s v="Below 10K"/>
    <n v="204"/>
    <n v="26"/>
    <n v="15"/>
    <n v="215"/>
    <n v="20"/>
    <n v="2"/>
    <s v="Correct"/>
    <n v="75"/>
    <n v="30.724137931034484"/>
    <n v="6.9977553310886638"/>
    <x v="0"/>
  </r>
  <r>
    <d v="2026-05-01T00:00:00"/>
    <x v="1"/>
    <x v="3"/>
    <x v="4"/>
    <s v="35K+"/>
    <n v="176"/>
    <n v="5"/>
    <n v="14"/>
    <n v="167"/>
    <n v="20"/>
    <n v="4"/>
    <s v="Correct"/>
    <n v="70"/>
    <n v="11.566666666666666"/>
    <n v="14.438040345821326"/>
    <x v="0"/>
  </r>
  <r>
    <d v="2026-05-01T00:00:00"/>
    <x v="2"/>
    <x v="4"/>
    <x v="0"/>
    <s v="25K-35K"/>
    <n v="177"/>
    <n v="52"/>
    <n v="15"/>
    <n v="214"/>
    <n v="29"/>
    <n v="3"/>
    <s v="Correct"/>
    <n v="51.724137931034484"/>
    <n v="22.25"/>
    <n v="9.617977528089888"/>
    <x v="0"/>
  </r>
  <r>
    <d v="2026-05-01T00:00:00"/>
    <x v="2"/>
    <x v="4"/>
    <x v="1"/>
    <s v="20K-25K"/>
    <n v="123"/>
    <n v="46"/>
    <n v="21"/>
    <n v="148"/>
    <n v="30"/>
    <n v="4"/>
    <s v="Correct"/>
    <n v="70"/>
    <n v="19.96551724137931"/>
    <n v="7.4127806563039726"/>
    <x v="0"/>
  </r>
  <r>
    <d v="2026-05-01T00:00:00"/>
    <x v="2"/>
    <x v="4"/>
    <x v="2"/>
    <s v="10K-15K"/>
    <n v="121"/>
    <n v="49"/>
    <n v="47"/>
    <n v="123"/>
    <n v="50"/>
    <n v="3"/>
    <s v="Correct"/>
    <n v="94"/>
    <n v="31.206896551724139"/>
    <n v="3.9414364640883979"/>
    <x v="0"/>
  </r>
  <r>
    <d v="2026-05-01T00:00:00"/>
    <x v="2"/>
    <x v="4"/>
    <x v="3"/>
    <s v="Below 10K"/>
    <n v="207"/>
    <n v="37"/>
    <n v="19"/>
    <n v="225"/>
    <n v="25"/>
    <n v="3"/>
    <s v="Correct"/>
    <n v="76"/>
    <n v="32.620689655172413"/>
    <n v="6.897463002114165"/>
    <x v="0"/>
  </r>
  <r>
    <d v="2026-05-01T00:00:00"/>
    <x v="2"/>
    <x v="4"/>
    <x v="4"/>
    <s v="35K+"/>
    <n v="136"/>
    <n v="29"/>
    <n v="6"/>
    <n v="159"/>
    <n v="6"/>
    <n v="4"/>
    <s v="Correct"/>
    <n v="100"/>
    <n v="11.678571428571429"/>
    <n v="13.614678899082568"/>
    <x v="0"/>
  </r>
  <r>
    <d v="2026-05-01T00:00:00"/>
    <x v="3"/>
    <x v="5"/>
    <x v="0"/>
    <s v="25K-35K"/>
    <n v="108"/>
    <n v="36"/>
    <n v="29"/>
    <n v="115"/>
    <n v="29"/>
    <n v="2"/>
    <s v="Correct"/>
    <n v="100"/>
    <n v="20.84375"/>
    <n v="5.5172413793103452"/>
    <x v="0"/>
  </r>
  <r>
    <d v="2026-05-01T00:00:00"/>
    <x v="3"/>
    <x v="5"/>
    <x v="1"/>
    <s v="20K-25K"/>
    <n v="192"/>
    <n v="19"/>
    <n v="33"/>
    <n v="178"/>
    <n v="48"/>
    <n v="1"/>
    <s v="Correct"/>
    <n v="68.75"/>
    <n v="21.46875"/>
    <n v="8.2911208151382816"/>
    <x v="0"/>
  </r>
  <r>
    <d v="2026-05-01T00:00:00"/>
    <x v="3"/>
    <x v="5"/>
    <x v="2"/>
    <s v="10K-15K"/>
    <n v="213"/>
    <n v="16"/>
    <n v="18"/>
    <n v="211"/>
    <n v="20"/>
    <n v="1"/>
    <s v="Correct"/>
    <n v="90"/>
    <n v="30.586206896551722"/>
    <n v="6.8985343855693353"/>
    <x v="0"/>
  </r>
  <r>
    <d v="2026-05-01T00:00:00"/>
    <x v="3"/>
    <x v="5"/>
    <x v="3"/>
    <s v="Below 10K"/>
    <n v="178"/>
    <n v="57"/>
    <n v="34"/>
    <n v="201"/>
    <n v="37"/>
    <n v="3"/>
    <s v="Correct"/>
    <n v="91.891891891891902"/>
    <n v="32.299999999999997"/>
    <n v="6.2229102167182671"/>
    <x v="0"/>
  </r>
  <r>
    <d v="2026-05-01T00:00:00"/>
    <x v="3"/>
    <x v="5"/>
    <x v="4"/>
    <s v="35K+"/>
    <n v="138"/>
    <n v="41"/>
    <n v="17"/>
    <n v="162"/>
    <n v="17"/>
    <n v="4"/>
    <s v="Correct"/>
    <n v="100"/>
    <n v="10.413793103448276"/>
    <n v="15.556291390728477"/>
    <x v="1"/>
  </r>
  <r>
    <d v="2026-05-01T00:00:00"/>
    <x v="4"/>
    <x v="6"/>
    <x v="0"/>
    <s v="25K-35K"/>
    <n v="110"/>
    <n v="16"/>
    <n v="11"/>
    <n v="115"/>
    <n v="21"/>
    <n v="3"/>
    <s v="Correct"/>
    <n v="52.380952380952387"/>
    <n v="20.70967741935484"/>
    <n v="5.5529595015576323"/>
    <x v="0"/>
  </r>
  <r>
    <d v="2026-05-01T00:00:00"/>
    <x v="4"/>
    <x v="6"/>
    <x v="1"/>
    <s v="20K-25K"/>
    <n v="130"/>
    <n v="4"/>
    <n v="28"/>
    <n v="106"/>
    <n v="32"/>
    <n v="3"/>
    <s v="Correct"/>
    <n v="87.5"/>
    <n v="22.142857142857142"/>
    <n v="4.7870967741935484"/>
    <x v="0"/>
  </r>
  <r>
    <d v="2026-05-01T00:00:00"/>
    <x v="4"/>
    <x v="6"/>
    <x v="2"/>
    <s v="10K-15K"/>
    <n v="209"/>
    <n v="15"/>
    <n v="48"/>
    <n v="176"/>
    <n v="55"/>
    <n v="3"/>
    <s v="Correct"/>
    <n v="87.272727272727266"/>
    <n v="30.275862068965516"/>
    <n v="5.8132118451025061"/>
    <x v="0"/>
  </r>
  <r>
    <d v="2026-05-01T00:00:00"/>
    <x v="4"/>
    <x v="6"/>
    <x v="3"/>
    <s v="Below 10K"/>
    <n v="218"/>
    <n v="41"/>
    <n v="32"/>
    <n v="227"/>
    <n v="38"/>
    <n v="1"/>
    <s v="Correct"/>
    <n v="84.210526315789465"/>
    <n v="30.931034482758619"/>
    <n v="7.338907469342252"/>
    <x v="0"/>
  </r>
  <r>
    <d v="2026-05-01T00:00:00"/>
    <x v="4"/>
    <x v="6"/>
    <x v="4"/>
    <s v="35K+"/>
    <n v="111"/>
    <n v="49"/>
    <n v="3"/>
    <n v="157"/>
    <n v="4"/>
    <n v="2"/>
    <s v="Correct"/>
    <n v="75"/>
    <n v="10.25"/>
    <n v="15.317073170731707"/>
    <x v="1"/>
  </r>
  <r>
    <d v="2026-05-02T00:00:00"/>
    <x v="0"/>
    <x v="0"/>
    <x v="0"/>
    <s v="25K-35K"/>
    <n v="193"/>
    <n v="49"/>
    <n v="21"/>
    <n v="221"/>
    <n v="25"/>
    <n v="2"/>
    <s v="Correct"/>
    <n v="84"/>
    <n v="21.666666666666668"/>
    <n v="10.199999999999999"/>
    <x v="0"/>
  </r>
  <r>
    <d v="2026-05-02T00:00:00"/>
    <x v="0"/>
    <x v="0"/>
    <x v="1"/>
    <s v="20K-25K"/>
    <n v="154"/>
    <n v="35"/>
    <n v="14"/>
    <n v="175"/>
    <n v="15"/>
    <n v="2"/>
    <s v="Correct"/>
    <n v="93.333333333333329"/>
    <n v="20.030303030303031"/>
    <n v="8.7367624810892579"/>
    <x v="0"/>
  </r>
  <r>
    <d v="2026-05-02T00:00:00"/>
    <x v="0"/>
    <x v="0"/>
    <x v="2"/>
    <s v="10K-15K"/>
    <n v="220"/>
    <n v="24"/>
    <n v="50"/>
    <n v="194"/>
    <n v="55"/>
    <n v="2"/>
    <s v="Correct"/>
    <n v="90.909090909090907"/>
    <n v="33.34375"/>
    <n v="5.8181818181818183"/>
    <x v="0"/>
  </r>
  <r>
    <d v="2026-05-02T00:00:00"/>
    <x v="0"/>
    <x v="0"/>
    <x v="3"/>
    <s v="Below 10K"/>
    <n v="183"/>
    <n v="44"/>
    <n v="17"/>
    <n v="210"/>
    <n v="28"/>
    <n v="4"/>
    <s v="Correct"/>
    <n v="60.714285714285708"/>
    <n v="34.515151515151516"/>
    <n v="6.084284460052678"/>
    <x v="0"/>
  </r>
  <r>
    <d v="2026-05-02T00:00:00"/>
    <x v="0"/>
    <x v="0"/>
    <x v="4"/>
    <s v="35K+"/>
    <n v="108"/>
    <n v="3"/>
    <n v="4"/>
    <n v="107"/>
    <n v="13"/>
    <n v="3"/>
    <s v="Correct"/>
    <n v="30.76923076923077"/>
    <n v="9.9032258064516121"/>
    <n v="10.804560260586321"/>
    <x v="0"/>
  </r>
  <r>
    <d v="2026-05-02T00:00:00"/>
    <x v="0"/>
    <x v="1"/>
    <x v="0"/>
    <s v="25K-35K"/>
    <n v="79"/>
    <n v="57"/>
    <n v="35"/>
    <n v="101"/>
    <n v="40"/>
    <n v="4"/>
    <s v="Correct"/>
    <n v="87.5"/>
    <n v="21.35483870967742"/>
    <n v="4.7296072507552873"/>
    <x v="0"/>
  </r>
  <r>
    <d v="2026-05-02T00:00:00"/>
    <x v="0"/>
    <x v="1"/>
    <x v="1"/>
    <s v="20K-25K"/>
    <n v="211"/>
    <n v="7"/>
    <n v="11"/>
    <n v="207"/>
    <n v="13"/>
    <n v="2"/>
    <s v="Correct"/>
    <n v="84.615384615384613"/>
    <n v="21.9"/>
    <n v="9.4520547945205493"/>
    <x v="0"/>
  </r>
  <r>
    <d v="2026-05-02T00:00:00"/>
    <x v="0"/>
    <x v="1"/>
    <x v="2"/>
    <s v="10K-15K"/>
    <n v="108"/>
    <n v="51"/>
    <n v="25"/>
    <n v="134"/>
    <n v="37"/>
    <n v="2"/>
    <s v="Correct"/>
    <n v="67.567567567567565"/>
    <n v="31.586206896551722"/>
    <n v="4.2423580786026207"/>
    <x v="0"/>
  </r>
  <r>
    <d v="2026-05-02T00:00:00"/>
    <x v="0"/>
    <x v="1"/>
    <x v="3"/>
    <s v="Below 10K"/>
    <n v="147"/>
    <n v="51"/>
    <n v="21"/>
    <n v="177"/>
    <n v="32"/>
    <n v="5"/>
    <s v="Correct"/>
    <n v="65.625"/>
    <n v="34.200000000000003"/>
    <n v="5.1754385964912277"/>
    <x v="0"/>
  </r>
  <r>
    <d v="2026-05-02T00:00:00"/>
    <x v="0"/>
    <x v="1"/>
    <x v="4"/>
    <s v="35K+"/>
    <n v="172"/>
    <n v="13"/>
    <n v="13"/>
    <n v="172"/>
    <n v="21"/>
    <n v="1"/>
    <s v="Correct"/>
    <n v="61.904761904761905"/>
    <n v="10.96551724137931"/>
    <n v="15.685534591194969"/>
    <x v="1"/>
  </r>
  <r>
    <d v="2026-05-02T00:00:00"/>
    <x v="0"/>
    <x v="2"/>
    <x v="0"/>
    <s v="25K-35K"/>
    <n v="134"/>
    <n v="18"/>
    <n v="18"/>
    <n v="134"/>
    <n v="19"/>
    <n v="5"/>
    <s v="Correct"/>
    <n v="94.73684210526315"/>
    <n v="20.7"/>
    <n v="6.4734299516908216"/>
    <x v="0"/>
  </r>
  <r>
    <d v="2026-05-02T00:00:00"/>
    <x v="0"/>
    <x v="2"/>
    <x v="1"/>
    <s v="20K-25K"/>
    <n v="117"/>
    <n v="43"/>
    <n v="17"/>
    <n v="143"/>
    <n v="32"/>
    <n v="3"/>
    <s v="Correct"/>
    <n v="53.125"/>
    <n v="23.758620689655171"/>
    <n v="6.0188679245283021"/>
    <x v="0"/>
  </r>
  <r>
    <d v="2026-05-02T00:00:00"/>
    <x v="0"/>
    <x v="2"/>
    <x v="2"/>
    <s v="10K-15K"/>
    <n v="107"/>
    <n v="13"/>
    <n v="21"/>
    <n v="99"/>
    <n v="27"/>
    <n v="3"/>
    <s v="Correct"/>
    <n v="77.777777777777786"/>
    <n v="31.142857142857142"/>
    <n v="3.1788990825688073"/>
    <x v="0"/>
  </r>
  <r>
    <d v="2026-05-02T00:00:00"/>
    <x v="0"/>
    <x v="2"/>
    <x v="3"/>
    <s v="Below 10K"/>
    <n v="191"/>
    <n v="31"/>
    <n v="31"/>
    <n v="191"/>
    <n v="37"/>
    <n v="5"/>
    <s v="Correct"/>
    <n v="83.78378378378379"/>
    <n v="31.137931034482758"/>
    <n v="6.1339977851605756"/>
    <x v="0"/>
  </r>
  <r>
    <d v="2026-05-02T00:00:00"/>
    <x v="0"/>
    <x v="2"/>
    <x v="4"/>
    <s v="35K+"/>
    <n v="197"/>
    <n v="16"/>
    <n v="18"/>
    <n v="195"/>
    <n v="25"/>
    <n v="5"/>
    <s v="Correct"/>
    <n v="72"/>
    <n v="11.3"/>
    <n v="17.256637168141591"/>
    <x v="1"/>
  </r>
  <r>
    <d v="2026-05-02T00:00:00"/>
    <x v="1"/>
    <x v="3"/>
    <x v="0"/>
    <s v="25K-35K"/>
    <n v="169"/>
    <n v="41"/>
    <n v="14"/>
    <n v="196"/>
    <n v="26"/>
    <n v="4"/>
    <s v="Correct"/>
    <n v="53.846153846153847"/>
    <n v="22.258064516129032"/>
    <n v="8.8057971014492757"/>
    <x v="0"/>
  </r>
  <r>
    <d v="2026-05-02T00:00:00"/>
    <x v="1"/>
    <x v="3"/>
    <x v="1"/>
    <s v="20K-25K"/>
    <n v="96"/>
    <n v="34"/>
    <n v="23"/>
    <n v="107"/>
    <n v="34"/>
    <n v="3"/>
    <s v="Correct"/>
    <n v="67.64705882352942"/>
    <n v="20.172413793103448"/>
    <n v="5.3042735042735041"/>
    <x v="0"/>
  </r>
  <r>
    <d v="2026-05-02T00:00:00"/>
    <x v="1"/>
    <x v="3"/>
    <x v="2"/>
    <s v="10K-15K"/>
    <n v="218"/>
    <n v="4"/>
    <n v="34"/>
    <n v="188"/>
    <n v="48"/>
    <n v="1"/>
    <s v="Correct"/>
    <n v="70.833333333333343"/>
    <n v="29.733333333333334"/>
    <n v="6.3228699551569507"/>
    <x v="0"/>
  </r>
  <r>
    <d v="2026-05-02T00:00:00"/>
    <x v="1"/>
    <x v="3"/>
    <x v="3"/>
    <s v="Below 10K"/>
    <n v="215"/>
    <n v="45"/>
    <n v="50"/>
    <n v="210"/>
    <n v="54"/>
    <n v="1"/>
    <s v="Correct"/>
    <n v="92.592592592592595"/>
    <n v="30.724137931034484"/>
    <n v="6.8350168350168348"/>
    <x v="0"/>
  </r>
  <r>
    <d v="2026-05-02T00:00:00"/>
    <x v="1"/>
    <x v="3"/>
    <x v="4"/>
    <s v="35K+"/>
    <n v="167"/>
    <n v="5"/>
    <n v="14"/>
    <n v="158"/>
    <n v="18"/>
    <n v="2"/>
    <s v="Correct"/>
    <n v="77.777777777777786"/>
    <n v="11.566666666666666"/>
    <n v="13.659942363112393"/>
    <x v="0"/>
  </r>
  <r>
    <d v="2026-05-02T00:00:00"/>
    <x v="2"/>
    <x v="4"/>
    <x v="0"/>
    <s v="25K-35K"/>
    <n v="214"/>
    <n v="26"/>
    <n v="19"/>
    <n v="221"/>
    <n v="26"/>
    <n v="1"/>
    <s v="Correct"/>
    <n v="73.076923076923066"/>
    <n v="22.25"/>
    <n v="9.9325842696629216"/>
    <x v="0"/>
  </r>
  <r>
    <d v="2026-05-02T00:00:00"/>
    <x v="2"/>
    <x v="4"/>
    <x v="1"/>
    <s v="20K-25K"/>
    <n v="148"/>
    <n v="12"/>
    <n v="27"/>
    <n v="133"/>
    <n v="40"/>
    <n v="4"/>
    <s v="Correct"/>
    <n v="67.5"/>
    <n v="19.96551724137931"/>
    <n v="6.6614853195164079"/>
    <x v="0"/>
  </r>
  <r>
    <d v="2026-05-02T00:00:00"/>
    <x v="2"/>
    <x v="4"/>
    <x v="2"/>
    <s v="10K-15K"/>
    <n v="123"/>
    <n v="41"/>
    <n v="48"/>
    <n v="116"/>
    <n v="59"/>
    <n v="5"/>
    <s v="Correct"/>
    <n v="81.355932203389841"/>
    <n v="31.206896551724139"/>
    <n v="3.7171270718232043"/>
    <x v="0"/>
  </r>
  <r>
    <d v="2026-05-02T00:00:00"/>
    <x v="2"/>
    <x v="4"/>
    <x v="3"/>
    <s v="Below 10K"/>
    <n v="225"/>
    <n v="17"/>
    <n v="36"/>
    <n v="206"/>
    <n v="44"/>
    <n v="2"/>
    <s v="Correct"/>
    <n v="81.818181818181827"/>
    <n v="32.620689655172413"/>
    <n v="6.3150105708245245"/>
    <x v="0"/>
  </r>
  <r>
    <d v="2026-05-02T00:00:00"/>
    <x v="2"/>
    <x v="4"/>
    <x v="4"/>
    <s v="35K+"/>
    <n v="159"/>
    <n v="52"/>
    <n v="9"/>
    <n v="202"/>
    <n v="0"/>
    <n v="1"/>
    <s v="Correct"/>
    <n v="0"/>
    <n v="11.678571428571429"/>
    <n v="17.296636085626911"/>
    <x v="1"/>
  </r>
  <r>
    <d v="2026-05-02T00:00:00"/>
    <x v="3"/>
    <x v="5"/>
    <x v="0"/>
    <s v="25K-35K"/>
    <n v="115"/>
    <n v="50"/>
    <n v="27"/>
    <n v="138"/>
    <n v="42"/>
    <n v="3"/>
    <s v="Correct"/>
    <n v="64.285714285714292"/>
    <n v="20.84375"/>
    <n v="6.6206896551724137"/>
    <x v="0"/>
  </r>
  <r>
    <d v="2026-05-02T00:00:00"/>
    <x v="3"/>
    <x v="5"/>
    <x v="1"/>
    <s v="20K-25K"/>
    <n v="178"/>
    <n v="42"/>
    <n v="15"/>
    <n v="205"/>
    <n v="24"/>
    <n v="4"/>
    <s v="Correct"/>
    <n v="62.5"/>
    <n v="21.46875"/>
    <n v="9.5487627365356627"/>
    <x v="0"/>
  </r>
  <r>
    <d v="2026-05-02T00:00:00"/>
    <x v="3"/>
    <x v="5"/>
    <x v="2"/>
    <s v="10K-15K"/>
    <n v="211"/>
    <n v="24"/>
    <n v="41"/>
    <n v="194"/>
    <n v="53"/>
    <n v="2"/>
    <s v="Correct"/>
    <n v="77.358490566037744"/>
    <n v="30.586206896551722"/>
    <n v="6.342728297632469"/>
    <x v="0"/>
  </r>
  <r>
    <d v="2026-05-02T00:00:00"/>
    <x v="3"/>
    <x v="5"/>
    <x v="3"/>
    <s v="Below 10K"/>
    <n v="201"/>
    <n v="9"/>
    <n v="28"/>
    <n v="182"/>
    <n v="29"/>
    <n v="4"/>
    <s v="Correct"/>
    <n v="96.551724137931032"/>
    <n v="32.299999999999997"/>
    <n v="5.6346749226006194"/>
    <x v="0"/>
  </r>
  <r>
    <d v="2026-05-02T00:00:00"/>
    <x v="3"/>
    <x v="5"/>
    <x v="4"/>
    <s v="35K+"/>
    <n v="162"/>
    <n v="58"/>
    <n v="5"/>
    <n v="215"/>
    <n v="14"/>
    <n v="3"/>
    <s v="Correct"/>
    <n v="35.714285714285715"/>
    <n v="10.413793103448276"/>
    <n v="20.64569536423841"/>
    <x v="1"/>
  </r>
  <r>
    <d v="2026-05-02T00:00:00"/>
    <x v="4"/>
    <x v="6"/>
    <x v="0"/>
    <s v="25K-35K"/>
    <n v="115"/>
    <n v="28"/>
    <n v="17"/>
    <n v="126"/>
    <n v="26"/>
    <n v="4"/>
    <s v="Correct"/>
    <n v="65.384615384615387"/>
    <n v="20.70967741935484"/>
    <n v="6.08411214953271"/>
    <x v="0"/>
  </r>
  <r>
    <d v="2026-05-02T00:00:00"/>
    <x v="4"/>
    <x v="6"/>
    <x v="1"/>
    <s v="20K-25K"/>
    <n v="106"/>
    <n v="20"/>
    <n v="30"/>
    <n v="96"/>
    <n v="42"/>
    <n v="3"/>
    <s v="Correct"/>
    <n v="71.428571428571431"/>
    <n v="22.142857142857142"/>
    <n v="4.3354838709677423"/>
    <x v="0"/>
  </r>
  <r>
    <d v="2026-05-02T00:00:00"/>
    <x v="0"/>
    <x v="0"/>
    <x v="2"/>
    <s v="10K-15K"/>
    <n v="176"/>
    <n v="0"/>
    <n v="28"/>
    <n v="148"/>
    <n v="33"/>
    <n v="2"/>
    <s v="Correct"/>
    <n v="84.848484848484844"/>
    <n v="33.34375"/>
    <n v="4.4386129334582947"/>
    <x v="0"/>
  </r>
  <r>
    <d v="2026-05-02T00:00:00"/>
    <x v="4"/>
    <x v="6"/>
    <x v="3"/>
    <s v="Below 10K"/>
    <n v="227"/>
    <n v="37"/>
    <n v="29"/>
    <n v="235"/>
    <n v="37"/>
    <n v="2"/>
    <s v="Correct"/>
    <n v="78.378378378378372"/>
    <n v="30.931034482758619"/>
    <n v="7.597547380156076"/>
    <x v="0"/>
  </r>
  <r>
    <d v="2026-05-02T00:00:00"/>
    <x v="4"/>
    <x v="6"/>
    <x v="4"/>
    <s v="35K+"/>
    <n v="157"/>
    <n v="55"/>
    <n v="4"/>
    <n v="208"/>
    <n v="18"/>
    <n v="1"/>
    <s v="Correct"/>
    <n v="22.222222222222221"/>
    <n v="10.25"/>
    <n v="20.292682926829269"/>
    <x v="1"/>
  </r>
  <r>
    <d v="2026-05-03T00:00:00"/>
    <x v="3"/>
    <x v="5"/>
    <x v="0"/>
    <s v="25K-35K"/>
    <n v="221"/>
    <n v="27"/>
    <n v="29"/>
    <n v="219"/>
    <n v="38"/>
    <n v="3"/>
    <s v="Correct"/>
    <n v="76.31578947368422"/>
    <n v="20.84375"/>
    <n v="10.506746626686656"/>
    <x v="0"/>
  </r>
  <r>
    <d v="2026-05-03T00:00:00"/>
    <x v="0"/>
    <x v="0"/>
    <x v="1"/>
    <s v="20K-25K"/>
    <n v="175"/>
    <n v="3"/>
    <n v="14"/>
    <n v="164"/>
    <n v="19"/>
    <n v="5"/>
    <s v="Correct"/>
    <n v="73.68421052631578"/>
    <n v="20.030303030303031"/>
    <n v="8.1875945537065054"/>
    <x v="0"/>
  </r>
  <r>
    <d v="2026-05-03T00:00:00"/>
    <x v="0"/>
    <x v="0"/>
    <x v="2"/>
    <s v="10K-15K"/>
    <n v="194"/>
    <n v="7"/>
    <n v="18"/>
    <n v="183"/>
    <n v="21"/>
    <n v="1"/>
    <s v="Correct"/>
    <n v="85.714285714285708"/>
    <n v="33.34375"/>
    <n v="5.4882849109653229"/>
    <x v="0"/>
  </r>
  <r>
    <d v="2026-05-03T00:00:00"/>
    <x v="0"/>
    <x v="0"/>
    <x v="3"/>
    <s v="Below 10K"/>
    <n v="210"/>
    <n v="22"/>
    <n v="46"/>
    <n v="186"/>
    <n v="49"/>
    <n v="5"/>
    <s v="Correct"/>
    <n v="93.877551020408163"/>
    <n v="34.515151515151516"/>
    <n v="5.3889376646180862"/>
    <x v="0"/>
  </r>
  <r>
    <d v="2026-05-03T00:00:00"/>
    <x v="0"/>
    <x v="0"/>
    <x v="4"/>
    <s v="35K+"/>
    <n v="107"/>
    <n v="9"/>
    <n v="8"/>
    <n v="108"/>
    <n v="13"/>
    <n v="3"/>
    <s v="Correct"/>
    <n v="61.53846153846154"/>
    <n v="9.9032258064516121"/>
    <n v="10.905537459283389"/>
    <x v="0"/>
  </r>
  <r>
    <d v="2026-05-03T00:00:00"/>
    <x v="0"/>
    <x v="1"/>
    <x v="0"/>
    <s v="25K-35K"/>
    <n v="101"/>
    <n v="49"/>
    <n v="20"/>
    <n v="130"/>
    <n v="24"/>
    <n v="4"/>
    <s v="Correct"/>
    <n v="83.333333333333343"/>
    <n v="21.35483870967742"/>
    <n v="6.0876132930513593"/>
    <x v="0"/>
  </r>
  <r>
    <d v="2026-05-03T00:00:00"/>
    <x v="0"/>
    <x v="1"/>
    <x v="1"/>
    <s v="20K-25K"/>
    <n v="207"/>
    <n v="56"/>
    <n v="26"/>
    <n v="237"/>
    <n v="38"/>
    <n v="4"/>
    <s v="Correct"/>
    <n v="68.421052631578945"/>
    <n v="21.9"/>
    <n v="10.82191780821918"/>
    <x v="0"/>
  </r>
  <r>
    <d v="2026-05-03T00:00:00"/>
    <x v="0"/>
    <x v="1"/>
    <x v="2"/>
    <s v="10K-15K"/>
    <n v="134"/>
    <n v="27"/>
    <n v="41"/>
    <n v="120"/>
    <n v="53"/>
    <n v="1"/>
    <s v="Correct"/>
    <n v="77.358490566037744"/>
    <n v="31.586206896551722"/>
    <n v="3.7991266375545854"/>
    <x v="0"/>
  </r>
  <r>
    <d v="2026-05-03T00:00:00"/>
    <x v="0"/>
    <x v="1"/>
    <x v="3"/>
    <s v="Below 10K"/>
    <n v="177"/>
    <n v="1"/>
    <n v="42"/>
    <n v="136"/>
    <n v="43"/>
    <n v="5"/>
    <s v="Correct"/>
    <n v="97.674418604651152"/>
    <n v="34.200000000000003"/>
    <n v="3.9766081871345027"/>
    <x v="0"/>
  </r>
  <r>
    <d v="2026-05-03T00:00:00"/>
    <x v="0"/>
    <x v="1"/>
    <x v="0"/>
    <s v="35K+"/>
    <n v="172"/>
    <n v="34"/>
    <n v="4"/>
    <n v="202"/>
    <n v="9"/>
    <n v="5"/>
    <s v="Correct"/>
    <n v="44.444444444444443"/>
    <n v="21.35483870967742"/>
    <n v="9.4592145015105746"/>
    <x v="0"/>
  </r>
  <r>
    <d v="2026-05-03T00:00:00"/>
    <x v="0"/>
    <x v="2"/>
    <x v="0"/>
    <s v="25K-35K"/>
    <n v="134"/>
    <n v="1"/>
    <n v="32"/>
    <n v="103"/>
    <n v="36"/>
    <n v="1"/>
    <s v="Correct"/>
    <n v="88.888888888888886"/>
    <n v="20.7"/>
    <n v="4.9758454106280192"/>
    <x v="0"/>
  </r>
  <r>
    <d v="2026-05-03T00:00:00"/>
    <x v="0"/>
    <x v="2"/>
    <x v="1"/>
    <s v="20K-25K"/>
    <n v="143"/>
    <n v="9"/>
    <n v="23"/>
    <n v="129"/>
    <n v="31"/>
    <n v="3"/>
    <s v="Correct"/>
    <n v="74.193548387096769"/>
    <n v="23.758620689655171"/>
    <n v="5.4296081277213357"/>
    <x v="0"/>
  </r>
  <r>
    <d v="2026-05-03T00:00:00"/>
    <x v="0"/>
    <x v="2"/>
    <x v="2"/>
    <s v="10K-15K"/>
    <n v="99"/>
    <n v="46"/>
    <n v="20"/>
    <n v="125"/>
    <n v="25"/>
    <n v="4"/>
    <s v="Correct"/>
    <n v="80"/>
    <n v="31.142857142857142"/>
    <n v="4.0137614678899087"/>
    <x v="0"/>
  </r>
  <r>
    <d v="2026-05-03T00:00:00"/>
    <x v="0"/>
    <x v="2"/>
    <x v="3"/>
    <s v="Below 10K"/>
    <n v="191"/>
    <n v="39"/>
    <n v="24"/>
    <n v="206"/>
    <n v="31"/>
    <n v="3"/>
    <s v="Correct"/>
    <n v="77.41935483870968"/>
    <n v="31.137931034482758"/>
    <n v="6.6157253599114068"/>
    <x v="0"/>
  </r>
  <r>
    <d v="2026-05-03T00:00:00"/>
    <x v="0"/>
    <x v="2"/>
    <x v="4"/>
    <s v="35K+"/>
    <n v="195"/>
    <n v="57"/>
    <n v="9"/>
    <n v="243"/>
    <n v="22"/>
    <n v="2"/>
    <s v="Correct"/>
    <n v="40.909090909090914"/>
    <n v="11.3"/>
    <n v="21.504424778761059"/>
    <x v="1"/>
  </r>
  <r>
    <d v="2026-05-03T00:00:00"/>
    <x v="1"/>
    <x v="3"/>
    <x v="0"/>
    <s v="25K-35K"/>
    <n v="196"/>
    <n v="42"/>
    <n v="29"/>
    <n v="209"/>
    <n v="40"/>
    <n v="1"/>
    <s v="Correct"/>
    <n v="72.5"/>
    <n v="22.258064516129032"/>
    <n v="9.389855072463769"/>
    <x v="0"/>
  </r>
  <r>
    <d v="2026-05-03T00:00:00"/>
    <x v="1"/>
    <x v="3"/>
    <x v="1"/>
    <s v="20K-25K"/>
    <n v="107"/>
    <n v="40"/>
    <n v="17"/>
    <n v="130"/>
    <n v="22"/>
    <n v="3"/>
    <s v="Correct"/>
    <n v="77.272727272727266"/>
    <n v="20.172413793103448"/>
    <n v="6.4444444444444446"/>
    <x v="0"/>
  </r>
  <r>
    <d v="2026-05-03T00:00:00"/>
    <x v="1"/>
    <x v="3"/>
    <x v="2"/>
    <s v="10K-15K"/>
    <n v="188"/>
    <n v="51"/>
    <n v="16"/>
    <n v="223"/>
    <n v="17"/>
    <n v="5"/>
    <s v="Correct"/>
    <n v="94.117647058823522"/>
    <n v="29.733333333333334"/>
    <n v="7.5"/>
    <x v="0"/>
  </r>
  <r>
    <d v="2026-05-03T00:00:00"/>
    <x v="1"/>
    <x v="3"/>
    <x v="3"/>
    <s v="Below 10K"/>
    <n v="210"/>
    <n v="35"/>
    <n v="22"/>
    <n v="223"/>
    <n v="32"/>
    <n v="2"/>
    <s v="Correct"/>
    <n v="68.75"/>
    <n v="30.724137931034484"/>
    <n v="7.2581369248035914"/>
    <x v="0"/>
  </r>
  <r>
    <d v="2026-05-20T00:00:00"/>
    <x v="1"/>
    <x v="3"/>
    <x v="4"/>
    <s v="35K+"/>
    <n v="158"/>
    <n v="30"/>
    <n v="9"/>
    <n v="179"/>
    <n v="18"/>
    <n v="3"/>
    <s v="Correct"/>
    <n v="50"/>
    <n v="11.566666666666666"/>
    <n v="15.475504322766572"/>
    <x v="1"/>
  </r>
  <r>
    <d v="2026-05-03T00:00:00"/>
    <x v="2"/>
    <x v="4"/>
    <x v="0"/>
    <s v="25K-35K"/>
    <n v="221"/>
    <n v="17"/>
    <n v="14"/>
    <n v="224"/>
    <n v="27"/>
    <n v="2"/>
    <s v="Correct"/>
    <n v="51.851851851851848"/>
    <n v="22.25"/>
    <n v="10.067415730337078"/>
    <x v="0"/>
  </r>
  <r>
    <d v="2026-05-03T00:00:00"/>
    <x v="2"/>
    <x v="4"/>
    <x v="1"/>
    <s v="20K-25K"/>
    <n v="133"/>
    <n v="13"/>
    <n v="14"/>
    <n v="132"/>
    <n v="14"/>
    <n v="4"/>
    <s v="Correct"/>
    <n v="100"/>
    <n v="19.96551724137931"/>
    <n v="6.6113989637305703"/>
    <x v="0"/>
  </r>
  <r>
    <d v="2026-05-03T00:00:00"/>
    <x v="2"/>
    <x v="4"/>
    <x v="2"/>
    <s v="10K-15K"/>
    <n v="116"/>
    <n v="48"/>
    <n v="31"/>
    <n v="133"/>
    <n v="39"/>
    <n v="5"/>
    <s v="Correct"/>
    <n v="79.487179487179489"/>
    <n v="31.206896551724139"/>
    <n v="4.2618784530386735"/>
    <x v="0"/>
  </r>
  <r>
    <d v="2026-05-03T00:00:00"/>
    <x v="2"/>
    <x v="4"/>
    <x v="3"/>
    <s v="Below 10K"/>
    <n v="206"/>
    <n v="49"/>
    <n v="22"/>
    <n v="233"/>
    <n v="27"/>
    <n v="1"/>
    <s v="Correct"/>
    <n v="81.481481481481481"/>
    <n v="32.620689655172413"/>
    <n v="7.1427061310782243"/>
    <x v="0"/>
  </r>
  <r>
    <d v="2026-05-03T00:00:00"/>
    <x v="2"/>
    <x v="4"/>
    <x v="4"/>
    <s v="35K+"/>
    <n v="202"/>
    <n v="27"/>
    <n v="16"/>
    <n v="213"/>
    <n v="18"/>
    <n v="3"/>
    <s v="Correct"/>
    <n v="88.888888888888886"/>
    <n v="11.678571428571429"/>
    <n v="18.238532110091743"/>
    <x v="1"/>
  </r>
  <r>
    <d v="2026-05-03T00:00:00"/>
    <x v="3"/>
    <x v="5"/>
    <x v="0"/>
    <s v="25K-35K"/>
    <n v="138"/>
    <n v="60"/>
    <n v="18"/>
    <n v="180"/>
    <n v="28"/>
    <n v="2"/>
    <s v="Correct"/>
    <n v="64.285714285714292"/>
    <n v="20.84375"/>
    <n v="8.6356821589205399"/>
    <x v="0"/>
  </r>
  <r>
    <d v="2026-05-03T00:00:00"/>
    <x v="3"/>
    <x v="5"/>
    <x v="1"/>
    <s v="20K-25K"/>
    <n v="205"/>
    <n v="32"/>
    <n v="22"/>
    <n v="215"/>
    <n v="29"/>
    <n v="4"/>
    <s v="Correct"/>
    <n v="75.862068965517238"/>
    <n v="21.46875"/>
    <n v="10.014556040756915"/>
    <x v="0"/>
  </r>
  <r>
    <d v="2026-05-03T00:00:00"/>
    <x v="3"/>
    <x v="5"/>
    <x v="2"/>
    <s v="10K-15K"/>
    <n v="194"/>
    <n v="10"/>
    <n v="40"/>
    <n v="164"/>
    <n v="40"/>
    <n v="5"/>
    <s v="Correct"/>
    <n v="100"/>
    <n v="30.586206896551722"/>
    <n v="5.361894024802706"/>
    <x v="0"/>
  </r>
  <r>
    <d v="2026-05-03T00:00:00"/>
    <x v="3"/>
    <x v="5"/>
    <x v="3"/>
    <s v="Below 10K"/>
    <n v="182"/>
    <n v="6"/>
    <n v="15"/>
    <n v="173"/>
    <n v="26"/>
    <n v="5"/>
    <s v="Correct"/>
    <n v="57.692307692307686"/>
    <n v="32.299999999999997"/>
    <n v="5.3560371517027869"/>
    <x v="0"/>
  </r>
  <r>
    <d v="2026-05-03T00:00:00"/>
    <x v="3"/>
    <x v="5"/>
    <x v="4"/>
    <s v="35K+"/>
    <n v="215"/>
    <n v="33"/>
    <n v="6"/>
    <n v="242"/>
    <n v="7"/>
    <n v="4"/>
    <s v="Correct"/>
    <n v="85.714285714285708"/>
    <n v="10.413793103448276"/>
    <n v="23.23841059602649"/>
    <x v="1"/>
  </r>
  <r>
    <d v="2026-05-03T00:00:00"/>
    <x v="4"/>
    <x v="6"/>
    <x v="0"/>
    <s v="25K-35K"/>
    <n v="126"/>
    <n v="47"/>
    <n v="16"/>
    <n v="157"/>
    <n v="27"/>
    <n v="5"/>
    <s v="Correct"/>
    <n v="59.259259259259252"/>
    <n v="20.70967741935484"/>
    <n v="7.5809968847352023"/>
    <x v="0"/>
  </r>
  <r>
    <d v="2026-05-03T00:00:00"/>
    <x v="4"/>
    <x v="6"/>
    <x v="1"/>
    <s v="20K-25K"/>
    <n v="96"/>
    <n v="48"/>
    <n v="8"/>
    <n v="136"/>
    <n v="15"/>
    <n v="2"/>
    <s v="Correct"/>
    <n v="53.333333333333336"/>
    <n v="22.142857142857142"/>
    <n v="6.1419354838709683"/>
    <x v="0"/>
  </r>
  <r>
    <d v="2026-05-03T00:00:00"/>
    <x v="4"/>
    <x v="6"/>
    <x v="2"/>
    <s v="10K-15K"/>
    <n v="148"/>
    <n v="20"/>
    <n v="49"/>
    <n v="119"/>
    <n v="52"/>
    <n v="2"/>
    <s v="Correct"/>
    <n v="94.230769230769226"/>
    <n v="30.275862068965516"/>
    <n v="3.9305239179954445"/>
    <x v="0"/>
  </r>
  <r>
    <d v="2026-05-03T00:00:00"/>
    <x v="4"/>
    <x v="6"/>
    <x v="3"/>
    <s v="Below 10K"/>
    <n v="235"/>
    <n v="55"/>
    <n v="40"/>
    <n v="250"/>
    <n v="51"/>
    <n v="4"/>
    <s v="Correct"/>
    <n v="78.431372549019613"/>
    <n v="30.931034482758619"/>
    <n v="8.0824972129319956"/>
    <x v="0"/>
  </r>
  <r>
    <d v="2026-05-03T00:00:00"/>
    <x v="4"/>
    <x v="6"/>
    <x v="4"/>
    <s v="35K+"/>
    <n v="208"/>
    <n v="56"/>
    <n v="13"/>
    <n v="251"/>
    <n v="26"/>
    <n v="5"/>
    <s v="Correct"/>
    <n v="50"/>
    <n v="10.25"/>
    <n v="24.487804878048781"/>
    <x v="1"/>
  </r>
  <r>
    <d v="2026-05-04T00:00:00"/>
    <x v="0"/>
    <x v="0"/>
    <x v="0"/>
    <s v="25K-35K"/>
    <n v="219"/>
    <n v="42"/>
    <n v="20"/>
    <n v="241"/>
    <n v="21"/>
    <n v="2"/>
    <s v="Correct"/>
    <n v="95.238095238095227"/>
    <n v="21.666666666666668"/>
    <n v="11.123076923076923"/>
    <x v="0"/>
  </r>
  <r>
    <d v="2026-05-04T00:00:00"/>
    <x v="0"/>
    <x v="0"/>
    <x v="1"/>
    <s v="20K-25K"/>
    <n v="164"/>
    <n v="37"/>
    <n v="33"/>
    <n v="168"/>
    <n v="48"/>
    <n v="4"/>
    <s v="Correct"/>
    <n v="68.75"/>
    <n v="20.030303030303031"/>
    <n v="8.3872919818456886"/>
    <x v="0"/>
  </r>
  <r>
    <d v="2026-05-04T00:00:00"/>
    <x v="0"/>
    <x v="0"/>
    <x v="2"/>
    <s v="10K-15K"/>
    <n v="183"/>
    <n v="59"/>
    <n v="49"/>
    <n v="193"/>
    <n v="59"/>
    <n v="4"/>
    <s v="Correct"/>
    <n v="83.050847457627114"/>
    <n v="33.34375"/>
    <n v="5.7881911902530456"/>
    <x v="0"/>
  </r>
  <r>
    <d v="2026-05-04T00:00:00"/>
    <x v="0"/>
    <x v="0"/>
    <x v="3"/>
    <s v="Below 10K"/>
    <n v="186"/>
    <n v="24"/>
    <n v="27"/>
    <n v="183"/>
    <n v="41"/>
    <n v="3"/>
    <s v="Correct"/>
    <n v="65.853658536585371"/>
    <n v="34.515151515151516"/>
    <n v="5.3020193151887618"/>
    <x v="0"/>
  </r>
  <r>
    <d v="2026-05-04T00:00:00"/>
    <x v="0"/>
    <x v="0"/>
    <x v="4"/>
    <s v="35K+"/>
    <n v="108"/>
    <n v="37"/>
    <n v="17"/>
    <n v="128"/>
    <n v="24"/>
    <n v="4"/>
    <s v="Correct"/>
    <n v="70.833333333333343"/>
    <n v="9.9032258064516121"/>
    <n v="12.925081433224756"/>
    <x v="0"/>
  </r>
  <r>
    <d v="2026-05-04T00:00:00"/>
    <x v="0"/>
    <x v="1"/>
    <x v="0"/>
    <s v="25K-35K"/>
    <n v="130"/>
    <n v="39"/>
    <n v="14"/>
    <n v="155"/>
    <n v="17"/>
    <n v="3"/>
    <s v="Correct"/>
    <n v="82.35294117647058"/>
    <n v="21.35483870967742"/>
    <n v="7.2583081570996981"/>
    <x v="0"/>
  </r>
  <r>
    <d v="2026-05-04T00:00:00"/>
    <x v="0"/>
    <x v="1"/>
    <x v="1"/>
    <s v="20K-25K"/>
    <n v="237"/>
    <n v="20"/>
    <n v="8"/>
    <n v="249"/>
    <n v="14"/>
    <n v="3"/>
    <s v="Correct"/>
    <n v="57.142857142857139"/>
    <n v="21.9"/>
    <n v="11.36986301369863"/>
    <x v="0"/>
  </r>
  <r>
    <d v="2026-05-04T00:00:00"/>
    <x v="0"/>
    <x v="1"/>
    <x v="2"/>
    <s v="10K-15K"/>
    <n v="120"/>
    <n v="15"/>
    <n v="33"/>
    <n v="102"/>
    <n v="47"/>
    <n v="2"/>
    <s v="Correct"/>
    <n v="70.212765957446805"/>
    <n v="31.586206896551722"/>
    <n v="3.2292576419213974"/>
    <x v="0"/>
  </r>
  <r>
    <d v="2026-05-04T00:00:00"/>
    <x v="0"/>
    <x v="1"/>
    <x v="3"/>
    <s v="Below 10K"/>
    <n v="136"/>
    <n v="20"/>
    <n v="20"/>
    <n v="136"/>
    <n v="31"/>
    <n v="4"/>
    <s v="Correct"/>
    <n v="64.516129032258064"/>
    <n v="34.200000000000003"/>
    <n v="3.9766081871345027"/>
    <x v="0"/>
  </r>
  <r>
    <d v="2026-05-04T00:00:00"/>
    <x v="0"/>
    <x v="1"/>
    <x v="4"/>
    <s v="35K+"/>
    <n v="202"/>
    <n v="41"/>
    <n v="17"/>
    <n v="226"/>
    <n v="17"/>
    <n v="4"/>
    <s v="Correct"/>
    <n v="100"/>
    <n v="10.96551724137931"/>
    <n v="20.610062893081761"/>
    <x v="1"/>
  </r>
  <r>
    <d v="2026-05-04T00:00:00"/>
    <x v="0"/>
    <x v="0"/>
    <x v="0"/>
    <s v="25K-35K"/>
    <n v="103"/>
    <n v="16"/>
    <n v="16"/>
    <n v="103"/>
    <n v="16"/>
    <n v="2"/>
    <s v="Correct"/>
    <n v="100"/>
    <n v="21.666666666666668"/>
    <n v="4.7538461538461538"/>
    <x v="0"/>
  </r>
  <r>
    <d v="2026-05-04T00:00:00"/>
    <x v="0"/>
    <x v="2"/>
    <x v="1"/>
    <s v="20K-25K"/>
    <n v="129"/>
    <n v="27"/>
    <n v="22"/>
    <n v="134"/>
    <n v="26"/>
    <n v="4"/>
    <s v="Correct"/>
    <n v="84.615384615384613"/>
    <n v="23.758620689655171"/>
    <n v="5.6400580551523953"/>
    <x v="0"/>
  </r>
  <r>
    <d v="2026-05-04T00:00:00"/>
    <x v="0"/>
    <x v="2"/>
    <x v="2"/>
    <s v="10K-15K"/>
    <n v="125"/>
    <n v="37"/>
    <n v="28"/>
    <n v="134"/>
    <n v="29"/>
    <n v="1"/>
    <s v="Correct"/>
    <n v="96.551724137931032"/>
    <n v="31.142857142857142"/>
    <n v="4.3027522935779814"/>
    <x v="0"/>
  </r>
  <r>
    <d v="2026-05-04T00:00:00"/>
    <x v="0"/>
    <x v="2"/>
    <x v="3"/>
    <s v="Below 10K"/>
    <n v="206"/>
    <n v="5"/>
    <n v="18"/>
    <n v="193"/>
    <n v="30"/>
    <n v="2"/>
    <s v="Correct"/>
    <n v="60"/>
    <n v="31.137931034482758"/>
    <n v="6.1982281284606868"/>
    <x v="0"/>
  </r>
  <r>
    <d v="2026-05-04T00:00:00"/>
    <x v="0"/>
    <x v="2"/>
    <x v="4"/>
    <s v="35K+"/>
    <n v="243"/>
    <n v="19"/>
    <n v="18"/>
    <n v="244"/>
    <n v="24"/>
    <n v="2"/>
    <s v="Correct"/>
    <n v="75"/>
    <n v="11.3"/>
    <n v="21.592920353982301"/>
    <x v="1"/>
  </r>
  <r>
    <d v="2026-05-04T00:00:00"/>
    <x v="1"/>
    <x v="3"/>
    <x v="0"/>
    <s v="25K-35K"/>
    <n v="209"/>
    <n v="11"/>
    <n v="31"/>
    <n v="189"/>
    <n v="31"/>
    <n v="4"/>
    <s v="Correct"/>
    <n v="100"/>
    <n v="22.258064516129032"/>
    <n v="8.4913043478260875"/>
    <x v="0"/>
  </r>
  <r>
    <d v="2026-05-04T00:00:00"/>
    <x v="1"/>
    <x v="3"/>
    <x v="1"/>
    <s v="20K-25K"/>
    <n v="130"/>
    <n v="13"/>
    <n v="29"/>
    <n v="114"/>
    <n v="36"/>
    <n v="2"/>
    <s v="Correct"/>
    <n v="80.555555555555557"/>
    <n v="20.172413793103448"/>
    <n v="5.6512820512820516"/>
    <x v="0"/>
  </r>
  <r>
    <d v="2026-05-04T00:00:00"/>
    <x v="1"/>
    <x v="3"/>
    <x v="2"/>
    <s v="10K-15K"/>
    <n v="223"/>
    <n v="20"/>
    <n v="20"/>
    <n v="223"/>
    <n v="20"/>
    <n v="2"/>
    <s v="Correct"/>
    <n v="100"/>
    <n v="29.733333333333334"/>
    <n v="7.5"/>
    <x v="0"/>
  </r>
  <r>
    <d v="2026-05-04T00:00:00"/>
    <x v="1"/>
    <x v="3"/>
    <x v="0"/>
    <s v="Below 10K"/>
    <n v="223"/>
    <n v="26"/>
    <n v="43"/>
    <n v="206"/>
    <n v="56"/>
    <n v="5"/>
    <s v="Correct"/>
    <n v="76.785714285714292"/>
    <n v="22.258064516129032"/>
    <n v="9.2550724637681157"/>
    <x v="0"/>
  </r>
  <r>
    <d v="2026-05-04T00:00:00"/>
    <x v="1"/>
    <x v="3"/>
    <x v="4"/>
    <s v="35K+"/>
    <n v="179"/>
    <n v="10"/>
    <n v="6"/>
    <n v="183"/>
    <n v="18"/>
    <n v="3"/>
    <s v="Correct"/>
    <n v="33.333333333333329"/>
    <n v="11.566666666666666"/>
    <n v="15.821325648414986"/>
    <x v="1"/>
  </r>
  <r>
    <d v="2026-05-04T00:00:00"/>
    <x v="2"/>
    <x v="4"/>
    <x v="0"/>
    <s v="25K-35K"/>
    <n v="224"/>
    <n v="21"/>
    <n v="21"/>
    <n v="224"/>
    <n v="29"/>
    <n v="1"/>
    <s v="Correct"/>
    <n v="72.41379310344827"/>
    <n v="22.25"/>
    <n v="10.067415730337078"/>
    <x v="0"/>
  </r>
  <r>
    <d v="2026-05-04T00:00:00"/>
    <x v="2"/>
    <x v="4"/>
    <x v="1"/>
    <s v="20K-25K"/>
    <n v="132"/>
    <n v="7"/>
    <n v="10"/>
    <n v="129"/>
    <n v="13"/>
    <n v="5"/>
    <s v="Correct"/>
    <n v="76.923076923076934"/>
    <n v="19.96551724137931"/>
    <n v="6.4611398963730569"/>
    <x v="0"/>
  </r>
  <r>
    <d v="2026-05-04T00:00:00"/>
    <x v="2"/>
    <x v="4"/>
    <x v="0"/>
    <s v="10K-15K"/>
    <n v="133"/>
    <n v="16"/>
    <n v="44"/>
    <n v="105"/>
    <n v="54"/>
    <n v="2"/>
    <s v="Correct"/>
    <n v="81.481481481481481"/>
    <n v="22.25"/>
    <n v="4.7191011235955056"/>
    <x v="0"/>
  </r>
  <r>
    <d v="2026-05-04T00:00:00"/>
    <x v="2"/>
    <x v="4"/>
    <x v="3"/>
    <s v="Below 10K"/>
    <n v="233"/>
    <n v="45"/>
    <n v="19"/>
    <n v="259"/>
    <n v="23"/>
    <n v="3"/>
    <s v="Correct"/>
    <n v="82.608695652173907"/>
    <n v="32.620689655172413"/>
    <n v="7.939746300211417"/>
    <x v="0"/>
  </r>
  <r>
    <d v="2026-05-04T00:00:00"/>
    <x v="2"/>
    <x v="4"/>
    <x v="4"/>
    <s v="35K+"/>
    <n v="213"/>
    <n v="26"/>
    <n v="13"/>
    <n v="226"/>
    <n v="13"/>
    <n v="5"/>
    <s v="Correct"/>
    <n v="100"/>
    <n v="11.678571428571429"/>
    <n v="19.351681957186543"/>
    <x v="1"/>
  </r>
  <r>
    <d v="2026-05-04T00:00:00"/>
    <x v="3"/>
    <x v="5"/>
    <x v="0"/>
    <s v="25K-35K"/>
    <n v="180"/>
    <n v="35"/>
    <n v="16"/>
    <n v="199"/>
    <n v="23"/>
    <n v="4"/>
    <s v="Correct"/>
    <n v="69.565217391304344"/>
    <n v="20.84375"/>
    <n v="9.5472263868065959"/>
    <x v="0"/>
  </r>
  <r>
    <d v="2026-05-04T00:00:00"/>
    <x v="3"/>
    <x v="5"/>
    <x v="1"/>
    <s v="20K-25K"/>
    <n v="215"/>
    <n v="36"/>
    <n v="14"/>
    <n v="237"/>
    <n v="16"/>
    <n v="3"/>
    <s v="Correct"/>
    <n v="87.5"/>
    <n v="21.46875"/>
    <n v="11.039301310043669"/>
    <x v="0"/>
  </r>
  <r>
    <d v="2026-05-04T00:00:00"/>
    <x v="3"/>
    <x v="5"/>
    <x v="2"/>
    <s v="10K-15K"/>
    <n v="164"/>
    <n v="8"/>
    <n v="23"/>
    <n v="149"/>
    <n v="38"/>
    <n v="2"/>
    <s v="Correct"/>
    <n v="60.526315789473685"/>
    <n v="30.586206896551722"/>
    <n v="4.8714768883878241"/>
    <x v="0"/>
  </r>
  <r>
    <d v="2026-05-04T00:00:00"/>
    <x v="3"/>
    <x v="5"/>
    <x v="3"/>
    <s v="Below 10K"/>
    <n v="173"/>
    <n v="42"/>
    <n v="23"/>
    <n v="192"/>
    <n v="31"/>
    <n v="3"/>
    <s v="Correct"/>
    <n v="74.193548387096769"/>
    <n v="32.299999999999997"/>
    <n v="5.9442724458204337"/>
    <x v="0"/>
  </r>
  <r>
    <d v="2026-05-04T00:00:00"/>
    <x v="3"/>
    <x v="5"/>
    <x v="4"/>
    <s v="35K+"/>
    <n v="242"/>
    <n v="36"/>
    <n v="6"/>
    <n v="272"/>
    <n v="8"/>
    <n v="1"/>
    <s v="Correct"/>
    <n v="75"/>
    <n v="10.413793103448276"/>
    <n v="26.119205298013245"/>
    <x v="1"/>
  </r>
  <r>
    <d v="2026-05-04T00:00:00"/>
    <x v="4"/>
    <x v="6"/>
    <x v="0"/>
    <s v="25K-35K"/>
    <n v="157"/>
    <n v="1"/>
    <n v="12"/>
    <n v="146"/>
    <n v="19"/>
    <n v="3"/>
    <s v="Correct"/>
    <n v="63.157894736842103"/>
    <n v="20.70967741935484"/>
    <n v="7.0498442367601246"/>
    <x v="0"/>
  </r>
  <r>
    <d v="2026-05-04T00:00:00"/>
    <x v="4"/>
    <x v="6"/>
    <x v="1"/>
    <s v="20K-25K"/>
    <n v="136"/>
    <n v="1"/>
    <n v="31"/>
    <n v="106"/>
    <n v="32"/>
    <n v="4"/>
    <s v="Correct"/>
    <n v="96.875"/>
    <n v="22.142857142857142"/>
    <n v="4.7870967741935484"/>
    <x v="0"/>
  </r>
  <r>
    <d v="2026-05-04T00:00:00"/>
    <x v="4"/>
    <x v="6"/>
    <x v="2"/>
    <s v="10K-15K"/>
    <n v="119"/>
    <n v="48"/>
    <n v="17"/>
    <n v="150"/>
    <n v="18"/>
    <n v="1"/>
    <s v="Correct"/>
    <n v="94.444444444444443"/>
    <n v="30.275862068965516"/>
    <n v="4.954441913439636"/>
    <x v="0"/>
  </r>
  <r>
    <d v="2026-05-04T00:00:00"/>
    <x v="4"/>
    <x v="6"/>
    <x v="3"/>
    <s v="Below 10K"/>
    <n v="250"/>
    <n v="24"/>
    <n v="15"/>
    <n v="259"/>
    <n v="30"/>
    <n v="2"/>
    <s v="Correct"/>
    <n v="50"/>
    <n v="30.931034482758619"/>
    <n v="8.3734671125975471"/>
    <x v="0"/>
  </r>
  <r>
    <d v="2026-05-04T00:00:00"/>
    <x v="0"/>
    <x v="0"/>
    <x v="4"/>
    <s v="35K+"/>
    <n v="251"/>
    <n v="29"/>
    <n v="18"/>
    <n v="262"/>
    <n v="27"/>
    <n v="5"/>
    <s v="Correct"/>
    <n v="66.666666666666657"/>
    <n v="9.9032258064516121"/>
    <n v="26.456026058631924"/>
    <x v="1"/>
  </r>
  <r>
    <d v="2026-05-05T00:00:00"/>
    <x v="0"/>
    <x v="0"/>
    <x v="0"/>
    <s v="25K-35K"/>
    <n v="241"/>
    <n v="57"/>
    <n v="27"/>
    <n v="271"/>
    <n v="29"/>
    <n v="5"/>
    <s v="Correct"/>
    <n v="93.103448275862064"/>
    <n v="21.666666666666668"/>
    <n v="12.507692307692308"/>
    <x v="0"/>
  </r>
  <r>
    <d v="2026-05-05T00:00:00"/>
    <x v="0"/>
    <x v="0"/>
    <x v="1"/>
    <s v="20K-25K"/>
    <n v="168"/>
    <n v="60"/>
    <n v="20"/>
    <n v="208"/>
    <n v="23"/>
    <n v="2"/>
    <s v="Correct"/>
    <n v="86.956521739130437"/>
    <n v="20.030303030303031"/>
    <n v="10.384266263237519"/>
    <x v="0"/>
  </r>
  <r>
    <d v="2026-05-23T00:00:00"/>
    <x v="0"/>
    <x v="0"/>
    <x v="2"/>
    <s v="10K-15K"/>
    <n v="193"/>
    <n v="56"/>
    <n v="46"/>
    <n v="203"/>
    <n v="57"/>
    <n v="5"/>
    <s v="Correct"/>
    <n v="80.701754385964904"/>
    <n v="33.34375"/>
    <n v="6.0880974695407684"/>
    <x v="0"/>
  </r>
  <r>
    <d v="2026-05-05T00:00:00"/>
    <x v="0"/>
    <x v="0"/>
    <x v="3"/>
    <s v="Below 10K"/>
    <n v="183"/>
    <n v="1"/>
    <n v="45"/>
    <n v="139"/>
    <n v="46"/>
    <n v="1"/>
    <s v="Correct"/>
    <n v="97.826086956521735"/>
    <n v="34.515151515151516"/>
    <n v="4.0272168568920108"/>
    <x v="0"/>
  </r>
  <r>
    <d v="2026-05-05T00:00:00"/>
    <x v="0"/>
    <x v="0"/>
    <x v="4"/>
    <s v="35K+"/>
    <n v="128"/>
    <n v="33"/>
    <n v="14"/>
    <n v="147"/>
    <n v="28"/>
    <n v="5"/>
    <s v="Correct"/>
    <n v="50"/>
    <n v="9.9032258064516121"/>
    <n v="14.843648208469057"/>
    <x v="0"/>
  </r>
  <r>
    <d v="2026-05-05T00:00:00"/>
    <x v="0"/>
    <x v="1"/>
    <x v="0"/>
    <s v="25K-35K"/>
    <n v="155"/>
    <n v="53"/>
    <n v="16"/>
    <n v="192"/>
    <n v="31"/>
    <n v="1"/>
    <s v="Correct"/>
    <n v="51.612903225806448"/>
    <n v="21.35483870967742"/>
    <n v="8.9909365558912384"/>
    <x v="0"/>
  </r>
  <r>
    <d v="2026-05-05T00:00:00"/>
    <x v="0"/>
    <x v="1"/>
    <x v="1"/>
    <s v="20K-25K"/>
    <n v="249"/>
    <n v="3"/>
    <n v="18"/>
    <n v="234"/>
    <n v="26"/>
    <n v="1"/>
    <s v="Correct"/>
    <n v="69.230769230769226"/>
    <n v="21.9"/>
    <n v="10.684931506849315"/>
    <x v="0"/>
  </r>
  <r>
    <d v="2026-05-05T00:00:00"/>
    <x v="0"/>
    <x v="1"/>
    <x v="2"/>
    <s v="10K-15K"/>
    <n v="102"/>
    <n v="27"/>
    <n v="16"/>
    <n v="113"/>
    <n v="25"/>
    <n v="3"/>
    <s v="Correct"/>
    <n v="64"/>
    <n v="31.586206896551722"/>
    <n v="3.5775109170305677"/>
    <x v="0"/>
  </r>
  <r>
    <d v="2026-05-05T00:00:00"/>
    <x v="0"/>
    <x v="1"/>
    <x v="3"/>
    <s v="Below 10K"/>
    <n v="136"/>
    <n v="39"/>
    <n v="38"/>
    <n v="137"/>
    <n v="40"/>
    <n v="2"/>
    <s v="Correct"/>
    <n v="95"/>
    <n v="34.200000000000003"/>
    <n v="4.0058479532163735"/>
    <x v="0"/>
  </r>
  <r>
    <d v="2026-05-05T00:00:00"/>
    <x v="0"/>
    <x v="1"/>
    <x v="4"/>
    <s v="35K+"/>
    <n v="226"/>
    <n v="10"/>
    <n v="18"/>
    <n v="218"/>
    <n v="26"/>
    <n v="5"/>
    <s v="Correct"/>
    <n v="69.230769230769226"/>
    <n v="10.96551724137931"/>
    <n v="19.880503144654089"/>
    <x v="1"/>
  </r>
  <r>
    <d v="2026-05-05T00:00:00"/>
    <x v="0"/>
    <x v="2"/>
    <x v="0"/>
    <s v="25K-35K"/>
    <n v="103"/>
    <n v="42"/>
    <n v="21"/>
    <n v="124"/>
    <n v="25"/>
    <n v="1"/>
    <s v="Correct"/>
    <n v="84"/>
    <n v="20.7"/>
    <n v="5.9903381642512077"/>
    <x v="0"/>
  </r>
  <r>
    <d v="2026-05-05T00:00:00"/>
    <x v="0"/>
    <x v="2"/>
    <x v="1"/>
    <s v="20K-25K"/>
    <n v="134"/>
    <n v="37"/>
    <n v="13"/>
    <n v="158"/>
    <n v="14"/>
    <n v="4"/>
    <s v="Correct"/>
    <n v="92.857142857142861"/>
    <n v="23.758620689655171"/>
    <n v="6.6502177068214809"/>
    <x v="0"/>
  </r>
  <r>
    <d v="2026-05-05T00:00:00"/>
    <x v="0"/>
    <x v="2"/>
    <x v="2"/>
    <s v="10K-15K"/>
    <n v="134"/>
    <n v="33"/>
    <n v="30"/>
    <n v="137"/>
    <n v="40"/>
    <n v="4"/>
    <s v="Correct"/>
    <n v="75"/>
    <n v="31.142857142857142"/>
    <n v="4.3990825688073398"/>
    <x v="0"/>
  </r>
  <r>
    <d v="2026-05-05T00:00:00"/>
    <x v="0"/>
    <x v="2"/>
    <x v="3"/>
    <s v="Below 10K"/>
    <n v="193"/>
    <n v="35"/>
    <n v="22"/>
    <n v="206"/>
    <n v="22"/>
    <n v="3"/>
    <s v="Correct"/>
    <n v="100"/>
    <n v="31.137931034482758"/>
    <n v="6.6157253599114068"/>
    <x v="0"/>
  </r>
  <r>
    <d v="2026-05-05T00:00:00"/>
    <x v="0"/>
    <x v="2"/>
    <x v="4"/>
    <s v="35K+"/>
    <n v="244"/>
    <n v="37"/>
    <n v="13"/>
    <n v="268"/>
    <n v="18"/>
    <n v="1"/>
    <s v="Correct"/>
    <n v="72.222222222222214"/>
    <n v="11.3"/>
    <n v="23.716814159292035"/>
    <x v="1"/>
  </r>
  <r>
    <d v="2026-05-05T00:00:00"/>
    <x v="1"/>
    <x v="3"/>
    <x v="0"/>
    <s v="25K-35K"/>
    <n v="189"/>
    <n v="47"/>
    <n v="17"/>
    <n v="219"/>
    <n v="32"/>
    <n v="4"/>
    <s v="Correct"/>
    <n v="53.125"/>
    <n v="22.258064516129032"/>
    <n v="9.839130434782609"/>
    <x v="0"/>
  </r>
  <r>
    <d v="2026-05-05T00:00:00"/>
    <x v="1"/>
    <x v="3"/>
    <x v="1"/>
    <s v="20K-25K"/>
    <n v="114"/>
    <n v="26"/>
    <n v="26"/>
    <n v="114"/>
    <n v="27"/>
    <n v="3"/>
    <s v="Correct"/>
    <n v="96.296296296296291"/>
    <n v="20.172413793103448"/>
    <n v="5.6512820512820516"/>
    <x v="0"/>
  </r>
  <r>
    <d v="2026-05-05T00:00:00"/>
    <x v="1"/>
    <x v="3"/>
    <x v="2"/>
    <s v="10K-15K"/>
    <n v="223"/>
    <n v="43"/>
    <n v="31"/>
    <n v="235"/>
    <n v="44"/>
    <n v="4"/>
    <s v="Correct"/>
    <n v="70.454545454545453"/>
    <n v="29.733333333333334"/>
    <n v="7.9035874439461882"/>
    <x v="0"/>
  </r>
  <r>
    <d v="2026-05-05T00:00:00"/>
    <x v="1"/>
    <x v="3"/>
    <x v="3"/>
    <s v="Below 10K"/>
    <n v="206"/>
    <n v="57"/>
    <n v="36"/>
    <n v="227"/>
    <n v="47"/>
    <n v="5"/>
    <s v="Correct"/>
    <n v="76.59574468085107"/>
    <n v="30.724137931034484"/>
    <n v="7.3883277216610548"/>
    <x v="0"/>
  </r>
  <r>
    <d v="2026-05-05T00:00:00"/>
    <x v="1"/>
    <x v="3"/>
    <x v="4"/>
    <s v="35K+"/>
    <n v="183"/>
    <n v="11"/>
    <n v="10"/>
    <n v="184"/>
    <n v="23"/>
    <n v="1"/>
    <s v="Correct"/>
    <n v="43.478260869565219"/>
    <n v="11.566666666666666"/>
    <n v="15.907780979827089"/>
    <x v="1"/>
  </r>
  <r>
    <d v="2026-05-05T00:00:00"/>
    <x v="2"/>
    <x v="4"/>
    <x v="0"/>
    <s v="25K-35K"/>
    <n v="224"/>
    <n v="50"/>
    <n v="28"/>
    <n v="246"/>
    <n v="41"/>
    <n v="3"/>
    <s v="Correct"/>
    <n v="68.292682926829272"/>
    <n v="22.25"/>
    <n v="11.056179775280899"/>
    <x v="0"/>
  </r>
  <r>
    <d v="2026-05-05T00:00:00"/>
    <x v="2"/>
    <x v="4"/>
    <x v="1"/>
    <s v="20K-25K"/>
    <n v="129"/>
    <n v="7"/>
    <n v="15"/>
    <n v="121"/>
    <n v="24"/>
    <n v="3"/>
    <s v="Correct"/>
    <n v="62.5"/>
    <n v="19.96551724137931"/>
    <n v="6.0604490500863557"/>
    <x v="0"/>
  </r>
  <r>
    <d v="2026-05-05T00:00:00"/>
    <x v="2"/>
    <x v="4"/>
    <x v="2"/>
    <s v="10K-15K"/>
    <n v="105"/>
    <n v="22"/>
    <n v="41"/>
    <n v="86"/>
    <n v="48"/>
    <n v="4"/>
    <s v="Correct"/>
    <n v="85.416666666666657"/>
    <n v="31.206896551724139"/>
    <n v="2.7558011049723756"/>
    <x v="0"/>
  </r>
  <r>
    <d v="2026-05-05T00:00:00"/>
    <x v="2"/>
    <x v="4"/>
    <x v="3"/>
    <s v="Below 10K"/>
    <n v="259"/>
    <n v="4"/>
    <n v="19"/>
    <n v="244"/>
    <n v="29"/>
    <n v="2"/>
    <s v="Correct"/>
    <n v="65.517241379310349"/>
    <n v="32.620689655172413"/>
    <n v="7.4799154334038054"/>
    <x v="0"/>
  </r>
  <r>
    <d v="2026-05-05T00:00:00"/>
    <x v="2"/>
    <x v="4"/>
    <x v="0"/>
    <s v="35K+"/>
    <n v="226"/>
    <n v="55"/>
    <n v="6"/>
    <n v="275"/>
    <n v="7"/>
    <n v="3"/>
    <s v="Correct"/>
    <n v="85.714285714285708"/>
    <n v="22.25"/>
    <n v="12.359550561797754"/>
    <x v="0"/>
  </r>
  <r>
    <d v="2026-05-05T00:00:00"/>
    <x v="3"/>
    <x v="5"/>
    <x v="0"/>
    <s v="25K-35K"/>
    <n v="199"/>
    <n v="24"/>
    <n v="17"/>
    <n v="206"/>
    <n v="17"/>
    <n v="1"/>
    <s v="Correct"/>
    <n v="100"/>
    <n v="20.84375"/>
    <n v="9.8830584707646185"/>
    <x v="0"/>
  </r>
  <r>
    <d v="2026-05-05T00:00:00"/>
    <x v="3"/>
    <x v="5"/>
    <x v="1"/>
    <s v="20K-25K"/>
    <n v="237"/>
    <n v="53"/>
    <n v="31"/>
    <n v="259"/>
    <n v="41"/>
    <n v="5"/>
    <s v="Correct"/>
    <n v="75.609756097560975"/>
    <n v="21.46875"/>
    <n v="12.064046579330421"/>
    <x v="0"/>
  </r>
  <r>
    <d v="2026-05-05T00:00:00"/>
    <x v="3"/>
    <x v="5"/>
    <x v="2"/>
    <s v="10K-15K"/>
    <n v="149"/>
    <n v="22"/>
    <n v="47"/>
    <n v="124"/>
    <n v="56"/>
    <n v="3"/>
    <s v="Correct"/>
    <n v="83.928571428571431"/>
    <n v="30.586206896551722"/>
    <n v="4.0541149943630215"/>
    <x v="0"/>
  </r>
  <r>
    <d v="2026-05-05T00:00:00"/>
    <x v="3"/>
    <x v="5"/>
    <x v="3"/>
    <s v="Below 10K"/>
    <n v="192"/>
    <n v="3"/>
    <n v="23"/>
    <n v="172"/>
    <n v="32"/>
    <n v="4"/>
    <s v="Correct"/>
    <n v="71.875"/>
    <n v="32.299999999999997"/>
    <n v="5.3250773993808052"/>
    <x v="0"/>
  </r>
  <r>
    <d v="2026-05-05T00:00:00"/>
    <x v="3"/>
    <x v="5"/>
    <x v="4"/>
    <s v="35K+"/>
    <n v="272"/>
    <n v="44"/>
    <n v="3"/>
    <n v="313"/>
    <n v="18"/>
    <n v="1"/>
    <s v="Correct"/>
    <n v="16.666666666666664"/>
    <n v="10.413793103448276"/>
    <n v="30.056291390728475"/>
    <x v="2"/>
  </r>
  <r>
    <d v="2026-05-05T00:00:00"/>
    <x v="4"/>
    <x v="6"/>
    <x v="0"/>
    <s v="25K-35K"/>
    <n v="146"/>
    <n v="24"/>
    <n v="30"/>
    <n v="140"/>
    <n v="39"/>
    <n v="3"/>
    <s v="Correct"/>
    <n v="76.923076923076934"/>
    <n v="20.70967741935484"/>
    <n v="6.7601246105919"/>
    <x v="0"/>
  </r>
  <r>
    <d v="2026-05-05T00:00:00"/>
    <x v="4"/>
    <x v="6"/>
    <x v="1"/>
    <s v="20K-25K"/>
    <n v="106"/>
    <n v="41"/>
    <n v="22"/>
    <n v="125"/>
    <n v="28"/>
    <n v="5"/>
    <s v="Correct"/>
    <n v="78.571428571428569"/>
    <n v="22.142857142857142"/>
    <n v="5.645161290322581"/>
    <x v="0"/>
  </r>
  <r>
    <d v="2026-05-05T00:00:00"/>
    <x v="4"/>
    <x v="6"/>
    <x v="2"/>
    <s v="10K-15K"/>
    <n v="150"/>
    <n v="3"/>
    <n v="37"/>
    <n v="116"/>
    <n v="39"/>
    <n v="1"/>
    <s v="Correct"/>
    <n v="94.871794871794862"/>
    <n v="30.275862068965516"/>
    <n v="3.8314350797266514"/>
    <x v="0"/>
  </r>
  <r>
    <d v="2026-05-05T00:00:00"/>
    <x v="4"/>
    <x v="6"/>
    <x v="3"/>
    <s v="Below 10K"/>
    <n v="259"/>
    <n v="50"/>
    <n v="31"/>
    <n v="278"/>
    <n v="32"/>
    <n v="5"/>
    <s v="Correct"/>
    <n v="96.875"/>
    <n v="30.931034482758619"/>
    <n v="8.98773690078038"/>
    <x v="0"/>
  </r>
  <r>
    <d v="2026-05-05T00:00:00"/>
    <x v="4"/>
    <x v="6"/>
    <x v="4"/>
    <s v="35K+"/>
    <n v="262"/>
    <n v="34"/>
    <n v="7"/>
    <n v="289"/>
    <n v="18"/>
    <n v="2"/>
    <s v="Correct"/>
    <n v="38.888888888888893"/>
    <n v="10.25"/>
    <n v="28.195121951219512"/>
    <x v="1"/>
  </r>
  <r>
    <d v="2026-05-06T00:00:00"/>
    <x v="0"/>
    <x v="0"/>
    <x v="0"/>
    <s v="25K-35K"/>
    <n v="271"/>
    <n v="23"/>
    <n v="30"/>
    <n v="264"/>
    <n v="24"/>
    <n v="2"/>
    <s v="Correct"/>
    <n v="125"/>
    <n v="21.666666666666668"/>
    <n v="12.184615384615384"/>
    <x v="0"/>
  </r>
  <r>
    <d v="2026-05-06T00:00:00"/>
    <x v="0"/>
    <x v="0"/>
    <x v="1"/>
    <s v="20K-25K"/>
    <n v="208"/>
    <n v="46"/>
    <n v="12"/>
    <n v="242"/>
    <n v="13"/>
    <n v="4"/>
    <s v="Correct"/>
    <n v="92.307692307692307"/>
    <n v="20.030303030303031"/>
    <n v="12.081694402420574"/>
    <x v="0"/>
  </r>
  <r>
    <d v="2026-05-06T00:00:00"/>
    <x v="0"/>
    <x v="0"/>
    <x v="2"/>
    <s v="10K-15K"/>
    <n v="203"/>
    <n v="28"/>
    <n v="29"/>
    <n v="202"/>
    <n v="34"/>
    <n v="3"/>
    <s v="Correct"/>
    <n v="85.294117647058826"/>
    <n v="33.34375"/>
    <n v="6.0581068416119965"/>
    <x v="0"/>
  </r>
  <r>
    <d v="2026-05-06T00:00:00"/>
    <x v="0"/>
    <x v="0"/>
    <x v="3"/>
    <s v="Below 10K"/>
    <n v="139"/>
    <n v="49"/>
    <n v="34"/>
    <n v="154"/>
    <n v="47"/>
    <n v="4"/>
    <s v="Correct"/>
    <n v="72.340425531914903"/>
    <n v="34.515151515151516"/>
    <n v="4.4618086040386302"/>
    <x v="0"/>
  </r>
  <r>
    <d v="2026-05-06T00:00:00"/>
    <x v="0"/>
    <x v="0"/>
    <x v="4"/>
    <s v="35K+"/>
    <n v="147"/>
    <n v="10"/>
    <n v="14"/>
    <n v="143"/>
    <n v="14"/>
    <n v="4"/>
    <s v="Correct"/>
    <n v="100"/>
    <n v="9.9032258064516121"/>
    <n v="14.439739413680783"/>
    <x v="0"/>
  </r>
  <r>
    <d v="2026-05-06T00:00:00"/>
    <x v="0"/>
    <x v="1"/>
    <x v="0"/>
    <s v="25K-35K"/>
    <n v="192"/>
    <n v="54"/>
    <n v="22"/>
    <n v="224"/>
    <n v="33"/>
    <n v="2"/>
    <s v="Correct"/>
    <n v="66.666666666666657"/>
    <n v="21.35483870967742"/>
    <n v="10.489425981873111"/>
    <x v="0"/>
  </r>
  <r>
    <d v="2026-05-06T00:00:00"/>
    <x v="0"/>
    <x v="1"/>
    <x v="1"/>
    <s v="20K-25K"/>
    <n v="234"/>
    <n v="23"/>
    <n v="33"/>
    <n v="224"/>
    <n v="42"/>
    <n v="3"/>
    <s v="Correct"/>
    <n v="78.571428571428569"/>
    <n v="21.9"/>
    <n v="10.228310502283106"/>
    <x v="0"/>
  </r>
  <r>
    <d v="2026-05-06T00:00:00"/>
    <x v="0"/>
    <x v="1"/>
    <x v="2"/>
    <s v="10K-15K"/>
    <n v="113"/>
    <n v="56"/>
    <n v="26"/>
    <n v="143"/>
    <n v="33"/>
    <n v="5"/>
    <s v="Correct"/>
    <n v="78.787878787878782"/>
    <n v="31.586206896551722"/>
    <n v="4.5272925764192138"/>
    <x v="0"/>
  </r>
  <r>
    <d v="2026-05-06T00:00:00"/>
    <x v="0"/>
    <x v="1"/>
    <x v="3"/>
    <s v="Below 10K"/>
    <n v="137"/>
    <n v="19"/>
    <n v="33"/>
    <n v="123"/>
    <n v="33"/>
    <n v="4"/>
    <s v="Correct"/>
    <n v="100"/>
    <n v="34.200000000000003"/>
    <n v="3.5964912280701751"/>
    <x v="0"/>
  </r>
  <r>
    <d v="2026-05-06T00:00:00"/>
    <x v="0"/>
    <x v="1"/>
    <x v="4"/>
    <s v="35K+"/>
    <n v="218"/>
    <n v="38"/>
    <n v="5"/>
    <n v="251"/>
    <n v="20"/>
    <n v="1"/>
    <s v="Correct"/>
    <n v="25"/>
    <n v="10.96551724137931"/>
    <n v="22.889937106918239"/>
    <x v="1"/>
  </r>
  <r>
    <d v="2026-05-06T00:00:00"/>
    <x v="0"/>
    <x v="2"/>
    <x v="0"/>
    <s v="25K-35K"/>
    <n v="124"/>
    <n v="33"/>
    <n v="18"/>
    <n v="139"/>
    <n v="31"/>
    <n v="2"/>
    <s v="Correct"/>
    <n v="58.064516129032263"/>
    <n v="20.7"/>
    <n v="6.7149758454106285"/>
    <x v="0"/>
  </r>
  <r>
    <d v="2026-05-06T00:00:00"/>
    <x v="0"/>
    <x v="2"/>
    <x v="1"/>
    <s v="20K-25K"/>
    <n v="158"/>
    <n v="33"/>
    <n v="24"/>
    <n v="167"/>
    <n v="27"/>
    <n v="1"/>
    <s v="Correct"/>
    <n v="88.888888888888886"/>
    <n v="23.758620689655171"/>
    <n v="7.0290275761973877"/>
    <x v="0"/>
  </r>
  <r>
    <d v="2026-05-06T00:00:00"/>
    <x v="0"/>
    <x v="2"/>
    <x v="2"/>
    <s v="10K-15K"/>
    <n v="138"/>
    <n v="46"/>
    <n v="47"/>
    <n v="137"/>
    <n v="50"/>
    <n v="4"/>
    <s v="Correct"/>
    <n v="94"/>
    <n v="31.142857142857142"/>
    <n v="4.3990825688073398"/>
    <x v="0"/>
  </r>
  <r>
    <d v="2026-05-06T00:00:00"/>
    <x v="0"/>
    <x v="2"/>
    <x v="3"/>
    <s v="Below 10K"/>
    <n v="206"/>
    <n v="22"/>
    <n v="36"/>
    <n v="192"/>
    <n v="40"/>
    <n v="4"/>
    <s v="Correct"/>
    <n v="90"/>
    <n v="31.137931034482758"/>
    <n v="6.1661129568106317"/>
    <x v="0"/>
  </r>
  <r>
    <d v="2026-05-06T00:00:00"/>
    <x v="0"/>
    <x v="2"/>
    <x v="4"/>
    <s v="35K+"/>
    <n v="268"/>
    <n v="16"/>
    <n v="5"/>
    <n v="279"/>
    <n v="18"/>
    <n v="4"/>
    <s v="Correct"/>
    <n v="27.777777777777779"/>
    <n v="11.3"/>
    <n v="24.690265486725661"/>
    <x v="1"/>
  </r>
  <r>
    <d v="2026-05-06T00:00:00"/>
    <x v="1"/>
    <x v="3"/>
    <x v="0"/>
    <s v="25K-35K"/>
    <n v="219"/>
    <n v="59"/>
    <n v="29"/>
    <n v="249"/>
    <n v="31"/>
    <n v="2"/>
    <s v="Correct"/>
    <n v="93.548387096774192"/>
    <n v="22.258064516129032"/>
    <n v="11.18695652173913"/>
    <x v="0"/>
  </r>
  <r>
    <d v="2026-05-06T00:00:00"/>
    <x v="1"/>
    <x v="3"/>
    <x v="1"/>
    <s v="20K-25K"/>
    <n v="114"/>
    <n v="35"/>
    <n v="29"/>
    <n v="120"/>
    <n v="32"/>
    <n v="4"/>
    <s v="Correct"/>
    <n v="90.625"/>
    <n v="20.172413793103448"/>
    <n v="5.9487179487179489"/>
    <x v="0"/>
  </r>
  <r>
    <d v="2026-05-06T00:00:00"/>
    <x v="1"/>
    <x v="3"/>
    <x v="2"/>
    <s v="10K-15K"/>
    <n v="235"/>
    <n v="22"/>
    <n v="33"/>
    <n v="224"/>
    <n v="46"/>
    <n v="4"/>
    <s v="Correct"/>
    <n v="71.739130434782609"/>
    <n v="29.733333333333334"/>
    <n v="7.5336322869955152"/>
    <x v="0"/>
  </r>
  <r>
    <d v="2026-05-06T00:00:00"/>
    <x v="1"/>
    <x v="3"/>
    <x v="3"/>
    <s v="Below 10K"/>
    <n v="227"/>
    <n v="36"/>
    <n v="24"/>
    <n v="239"/>
    <n v="37"/>
    <n v="1"/>
    <s v="Correct"/>
    <n v="64.86486486486487"/>
    <n v="30.724137931034484"/>
    <n v="7.7789001122334449"/>
    <x v="0"/>
  </r>
  <r>
    <d v="2026-05-06T00:00:00"/>
    <x v="1"/>
    <x v="3"/>
    <x v="4"/>
    <s v="35K+"/>
    <n v="184"/>
    <n v="14"/>
    <n v="16"/>
    <n v="182"/>
    <n v="25"/>
    <n v="5"/>
    <s v="Correct"/>
    <n v="64"/>
    <n v="11.566666666666666"/>
    <n v="15.734870317002882"/>
    <x v="1"/>
  </r>
  <r>
    <d v="2026-05-06T00:00:00"/>
    <x v="2"/>
    <x v="4"/>
    <x v="0"/>
    <s v="25K-35K"/>
    <n v="246"/>
    <n v="12"/>
    <n v="28"/>
    <n v="230"/>
    <n v="34"/>
    <n v="3"/>
    <s v="Correct"/>
    <n v="82.35294117647058"/>
    <n v="22.25"/>
    <n v="10.337078651685394"/>
    <x v="0"/>
  </r>
  <r>
    <d v="2026-05-06T00:00:00"/>
    <x v="2"/>
    <x v="4"/>
    <x v="1"/>
    <s v="20K-25K"/>
    <n v="121"/>
    <n v="19"/>
    <n v="22"/>
    <n v="118"/>
    <n v="25"/>
    <n v="1"/>
    <s v="Correct"/>
    <n v="88"/>
    <n v="19.96551724137931"/>
    <n v="5.9101899827288431"/>
    <x v="0"/>
  </r>
  <r>
    <d v="2026-05-06T00:00:00"/>
    <x v="2"/>
    <x v="4"/>
    <x v="2"/>
    <s v="10K-15K"/>
    <n v="86"/>
    <n v="60"/>
    <n v="39"/>
    <n v="107"/>
    <n v="43"/>
    <n v="3"/>
    <s v="Correct"/>
    <n v="90.697674418604649"/>
    <n v="31.206896551724139"/>
    <n v="3.4287292817679558"/>
    <x v="0"/>
  </r>
  <r>
    <d v="2026-05-06T00:00:00"/>
    <x v="2"/>
    <x v="4"/>
    <x v="3"/>
    <s v="Below 10K"/>
    <n v="244"/>
    <n v="10"/>
    <n v="45"/>
    <n v="209"/>
    <n v="48"/>
    <n v="2"/>
    <s v="Correct"/>
    <n v="93.75"/>
    <n v="32.620689655172413"/>
    <n v="6.4069767441860463"/>
    <x v="0"/>
  </r>
  <r>
    <d v="2026-05-06T00:00:00"/>
    <x v="2"/>
    <x v="4"/>
    <x v="4"/>
    <s v="35K+"/>
    <n v="275"/>
    <n v="35"/>
    <n v="17"/>
    <n v="293"/>
    <n v="21"/>
    <n v="4"/>
    <s v="Correct"/>
    <n v="80.952380952380949"/>
    <n v="11.678571428571429"/>
    <n v="25.088685015290519"/>
    <x v="1"/>
  </r>
  <r>
    <d v="2026-05-06T00:00:00"/>
    <x v="3"/>
    <x v="5"/>
    <x v="0"/>
    <s v="25K-35K"/>
    <n v="206"/>
    <n v="18"/>
    <n v="33"/>
    <n v="191"/>
    <n v="36"/>
    <n v="1"/>
    <s v="Correct"/>
    <n v="91.666666666666657"/>
    <n v="20.84375"/>
    <n v="9.1634182908545725"/>
    <x v="0"/>
  </r>
  <r>
    <d v="2026-05-06T00:00:00"/>
    <x v="3"/>
    <x v="5"/>
    <x v="1"/>
    <s v="20K-25K"/>
    <n v="259"/>
    <n v="5"/>
    <n v="21"/>
    <n v="243"/>
    <n v="34"/>
    <n v="2"/>
    <s v="Correct"/>
    <n v="61.764705882352942"/>
    <n v="21.46875"/>
    <n v="11.318777292576419"/>
    <x v="0"/>
  </r>
  <r>
    <d v="2026-05-06T00:00:00"/>
    <x v="3"/>
    <x v="5"/>
    <x v="2"/>
    <s v="10K-15K"/>
    <n v="124"/>
    <n v="27"/>
    <n v="38"/>
    <n v="113"/>
    <n v="47"/>
    <n v="2"/>
    <s v="Correct"/>
    <n v="80.851063829787222"/>
    <n v="30.586206896551722"/>
    <n v="3.6944757609921086"/>
    <x v="0"/>
  </r>
  <r>
    <d v="2026-05-06T00:00:00"/>
    <x v="3"/>
    <x v="5"/>
    <x v="3"/>
    <s v="Below 10K"/>
    <n v="172"/>
    <n v="10"/>
    <n v="17"/>
    <n v="165"/>
    <n v="21"/>
    <n v="1"/>
    <s v="Correct"/>
    <n v="80.952380952380949"/>
    <n v="32.299999999999997"/>
    <n v="5.1083591331269353"/>
    <x v="0"/>
  </r>
  <r>
    <d v="2026-05-06T00:00:00"/>
    <x v="3"/>
    <x v="5"/>
    <x v="4"/>
    <s v="35K+"/>
    <n v="313"/>
    <n v="36"/>
    <n v="18"/>
    <n v="331"/>
    <n v="25"/>
    <n v="2"/>
    <s v="Correct"/>
    <n v="72"/>
    <n v="10.413793103448276"/>
    <n v="31.784768211920529"/>
    <x v="2"/>
  </r>
  <r>
    <d v="2026-05-06T00:00:00"/>
    <x v="4"/>
    <x v="6"/>
    <x v="0"/>
    <s v="25K-35K"/>
    <n v="140"/>
    <n v="38"/>
    <n v="25"/>
    <n v="153"/>
    <n v="31"/>
    <n v="1"/>
    <s v="Correct"/>
    <n v="80.645161290322577"/>
    <n v="20.70967741935484"/>
    <n v="7.3878504672897192"/>
    <x v="0"/>
  </r>
  <r>
    <d v="2026-05-06T00:00:00"/>
    <x v="4"/>
    <x v="6"/>
    <x v="1"/>
    <s v="20K-25K"/>
    <n v="125"/>
    <n v="45"/>
    <n v="25"/>
    <n v="145"/>
    <n v="38"/>
    <n v="5"/>
    <s v="Correct"/>
    <n v="65.789473684210535"/>
    <n v="22.142857142857142"/>
    <n v="6.5483870967741939"/>
    <x v="0"/>
  </r>
  <r>
    <d v="2026-05-06T00:00:00"/>
    <x v="4"/>
    <x v="6"/>
    <x v="2"/>
    <s v="10K-15K"/>
    <n v="116"/>
    <n v="12"/>
    <n v="34"/>
    <n v="94"/>
    <n v="43"/>
    <n v="1"/>
    <s v="Correct"/>
    <n v="79.069767441860463"/>
    <n v="30.275862068965516"/>
    <n v="3.1047835990888384"/>
    <x v="0"/>
  </r>
  <r>
    <d v="2026-05-06T00:00:00"/>
    <x v="4"/>
    <x v="6"/>
    <x v="3"/>
    <s v="Below 10K"/>
    <n v="278"/>
    <n v="40"/>
    <n v="39"/>
    <n v="279"/>
    <n v="50"/>
    <n v="5"/>
    <s v="Correct"/>
    <n v="78"/>
    <n v="30.931034482758619"/>
    <n v="9.0200668896321066"/>
    <x v="0"/>
  </r>
  <r>
    <d v="2026-05-06T00:00:00"/>
    <x v="4"/>
    <x v="6"/>
    <x v="4"/>
    <s v="35K+"/>
    <n v="289"/>
    <n v="4"/>
    <n v="15"/>
    <n v="278"/>
    <n v="25"/>
    <n v="3"/>
    <s v="Correct"/>
    <n v="60"/>
    <n v="10.25"/>
    <n v="27.121951219512194"/>
    <x v="1"/>
  </r>
  <r>
    <d v="2026-05-07T00:00:00"/>
    <x v="0"/>
    <x v="0"/>
    <x v="0"/>
    <s v="25K-35K"/>
    <n v="280"/>
    <n v="31"/>
    <n v="13"/>
    <n v="298"/>
    <n v="20"/>
    <n v="2"/>
    <s v="Correct"/>
    <n v="65"/>
    <n v="21.666666666666668"/>
    <n v="13.753846153846153"/>
    <x v="0"/>
  </r>
  <r>
    <d v="2026-05-07T00:00:00"/>
    <x v="0"/>
    <x v="0"/>
    <x v="1"/>
    <s v="20K-25K"/>
    <n v="242"/>
    <n v="2"/>
    <n v="21"/>
    <n v="223"/>
    <n v="24"/>
    <n v="2"/>
    <s v="Correct"/>
    <n v="87.5"/>
    <n v="20.030303030303031"/>
    <n v="11.133131618759455"/>
    <x v="0"/>
  </r>
  <r>
    <d v="2026-05-07T00:00:00"/>
    <x v="0"/>
    <x v="0"/>
    <x v="2"/>
    <s v="10K-15K"/>
    <n v="202"/>
    <n v="1"/>
    <n v="39"/>
    <n v="164"/>
    <n v="53"/>
    <n v="2"/>
    <s v="Correct"/>
    <n v="73.584905660377359"/>
    <n v="33.34375"/>
    <n v="4.9184629803186501"/>
    <x v="0"/>
  </r>
  <r>
    <d v="2026-05-07T00:00:00"/>
    <x v="0"/>
    <x v="0"/>
    <x v="3"/>
    <s v="Below 10K"/>
    <n v="154"/>
    <n v="4"/>
    <n v="30"/>
    <n v="128"/>
    <n v="45"/>
    <n v="3"/>
    <s v="Correct"/>
    <n v="66.666666666666657"/>
    <n v="34.515151515151516"/>
    <n v="3.7085162423178226"/>
    <x v="0"/>
  </r>
  <r>
    <d v="2026-05-07T00:00:00"/>
    <x v="0"/>
    <x v="0"/>
    <x v="4"/>
    <s v="35K+"/>
    <n v="143"/>
    <n v="30"/>
    <n v="15"/>
    <n v="158"/>
    <n v="17"/>
    <n v="2"/>
    <s v="Correct"/>
    <n v="88.235294117647058"/>
    <n v="9.9032258064516121"/>
    <n v="15.954397394136809"/>
    <x v="1"/>
  </r>
  <r>
    <d v="2026-05-07T00:00:00"/>
    <x v="0"/>
    <x v="1"/>
    <x v="0"/>
    <s v="25K-35K"/>
    <n v="224"/>
    <n v="15"/>
    <n v="23"/>
    <n v="216"/>
    <n v="37"/>
    <n v="3"/>
    <s v="Correct"/>
    <n v="62.162162162162161"/>
    <n v="21.35483870967742"/>
    <n v="10.114803625377643"/>
    <x v="0"/>
  </r>
  <r>
    <d v="2026-05-07T00:00:00"/>
    <x v="0"/>
    <x v="1"/>
    <x v="1"/>
    <s v="20K-25K"/>
    <n v="224"/>
    <n v="4"/>
    <n v="21"/>
    <n v="207"/>
    <n v="25"/>
    <n v="4"/>
    <s v="Correct"/>
    <n v="84"/>
    <n v="21.9"/>
    <n v="9.4520547945205493"/>
    <x v="0"/>
  </r>
  <r>
    <d v="2026-05-07T00:00:00"/>
    <x v="0"/>
    <x v="1"/>
    <x v="2"/>
    <s v="10K-15K"/>
    <n v="143"/>
    <n v="5"/>
    <n v="41"/>
    <n v="107"/>
    <n v="45"/>
    <n v="2"/>
    <s v="Correct"/>
    <n v="91.111111111111114"/>
    <n v="31.586206896551722"/>
    <n v="3.3875545851528388"/>
    <x v="0"/>
  </r>
  <r>
    <d v="2026-05-07T00:00:00"/>
    <x v="0"/>
    <x v="1"/>
    <x v="3"/>
    <s v="Below 10K"/>
    <n v="123"/>
    <n v="32"/>
    <n v="27"/>
    <n v="128"/>
    <n v="28"/>
    <n v="4"/>
    <s v="Correct"/>
    <n v="96.428571428571431"/>
    <n v="34.200000000000003"/>
    <n v="3.742690058479532"/>
    <x v="0"/>
  </r>
  <r>
    <d v="2026-05-07T00:00:00"/>
    <x v="0"/>
    <x v="1"/>
    <x v="4"/>
    <s v="35K+"/>
    <n v="251"/>
    <n v="25"/>
    <n v="18"/>
    <n v="258"/>
    <n v="33"/>
    <n v="5"/>
    <s v="Correct"/>
    <n v="54.54545454545454"/>
    <n v="10.96551724137931"/>
    <n v="23.528301886792455"/>
    <x v="1"/>
  </r>
  <r>
    <d v="2026-05-07T00:00:00"/>
    <x v="0"/>
    <x v="2"/>
    <x v="0"/>
    <s v="25K-35K"/>
    <n v="139"/>
    <n v="46"/>
    <n v="13"/>
    <n v="172"/>
    <n v="26"/>
    <n v="4"/>
    <s v="Correct"/>
    <n v="50"/>
    <n v="20.7"/>
    <n v="8.3091787439613523"/>
    <x v="0"/>
  </r>
  <r>
    <d v="2026-05-07T00:00:00"/>
    <x v="0"/>
    <x v="2"/>
    <x v="1"/>
    <s v="20K-25K"/>
    <n v="167"/>
    <n v="17"/>
    <n v="32"/>
    <n v="152"/>
    <n v="44"/>
    <n v="5"/>
    <s v="Correct"/>
    <n v="72.727272727272734"/>
    <n v="23.758620689655171"/>
    <n v="6.3976777939042098"/>
    <x v="0"/>
  </r>
  <r>
    <d v="2026-05-07T00:00:00"/>
    <x v="0"/>
    <x v="2"/>
    <x v="2"/>
    <s v="10K-15K"/>
    <n v="137"/>
    <n v="31"/>
    <n v="22"/>
    <n v="146"/>
    <n v="33"/>
    <n v="5"/>
    <s v="Correct"/>
    <n v="66.666666666666657"/>
    <n v="31.142857142857142"/>
    <n v="4.6880733944954125"/>
    <x v="0"/>
  </r>
  <r>
    <d v="2026-05-07T00:00:00"/>
    <x v="0"/>
    <x v="2"/>
    <x v="3"/>
    <s v="Below 10K"/>
    <n v="192"/>
    <n v="24"/>
    <n v="48"/>
    <n v="168"/>
    <n v="52"/>
    <n v="1"/>
    <s v="Correct"/>
    <n v="92.307692307692307"/>
    <n v="31.137931034482758"/>
    <n v="5.3953488372093021"/>
    <x v="0"/>
  </r>
  <r>
    <d v="2026-05-07T00:00:00"/>
    <x v="0"/>
    <x v="2"/>
    <x v="4"/>
    <s v="35K+"/>
    <n v="279"/>
    <n v="21"/>
    <n v="5"/>
    <n v="295"/>
    <n v="6"/>
    <n v="2"/>
    <s v="Correct"/>
    <n v="83.333333333333343"/>
    <n v="11.3"/>
    <n v="26.106194690265486"/>
    <x v="1"/>
  </r>
  <r>
    <d v="2026-05-07T00:00:00"/>
    <x v="1"/>
    <x v="3"/>
    <x v="0"/>
    <s v="25K-35K"/>
    <n v="249"/>
    <n v="17"/>
    <n v="23"/>
    <n v="243"/>
    <n v="30"/>
    <n v="2"/>
    <s v="Correct"/>
    <n v="76.666666666666671"/>
    <n v="22.258064516129032"/>
    <n v="10.917391304347825"/>
    <x v="0"/>
  </r>
  <r>
    <d v="2026-05-07T00:00:00"/>
    <x v="1"/>
    <x v="3"/>
    <x v="1"/>
    <s v="20K-25K"/>
    <n v="120"/>
    <n v="46"/>
    <n v="15"/>
    <n v="151"/>
    <n v="25"/>
    <n v="5"/>
    <s v="Correct"/>
    <n v="60"/>
    <n v="20.172413793103448"/>
    <n v="7.4854700854700855"/>
    <x v="0"/>
  </r>
  <r>
    <d v="2026-05-07T00:00:00"/>
    <x v="1"/>
    <x v="3"/>
    <x v="2"/>
    <s v="10K-15K"/>
    <n v="224"/>
    <n v="3"/>
    <n v="49"/>
    <n v="178"/>
    <n v="53"/>
    <n v="1"/>
    <s v="Correct"/>
    <n v="92.452830188679243"/>
    <n v="29.733333333333334"/>
    <n v="5.9865470852017939"/>
    <x v="0"/>
  </r>
  <r>
    <d v="2026-05-07T00:00:00"/>
    <x v="1"/>
    <x v="3"/>
    <x v="3"/>
    <s v="Below 10K"/>
    <n v="239"/>
    <n v="27"/>
    <n v="34"/>
    <n v="232"/>
    <n v="34"/>
    <n v="3"/>
    <s v="Correct"/>
    <n v="100"/>
    <n v="30.724137931034484"/>
    <n v="7.5510662177328838"/>
    <x v="0"/>
  </r>
  <r>
    <d v="2026-05-07T00:00:00"/>
    <x v="1"/>
    <x v="3"/>
    <x v="4"/>
    <s v="35K+"/>
    <n v="182"/>
    <n v="34"/>
    <n v="6"/>
    <n v="210"/>
    <n v="13"/>
    <n v="3"/>
    <s v="Correct"/>
    <n v="46.153846153846153"/>
    <n v="11.566666666666666"/>
    <n v="18.155619596541786"/>
    <x v="1"/>
  </r>
  <r>
    <d v="2026-05-07T00:00:00"/>
    <x v="2"/>
    <x v="4"/>
    <x v="0"/>
    <s v="25K-35K"/>
    <n v="230"/>
    <n v="25"/>
    <n v="30"/>
    <n v="225"/>
    <n v="27"/>
    <n v="5"/>
    <s v="Correct"/>
    <n v="111.11111111111111"/>
    <n v="22.25"/>
    <n v="10.112359550561798"/>
    <x v="0"/>
  </r>
  <r>
    <d v="2026-05-07T00:00:00"/>
    <x v="2"/>
    <x v="4"/>
    <x v="1"/>
    <s v="20K-25K"/>
    <n v="118"/>
    <n v="45"/>
    <n v="12"/>
    <n v="151"/>
    <n v="25"/>
    <n v="2"/>
    <s v="Correct"/>
    <n v="48"/>
    <n v="19.96551724137931"/>
    <n v="7.5630397236614852"/>
    <x v="0"/>
  </r>
  <r>
    <d v="2026-05-07T00:00:00"/>
    <x v="2"/>
    <x v="4"/>
    <x v="2"/>
    <s v="10K-15K"/>
    <n v="107"/>
    <n v="33"/>
    <n v="30"/>
    <n v="110"/>
    <n v="36"/>
    <n v="1"/>
    <s v="Correct"/>
    <n v="83.333333333333343"/>
    <n v="31.206896551724139"/>
    <n v="3.5248618784530388"/>
    <x v="0"/>
  </r>
  <r>
    <d v="2026-05-07T00:00:00"/>
    <x v="2"/>
    <x v="4"/>
    <x v="3"/>
    <s v="Below 10K"/>
    <n v="209"/>
    <n v="17"/>
    <n v="35"/>
    <n v="191"/>
    <n v="39"/>
    <n v="1"/>
    <s v="Correct"/>
    <n v="89.743589743589752"/>
    <n v="32.620689655172413"/>
    <n v="5.8551797040169138"/>
    <x v="0"/>
  </r>
  <r>
    <d v="2026-05-07T00:00:00"/>
    <x v="2"/>
    <x v="4"/>
    <x v="4"/>
    <s v="35K+"/>
    <n v="293"/>
    <n v="50"/>
    <n v="14"/>
    <n v="329"/>
    <n v="0"/>
    <n v="3"/>
    <s v="Correct"/>
    <n v="0"/>
    <n v="11.678571428571429"/>
    <n v="28.171253822629968"/>
    <x v="1"/>
  </r>
  <r>
    <d v="2026-05-07T00:00:00"/>
    <x v="3"/>
    <x v="5"/>
    <x v="0"/>
    <s v="25K-35K"/>
    <n v="191"/>
    <n v="30"/>
    <n v="23"/>
    <n v="198"/>
    <n v="36"/>
    <n v="5"/>
    <s v="Correct"/>
    <n v="63.888888888888886"/>
    <n v="20.84375"/>
    <n v="9.4992503748125934"/>
    <x v="0"/>
  </r>
  <r>
    <d v="2026-05-07T00:00:00"/>
    <x v="3"/>
    <x v="5"/>
    <x v="1"/>
    <s v="20K-25K"/>
    <n v="243"/>
    <n v="24"/>
    <n v="27"/>
    <n v="240"/>
    <n v="33"/>
    <n v="4"/>
    <s v="Correct"/>
    <n v="81.818181818181827"/>
    <n v="21.46875"/>
    <n v="11.179039301310043"/>
    <x v="0"/>
  </r>
  <r>
    <d v="2026-05-07T00:00:00"/>
    <x v="3"/>
    <x v="5"/>
    <x v="2"/>
    <s v="10K-15K"/>
    <n v="113"/>
    <n v="28"/>
    <n v="16"/>
    <n v="125"/>
    <n v="27"/>
    <n v="5"/>
    <s v="Correct"/>
    <n v="59.259259259259252"/>
    <n v="30.586206896551722"/>
    <n v="4.0868094701240141"/>
    <x v="0"/>
  </r>
  <r>
    <d v="2026-05-07T00:00:00"/>
    <x v="3"/>
    <x v="5"/>
    <x v="3"/>
    <s v="Below 10K"/>
    <n v="165"/>
    <n v="12"/>
    <n v="22"/>
    <n v="155"/>
    <n v="26"/>
    <n v="3"/>
    <s v="Correct"/>
    <n v="84.615384615384613"/>
    <n v="32.299999999999997"/>
    <n v="4.7987616099071211"/>
    <x v="0"/>
  </r>
  <r>
    <d v="2026-05-07T00:00:00"/>
    <x v="3"/>
    <x v="5"/>
    <x v="4"/>
    <s v="35K+"/>
    <n v="331"/>
    <n v="7"/>
    <n v="11"/>
    <n v="327"/>
    <n v="20"/>
    <n v="5"/>
    <s v="Correct"/>
    <n v="55.000000000000007"/>
    <n v="10.413793103448276"/>
    <n v="31.400662251655628"/>
    <x v="2"/>
  </r>
  <r>
    <d v="2026-05-07T00:00:00"/>
    <x v="4"/>
    <x v="6"/>
    <x v="0"/>
    <s v="25K-35K"/>
    <n v="153"/>
    <n v="1"/>
    <n v="29"/>
    <n v="125"/>
    <n v="43"/>
    <n v="2"/>
    <s v="Correct"/>
    <n v="67.441860465116278"/>
    <n v="20.70967741935484"/>
    <n v="6.0358255451713392"/>
    <x v="0"/>
  </r>
  <r>
    <d v="2026-05-07T00:00:00"/>
    <x v="0"/>
    <x v="0"/>
    <x v="1"/>
    <s v="20K-25K"/>
    <n v="145"/>
    <n v="49"/>
    <n v="26"/>
    <n v="168"/>
    <n v="31"/>
    <n v="5"/>
    <s v="Correct"/>
    <n v="83.870967741935488"/>
    <n v="20.030303030303031"/>
    <n v="8.3872919818456886"/>
    <x v="0"/>
  </r>
  <r>
    <d v="2026-05-07T00:00:00"/>
    <x v="4"/>
    <x v="6"/>
    <x v="2"/>
    <s v="10K-15K"/>
    <n v="94"/>
    <n v="55"/>
    <n v="44"/>
    <n v="105"/>
    <n v="44"/>
    <n v="3"/>
    <s v="Correct"/>
    <n v="100"/>
    <n v="30.275862068965516"/>
    <n v="3.4681093394077451"/>
    <x v="0"/>
  </r>
  <r>
    <d v="2026-05-07T00:00:00"/>
    <x v="4"/>
    <x v="6"/>
    <x v="3"/>
    <s v="Below 10K"/>
    <n v="279"/>
    <n v="7"/>
    <n v="41"/>
    <n v="245"/>
    <n v="55"/>
    <n v="5"/>
    <s v="Correct"/>
    <n v="74.545454545454547"/>
    <n v="30.931034482758619"/>
    <n v="7.9208472686733558"/>
    <x v="0"/>
  </r>
  <r>
    <d v="2026-05-07T00:00:00"/>
    <x v="4"/>
    <x v="6"/>
    <x v="4"/>
    <s v="35K+"/>
    <n v="278"/>
    <n v="8"/>
    <n v="6"/>
    <n v="280"/>
    <n v="13"/>
    <n v="4"/>
    <s v="Correct"/>
    <n v="46.153846153846153"/>
    <n v="10.25"/>
    <n v="27.317073170731707"/>
    <x v="1"/>
  </r>
  <r>
    <d v="2026-05-08T00:00:00"/>
    <x v="0"/>
    <x v="0"/>
    <x v="0"/>
    <s v="25K-35K"/>
    <n v="298"/>
    <n v="51"/>
    <n v="23"/>
    <n v="326"/>
    <n v="25"/>
    <n v="3"/>
    <s v="Correct"/>
    <n v="92"/>
    <n v="21.666666666666668"/>
    <n v="15.046153846153846"/>
    <x v="1"/>
  </r>
  <r>
    <d v="2026-05-08T00:00:00"/>
    <x v="0"/>
    <x v="0"/>
    <x v="1"/>
    <s v="20K-25K"/>
    <n v="223"/>
    <n v="24"/>
    <n v="29"/>
    <n v="218"/>
    <n v="33"/>
    <n v="5"/>
    <s v="Correct"/>
    <n v="87.878787878787875"/>
    <n v="20.030303030303031"/>
    <n v="10.883509833585476"/>
    <x v="0"/>
  </r>
  <r>
    <d v="2026-05-08T00:00:00"/>
    <x v="0"/>
    <x v="0"/>
    <x v="2"/>
    <s v="10K-15K"/>
    <n v="164"/>
    <n v="0"/>
    <n v="39"/>
    <n v="125"/>
    <n v="43"/>
    <n v="4"/>
    <s v="Correct"/>
    <n v="90.697674418604649"/>
    <n v="33.34375"/>
    <n v="3.7488284910965324"/>
    <x v="0"/>
  </r>
  <r>
    <d v="2026-05-08T00:00:00"/>
    <x v="0"/>
    <x v="0"/>
    <x v="3"/>
    <s v="Below 10K"/>
    <n v="128"/>
    <n v="48"/>
    <n v="35"/>
    <n v="141"/>
    <n v="43"/>
    <n v="5"/>
    <s v="Correct"/>
    <n v="81.395348837209298"/>
    <n v="34.515151515151516"/>
    <n v="4.0851624231782262"/>
    <x v="0"/>
  </r>
  <r>
    <d v="2026-05-08T00:00:00"/>
    <x v="0"/>
    <x v="0"/>
    <x v="4"/>
    <s v="35K+"/>
    <n v="158"/>
    <n v="14"/>
    <n v="8"/>
    <n v="164"/>
    <n v="20"/>
    <n v="5"/>
    <s v="Correct"/>
    <n v="40"/>
    <n v="9.9032258064516121"/>
    <n v="16.56026058631922"/>
    <x v="1"/>
  </r>
  <r>
    <d v="2026-05-08T00:00:00"/>
    <x v="0"/>
    <x v="1"/>
    <x v="0"/>
    <s v="25K-35K"/>
    <n v="216"/>
    <n v="21"/>
    <n v="28"/>
    <n v="209"/>
    <n v="34"/>
    <n v="5"/>
    <s v="Correct"/>
    <n v="82.35294117647058"/>
    <n v="21.35483870967742"/>
    <n v="9.787009063444108"/>
    <x v="0"/>
  </r>
  <r>
    <d v="2026-05-08T00:00:00"/>
    <x v="0"/>
    <x v="1"/>
    <x v="1"/>
    <s v="20K-25K"/>
    <n v="207"/>
    <n v="17"/>
    <n v="26"/>
    <n v="198"/>
    <n v="36"/>
    <n v="4"/>
    <s v="Correct"/>
    <n v="72.222222222222214"/>
    <n v="21.9"/>
    <n v="9.0410958904109595"/>
    <x v="0"/>
  </r>
  <r>
    <d v="2026-05-08T00:00:00"/>
    <x v="0"/>
    <x v="1"/>
    <x v="2"/>
    <s v="10K-15K"/>
    <n v="107"/>
    <n v="35"/>
    <n v="45"/>
    <n v="97"/>
    <n v="55"/>
    <n v="3"/>
    <s v="Correct"/>
    <n v="81.818181818181827"/>
    <n v="31.586206896551722"/>
    <n v="3.0709606986899565"/>
    <x v="0"/>
  </r>
  <r>
    <d v="2026-05-08T00:00:00"/>
    <x v="0"/>
    <x v="1"/>
    <x v="3"/>
    <s v="Below 10K"/>
    <n v="128"/>
    <n v="55"/>
    <n v="41"/>
    <n v="142"/>
    <n v="55"/>
    <n v="3"/>
    <s v="Correct"/>
    <n v="74.545454545454547"/>
    <n v="34.200000000000003"/>
    <n v="4.1520467836257309"/>
    <x v="0"/>
  </r>
  <r>
    <d v="2026-05-08T00:00:00"/>
    <x v="0"/>
    <x v="1"/>
    <x v="4"/>
    <s v="35K+"/>
    <n v="258"/>
    <n v="24"/>
    <n v="15"/>
    <n v="267"/>
    <n v="15"/>
    <n v="3"/>
    <s v="Correct"/>
    <n v="100"/>
    <n v="10.96551724137931"/>
    <n v="24.349056603773587"/>
    <x v="1"/>
  </r>
  <r>
    <d v="2026-05-08T00:00:00"/>
    <x v="0"/>
    <x v="2"/>
    <x v="0"/>
    <s v="25K-35K"/>
    <n v="172"/>
    <n v="33"/>
    <n v="16"/>
    <n v="189"/>
    <n v="21"/>
    <n v="4"/>
    <s v="Correct"/>
    <n v="76.19047619047619"/>
    <n v="20.7"/>
    <n v="9.1304347826086953"/>
    <x v="0"/>
  </r>
  <r>
    <d v="2026-05-08T00:00:00"/>
    <x v="0"/>
    <x v="2"/>
    <x v="1"/>
    <s v="20K-25K"/>
    <n v="152"/>
    <n v="45"/>
    <n v="35"/>
    <n v="162"/>
    <n v="36"/>
    <n v="2"/>
    <s v="Correct"/>
    <n v="97.222222222222214"/>
    <n v="23.758620689655171"/>
    <n v="6.8185776487663281"/>
    <x v="0"/>
  </r>
  <r>
    <d v="2026-05-08T00:00:00"/>
    <x v="0"/>
    <x v="2"/>
    <x v="2"/>
    <s v="10K-15K"/>
    <n v="146"/>
    <n v="58"/>
    <n v="40"/>
    <n v="164"/>
    <n v="53"/>
    <n v="1"/>
    <s v="Correct"/>
    <n v="75.471698113207552"/>
    <n v="31.142857142857142"/>
    <n v="5.2660550458715596"/>
    <x v="0"/>
  </r>
  <r>
    <d v="2026-05-08T00:00:00"/>
    <x v="0"/>
    <x v="2"/>
    <x v="3"/>
    <s v="Below 10K"/>
    <n v="168"/>
    <n v="5"/>
    <n v="28"/>
    <n v="145"/>
    <n v="37"/>
    <n v="5"/>
    <s v="Correct"/>
    <n v="75.675675675675677"/>
    <n v="31.137931034482758"/>
    <n v="4.6566998892580287"/>
    <x v="0"/>
  </r>
  <r>
    <d v="2026-05-08T00:00:00"/>
    <x v="0"/>
    <x v="2"/>
    <x v="4"/>
    <s v="35K+"/>
    <n v="295"/>
    <n v="14"/>
    <n v="17"/>
    <n v="292"/>
    <n v="28"/>
    <n v="2"/>
    <s v="Correct"/>
    <n v="60.714285714285708"/>
    <n v="11.3"/>
    <n v="25.840707964601769"/>
    <x v="1"/>
  </r>
  <r>
    <d v="2026-05-08T00:00:00"/>
    <x v="1"/>
    <x v="3"/>
    <x v="0"/>
    <s v="25K-35K"/>
    <n v="243"/>
    <n v="34"/>
    <n v="31"/>
    <n v="246"/>
    <n v="32"/>
    <n v="1"/>
    <s v="Correct"/>
    <n v="96.875"/>
    <n v="22.258064516129032"/>
    <n v="11.052173913043479"/>
    <x v="0"/>
  </r>
  <r>
    <d v="2026-05-08T00:00:00"/>
    <x v="1"/>
    <x v="3"/>
    <x v="1"/>
    <s v="20K-25K"/>
    <n v="151"/>
    <n v="38"/>
    <n v="32"/>
    <n v="157"/>
    <n v="35"/>
    <n v="2"/>
    <s v="Correct"/>
    <n v="91.428571428571431"/>
    <n v="20.172413793103448"/>
    <n v="7.7829059829059828"/>
    <x v="0"/>
  </r>
  <r>
    <d v="2026-05-08T00:00:00"/>
    <x v="1"/>
    <x v="3"/>
    <x v="2"/>
    <s v="10K-15K"/>
    <n v="178"/>
    <n v="50"/>
    <n v="44"/>
    <n v="184"/>
    <n v="50"/>
    <n v="3"/>
    <s v="Correct"/>
    <n v="88"/>
    <n v="29.733333333333334"/>
    <n v="6.188340807174888"/>
    <x v="0"/>
  </r>
  <r>
    <d v="2026-05-08T00:00:00"/>
    <x v="1"/>
    <x v="3"/>
    <x v="3"/>
    <s v="Below 10K"/>
    <n v="232"/>
    <n v="34"/>
    <n v="29"/>
    <n v="237"/>
    <n v="33"/>
    <n v="4"/>
    <s v="Correct"/>
    <n v="87.878787878787875"/>
    <n v="30.724137931034484"/>
    <n v="7.7138047138047137"/>
    <x v="0"/>
  </r>
  <r>
    <d v="2026-05-08T00:00:00"/>
    <x v="1"/>
    <x v="3"/>
    <x v="4"/>
    <s v="35K+"/>
    <n v="210"/>
    <n v="3"/>
    <n v="13"/>
    <n v="200"/>
    <n v="26"/>
    <n v="1"/>
    <s v="Correct"/>
    <n v="50"/>
    <n v="11.566666666666666"/>
    <n v="17.291066282420751"/>
    <x v="1"/>
  </r>
  <r>
    <d v="2026-05-08T00:00:00"/>
    <x v="2"/>
    <x v="4"/>
    <x v="0"/>
    <s v="25K-35K"/>
    <n v="232"/>
    <n v="31"/>
    <n v="34"/>
    <n v="229"/>
    <n v="48"/>
    <n v="2"/>
    <s v="Correct"/>
    <n v="70.833333333333343"/>
    <n v="22.25"/>
    <n v="10.292134831460674"/>
    <x v="0"/>
  </r>
  <r>
    <d v="2026-05-08T00:00:00"/>
    <x v="2"/>
    <x v="4"/>
    <x v="1"/>
    <s v="20K-25K"/>
    <n v="151"/>
    <n v="58"/>
    <n v="22"/>
    <n v="187"/>
    <n v="30"/>
    <n v="3"/>
    <s v="Correct"/>
    <n v="73.333333333333329"/>
    <n v="19.96551724137931"/>
    <n v="9.3661485319516409"/>
    <x v="0"/>
  </r>
  <r>
    <d v="2026-05-08T00:00:00"/>
    <x v="2"/>
    <x v="4"/>
    <x v="2"/>
    <s v="10K-15K"/>
    <n v="110"/>
    <n v="43"/>
    <n v="30"/>
    <n v="123"/>
    <n v="42"/>
    <n v="5"/>
    <s v="Correct"/>
    <n v="71.428571428571431"/>
    <n v="31.206896551724139"/>
    <n v="3.9414364640883979"/>
    <x v="0"/>
  </r>
  <r>
    <d v="2026-05-08T00:00:00"/>
    <x v="2"/>
    <x v="4"/>
    <x v="3"/>
    <s v="Below 10K"/>
    <n v="191"/>
    <n v="7"/>
    <n v="36"/>
    <n v="162"/>
    <n v="39"/>
    <n v="1"/>
    <s v="Correct"/>
    <n v="92.307692307692307"/>
    <n v="32.620689655172413"/>
    <n v="4.9661733615221992"/>
    <x v="0"/>
  </r>
  <r>
    <d v="2026-05-08T00:00:00"/>
    <x v="2"/>
    <x v="4"/>
    <x v="4"/>
    <s v="35K+"/>
    <n v="329"/>
    <n v="8"/>
    <n v="17"/>
    <n v="320"/>
    <n v="31"/>
    <n v="3"/>
    <s v="Correct"/>
    <n v="54.838709677419352"/>
    <n v="11.678571428571429"/>
    <n v="27.400611620795107"/>
    <x v="1"/>
  </r>
  <r>
    <d v="2026-05-08T00:00:00"/>
    <x v="3"/>
    <x v="5"/>
    <x v="0"/>
    <s v="25K-35K"/>
    <n v="198"/>
    <n v="31"/>
    <n v="16"/>
    <n v="213"/>
    <n v="23"/>
    <n v="3"/>
    <s v="Correct"/>
    <n v="69.565217391304344"/>
    <n v="20.84375"/>
    <n v="10.218890554722639"/>
    <x v="0"/>
  </r>
  <r>
    <d v="2026-05-08T00:00:00"/>
    <x v="3"/>
    <x v="5"/>
    <x v="1"/>
    <s v="20K-25K"/>
    <n v="240"/>
    <n v="41"/>
    <n v="31"/>
    <n v="250"/>
    <n v="45"/>
    <n v="3"/>
    <s v="Correct"/>
    <n v="68.888888888888886"/>
    <n v="21.46875"/>
    <n v="11.644832605531295"/>
    <x v="0"/>
  </r>
  <r>
    <d v="2026-05-08T00:00:00"/>
    <x v="3"/>
    <x v="5"/>
    <x v="2"/>
    <s v="10K-15K"/>
    <n v="125"/>
    <n v="6"/>
    <n v="49"/>
    <n v="82"/>
    <n v="64"/>
    <n v="5"/>
    <s v="Correct"/>
    <n v="76.5625"/>
    <n v="30.586206896551722"/>
    <n v="2.680947012401353"/>
    <x v="0"/>
  </r>
  <r>
    <d v="2026-05-08T00:00:00"/>
    <x v="3"/>
    <x v="5"/>
    <x v="3"/>
    <s v="Below 10K"/>
    <n v="155"/>
    <n v="21"/>
    <n v="18"/>
    <n v="158"/>
    <n v="31"/>
    <n v="5"/>
    <s v="Correct"/>
    <n v="58.064516129032263"/>
    <n v="32.299999999999997"/>
    <n v="4.8916408668730655"/>
    <x v="0"/>
  </r>
  <r>
    <d v="2026-05-08T00:00:00"/>
    <x v="3"/>
    <x v="5"/>
    <x v="4"/>
    <s v="35K+"/>
    <n v="327"/>
    <n v="4"/>
    <n v="4"/>
    <n v="327"/>
    <n v="13"/>
    <n v="2"/>
    <s v="Correct"/>
    <n v="30.76923076923077"/>
    <n v="10.413793103448276"/>
    <n v="31.400662251655628"/>
    <x v="2"/>
  </r>
  <r>
    <d v="2026-05-08T00:00:00"/>
    <x v="4"/>
    <x v="6"/>
    <x v="0"/>
    <s v="25K-35K"/>
    <n v="125"/>
    <n v="20"/>
    <n v="20"/>
    <n v="125"/>
    <n v="26"/>
    <n v="3"/>
    <s v="Correct"/>
    <n v="76.923076923076934"/>
    <n v="20.70967741935484"/>
    <n v="6.0358255451713392"/>
    <x v="0"/>
  </r>
  <r>
    <d v="2026-05-08T00:00:00"/>
    <x v="4"/>
    <x v="6"/>
    <x v="1"/>
    <s v="20K-25K"/>
    <n v="168"/>
    <n v="13"/>
    <n v="14"/>
    <n v="167"/>
    <n v="24"/>
    <n v="1"/>
    <s v="Correct"/>
    <n v="58.333333333333336"/>
    <n v="22.142857142857142"/>
    <n v="7.5419354838709678"/>
    <x v="0"/>
  </r>
  <r>
    <d v="2026-05-08T00:00:00"/>
    <x v="4"/>
    <x v="6"/>
    <x v="2"/>
    <s v="10K-15K"/>
    <n v="105"/>
    <n v="30"/>
    <n v="32"/>
    <n v="103"/>
    <n v="42"/>
    <n v="5"/>
    <s v="Correct"/>
    <n v="76.19047619047619"/>
    <n v="30.275862068965516"/>
    <n v="3.4020501138952164"/>
    <x v="0"/>
  </r>
  <r>
    <d v="2026-05-08T00:00:00"/>
    <x v="4"/>
    <x v="6"/>
    <x v="3"/>
    <s v="Below 10K"/>
    <n v="245"/>
    <n v="59"/>
    <n v="20"/>
    <n v="284"/>
    <n v="24"/>
    <n v="4"/>
    <s v="Correct"/>
    <n v="83.333333333333343"/>
    <n v="30.931034482758619"/>
    <n v="9.1817168338907482"/>
    <x v="0"/>
  </r>
  <r>
    <d v="2026-05-18T00:00:00"/>
    <x v="4"/>
    <x v="6"/>
    <x v="4"/>
    <s v="35K+"/>
    <n v="280"/>
    <n v="3"/>
    <n v="4"/>
    <n v="279"/>
    <n v="6"/>
    <n v="3"/>
    <s v="Correct"/>
    <n v="66.666666666666657"/>
    <n v="10.25"/>
    <n v="27.219512195121951"/>
    <x v="1"/>
  </r>
  <r>
    <d v="2026-05-09T00:00:00"/>
    <x v="0"/>
    <x v="0"/>
    <x v="0"/>
    <s v="25K-35K"/>
    <n v="326"/>
    <n v="2"/>
    <n v="10"/>
    <n v="318"/>
    <n v="21"/>
    <n v="2"/>
    <s v="Correct"/>
    <n v="47.619047619047613"/>
    <n v="21.666666666666668"/>
    <n v="14.676923076923076"/>
    <x v="0"/>
  </r>
  <r>
    <d v="2026-05-09T00:00:00"/>
    <x v="0"/>
    <x v="0"/>
    <x v="1"/>
    <s v="20K-25K"/>
    <n v="218"/>
    <n v="54"/>
    <n v="10"/>
    <n v="262"/>
    <n v="17"/>
    <n v="5"/>
    <s v="Correct"/>
    <n v="58.82352941176471"/>
    <n v="20.030303030303031"/>
    <n v="13.08018154311649"/>
    <x v="0"/>
  </r>
  <r>
    <d v="2026-05-09T00:00:00"/>
    <x v="0"/>
    <x v="0"/>
    <x v="2"/>
    <s v="10K-15K"/>
    <n v="125"/>
    <n v="15"/>
    <n v="48"/>
    <n v="92"/>
    <n v="49"/>
    <n v="4"/>
    <s v="Correct"/>
    <n v="97.959183673469383"/>
    <n v="33.34375"/>
    <n v="2.7591377694470478"/>
    <x v="0"/>
  </r>
  <r>
    <d v="2026-05-09T00:00:00"/>
    <x v="0"/>
    <x v="0"/>
    <x v="3"/>
    <s v="Below 10K"/>
    <n v="141"/>
    <n v="1"/>
    <n v="46"/>
    <n v="96"/>
    <n v="49"/>
    <n v="4"/>
    <s v="Correct"/>
    <n v="93.877551020408163"/>
    <n v="34.515151515151516"/>
    <n v="2.7813871817383671"/>
    <x v="0"/>
  </r>
  <r>
    <d v="2026-05-09T00:00:00"/>
    <x v="0"/>
    <x v="0"/>
    <x v="4"/>
    <s v="35K+"/>
    <n v="164"/>
    <n v="0"/>
    <n v="7"/>
    <n v="157"/>
    <n v="14"/>
    <n v="2"/>
    <s v="Correct"/>
    <n v="50"/>
    <n v="9.9032258064516121"/>
    <n v="15.853420195439741"/>
    <x v="1"/>
  </r>
  <r>
    <d v="2026-05-09T00:00:00"/>
    <x v="0"/>
    <x v="1"/>
    <x v="0"/>
    <s v="25K-35K"/>
    <n v="209"/>
    <n v="17"/>
    <n v="33"/>
    <n v="193"/>
    <n v="38"/>
    <n v="5"/>
    <s v="Correct"/>
    <n v="86.842105263157904"/>
    <n v="21.35483870967742"/>
    <n v="9.0377643504531715"/>
    <x v="0"/>
  </r>
  <r>
    <d v="2026-05-09T00:00:00"/>
    <x v="0"/>
    <x v="1"/>
    <x v="1"/>
    <s v="20K-25K"/>
    <n v="198"/>
    <n v="19"/>
    <n v="20"/>
    <n v="197"/>
    <n v="28"/>
    <n v="3"/>
    <s v="Correct"/>
    <n v="71.428571428571431"/>
    <n v="21.9"/>
    <n v="8.9954337899543386"/>
    <x v="0"/>
  </r>
  <r>
    <d v="2026-05-09T00:00:00"/>
    <x v="0"/>
    <x v="1"/>
    <x v="2"/>
    <s v="10K-15K"/>
    <n v="97"/>
    <n v="27"/>
    <n v="49"/>
    <n v="75"/>
    <n v="63"/>
    <n v="4"/>
    <s v="Correct"/>
    <n v="77.777777777777786"/>
    <n v="31.586206896551722"/>
    <n v="2.374454148471616"/>
    <x v="0"/>
  </r>
  <r>
    <d v="2026-05-09T00:00:00"/>
    <x v="0"/>
    <x v="1"/>
    <x v="3"/>
    <s v="Below 10K"/>
    <n v="142"/>
    <n v="9"/>
    <n v="38"/>
    <n v="113"/>
    <n v="48"/>
    <n v="1"/>
    <s v="Correct"/>
    <n v="79.166666666666657"/>
    <n v="34.200000000000003"/>
    <n v="3.3040935672514617"/>
    <x v="0"/>
  </r>
  <r>
    <d v="2026-05-09T00:00:00"/>
    <x v="0"/>
    <x v="1"/>
    <x v="4"/>
    <s v="35K+"/>
    <n v="267"/>
    <n v="49"/>
    <n v="10"/>
    <n v="306"/>
    <n v="20"/>
    <n v="2"/>
    <s v="Correct"/>
    <n v="50"/>
    <n v="10.96551724137931"/>
    <n v="27.905660377358494"/>
    <x v="1"/>
  </r>
  <r>
    <d v="2026-05-09T00:00:00"/>
    <x v="0"/>
    <x v="2"/>
    <x v="0"/>
    <s v="25K-35K"/>
    <n v="189"/>
    <n v="23"/>
    <n v="13"/>
    <n v="199"/>
    <n v="27"/>
    <n v="4"/>
    <s v="Correct"/>
    <n v="48.148148148148145"/>
    <n v="20.7"/>
    <n v="9.6135265700483092"/>
    <x v="0"/>
  </r>
  <r>
    <d v="2026-05-09T00:00:00"/>
    <x v="0"/>
    <x v="2"/>
    <x v="1"/>
    <s v="20K-25K"/>
    <n v="162"/>
    <n v="38"/>
    <n v="24"/>
    <n v="176"/>
    <n v="37"/>
    <n v="5"/>
    <s v="Correct"/>
    <n v="64.86486486486487"/>
    <n v="23.758620689655171"/>
    <n v="7.4078374455732954"/>
    <x v="0"/>
  </r>
  <r>
    <d v="2026-05-09T00:00:00"/>
    <x v="0"/>
    <x v="0"/>
    <x v="2"/>
    <s v="10K-15K"/>
    <n v="164"/>
    <n v="14"/>
    <n v="25"/>
    <n v="153"/>
    <n v="32"/>
    <n v="4"/>
    <s v="Correct"/>
    <n v="78.125"/>
    <n v="33.34375"/>
    <n v="4.5885660731021556"/>
    <x v="0"/>
  </r>
  <r>
    <d v="2026-05-09T00:00:00"/>
    <x v="0"/>
    <x v="2"/>
    <x v="3"/>
    <s v="Below 10K"/>
    <n v="145"/>
    <n v="57"/>
    <n v="23"/>
    <n v="179"/>
    <n v="27"/>
    <n v="5"/>
    <s v="Correct"/>
    <n v="85.18518518518519"/>
    <n v="31.137931034482758"/>
    <n v="5.7486157253599117"/>
    <x v="0"/>
  </r>
  <r>
    <d v="2026-05-09T00:00:00"/>
    <x v="0"/>
    <x v="2"/>
    <x v="4"/>
    <s v="35K+"/>
    <n v="292"/>
    <n v="31"/>
    <n v="11"/>
    <n v="312"/>
    <n v="19"/>
    <n v="2"/>
    <s v="Correct"/>
    <n v="57.894736842105267"/>
    <n v="11.3"/>
    <n v="27.610619469026545"/>
    <x v="1"/>
  </r>
  <r>
    <d v="2026-05-09T00:00:00"/>
    <x v="1"/>
    <x v="3"/>
    <x v="0"/>
    <s v="25K-35K"/>
    <n v="246"/>
    <n v="58"/>
    <n v="10"/>
    <n v="294"/>
    <n v="20"/>
    <n v="3"/>
    <s v="Correct"/>
    <n v="50"/>
    <n v="22.258064516129032"/>
    <n v="13.208695652173914"/>
    <x v="0"/>
  </r>
  <r>
    <d v="2026-05-09T00:00:00"/>
    <x v="1"/>
    <x v="3"/>
    <x v="1"/>
    <s v="20K-25K"/>
    <n v="157"/>
    <n v="10"/>
    <n v="29"/>
    <n v="138"/>
    <n v="32"/>
    <n v="5"/>
    <s v="Correct"/>
    <n v="90.625"/>
    <n v="20.172413793103448"/>
    <n v="6.8410256410256407"/>
    <x v="0"/>
  </r>
  <r>
    <d v="2026-05-09T00:00:00"/>
    <x v="1"/>
    <x v="3"/>
    <x v="2"/>
    <s v="10K-15K"/>
    <n v="184"/>
    <n v="11"/>
    <n v="26"/>
    <n v="169"/>
    <n v="35"/>
    <n v="1"/>
    <s v="Correct"/>
    <n v="74.285714285714292"/>
    <n v="29.733333333333334"/>
    <n v="5.6838565022421523"/>
    <x v="0"/>
  </r>
  <r>
    <d v="2026-05-09T00:00:00"/>
    <x v="1"/>
    <x v="3"/>
    <x v="3"/>
    <s v="Below 10K"/>
    <n v="237"/>
    <n v="28"/>
    <n v="41"/>
    <n v="224"/>
    <n v="56"/>
    <n v="5"/>
    <s v="Correct"/>
    <n v="73.214285714285708"/>
    <n v="30.724137931034484"/>
    <n v="7.290684624017957"/>
    <x v="0"/>
  </r>
  <r>
    <d v="2026-05-09T00:00:00"/>
    <x v="1"/>
    <x v="3"/>
    <x v="4"/>
    <s v="35K+"/>
    <n v="200"/>
    <n v="30"/>
    <n v="3"/>
    <n v="227"/>
    <n v="15"/>
    <n v="3"/>
    <s v="Correct"/>
    <n v="20"/>
    <n v="11.566666666666666"/>
    <n v="19.62536023054755"/>
    <x v="1"/>
  </r>
  <r>
    <d v="2026-05-09T00:00:00"/>
    <x v="2"/>
    <x v="4"/>
    <x v="0"/>
    <s v="25K-35K"/>
    <n v="229"/>
    <n v="34"/>
    <n v="15"/>
    <n v="248"/>
    <n v="17"/>
    <n v="5"/>
    <s v="Correct"/>
    <n v="88.235294117647058"/>
    <n v="22.25"/>
    <n v="11.146067415730338"/>
    <x v="0"/>
  </r>
  <r>
    <d v="2026-05-09T00:00:00"/>
    <x v="2"/>
    <x v="4"/>
    <x v="1"/>
    <s v="20K-25K"/>
    <n v="187"/>
    <n v="14"/>
    <n v="23"/>
    <n v="178"/>
    <n v="28"/>
    <n v="3"/>
    <s v="Correct"/>
    <n v="82.142857142857139"/>
    <n v="19.96551724137931"/>
    <n v="8.9153713298791022"/>
    <x v="0"/>
  </r>
  <r>
    <d v="2026-05-09T00:00:00"/>
    <x v="2"/>
    <x v="4"/>
    <x v="2"/>
    <s v="10K-15K"/>
    <n v="123"/>
    <n v="36"/>
    <n v="22"/>
    <n v="137"/>
    <n v="32"/>
    <n v="1"/>
    <s v="Correct"/>
    <n v="68.75"/>
    <n v="31.206896551724139"/>
    <n v="4.3900552486187845"/>
    <x v="0"/>
  </r>
  <r>
    <d v="2026-05-09T00:00:00"/>
    <x v="2"/>
    <x v="4"/>
    <x v="3"/>
    <s v="Below 10K"/>
    <n v="162"/>
    <n v="9"/>
    <n v="50"/>
    <n v="121"/>
    <n v="52"/>
    <n v="3"/>
    <s v="Correct"/>
    <n v="96.15384615384616"/>
    <n v="32.620689655172413"/>
    <n v="3.7093023255813953"/>
    <x v="0"/>
  </r>
  <r>
    <d v="2026-05-09T00:00:00"/>
    <x v="2"/>
    <x v="4"/>
    <x v="4"/>
    <s v="35K+"/>
    <n v="320"/>
    <n v="49"/>
    <n v="13"/>
    <n v="356"/>
    <n v="19"/>
    <n v="1"/>
    <s v="Correct"/>
    <n v="68.421052631578945"/>
    <n v="11.678571428571429"/>
    <n v="30.483180428134556"/>
    <x v="2"/>
  </r>
  <r>
    <d v="2026-05-09T00:00:00"/>
    <x v="3"/>
    <x v="5"/>
    <x v="0"/>
    <s v="25K-35K"/>
    <n v="213"/>
    <n v="8"/>
    <n v="22"/>
    <n v="199"/>
    <n v="33"/>
    <n v="2"/>
    <s v="Correct"/>
    <n v="66.666666666666657"/>
    <n v="20.84375"/>
    <n v="9.5472263868065959"/>
    <x v="0"/>
  </r>
  <r>
    <d v="2026-05-09T00:00:00"/>
    <x v="3"/>
    <x v="5"/>
    <x v="1"/>
    <s v="20K-25K"/>
    <n v="250"/>
    <n v="16"/>
    <n v="20"/>
    <n v="246"/>
    <n v="31"/>
    <n v="2"/>
    <s v="Correct"/>
    <n v="64.516129032258064"/>
    <n v="21.46875"/>
    <n v="11.458515283842795"/>
    <x v="0"/>
  </r>
  <r>
    <d v="2026-05-09T00:00:00"/>
    <x v="3"/>
    <x v="5"/>
    <x v="2"/>
    <s v="10K-15K"/>
    <n v="82"/>
    <n v="42"/>
    <n v="24"/>
    <n v="100"/>
    <n v="28"/>
    <n v="3"/>
    <s v="Correct"/>
    <n v="85.714285714285708"/>
    <n v="30.586206896551722"/>
    <n v="3.269447576099211"/>
    <x v="0"/>
  </r>
  <r>
    <d v="2026-05-09T00:00:00"/>
    <x v="3"/>
    <x v="5"/>
    <x v="3"/>
    <s v="Below 10K"/>
    <n v="158"/>
    <n v="40"/>
    <n v="30"/>
    <n v="168"/>
    <n v="35"/>
    <n v="5"/>
    <s v="Correct"/>
    <n v="85.714285714285708"/>
    <n v="32.299999999999997"/>
    <n v="5.2012383900928798"/>
    <x v="0"/>
  </r>
  <r>
    <d v="2026-05-09T00:00:00"/>
    <x v="3"/>
    <x v="5"/>
    <x v="4"/>
    <s v="35K+"/>
    <n v="327"/>
    <n v="60"/>
    <n v="30"/>
    <n v="357"/>
    <n v="11"/>
    <n v="1"/>
    <s v="Correct"/>
    <n v="272.72727272727269"/>
    <n v="10.413793103448276"/>
    <n v="34.281456953642383"/>
    <x v="2"/>
  </r>
  <r>
    <d v="2026-05-09T00:00:00"/>
    <x v="4"/>
    <x v="6"/>
    <x v="0"/>
    <s v="25K-35K"/>
    <n v="125"/>
    <n v="6"/>
    <n v="10"/>
    <n v="121"/>
    <n v="12"/>
    <n v="5"/>
    <s v="Correct"/>
    <n v="83.333333333333343"/>
    <n v="20.70967741935484"/>
    <n v="5.8426791277258561"/>
    <x v="0"/>
  </r>
  <r>
    <d v="2026-05-09T00:00:00"/>
    <x v="4"/>
    <x v="6"/>
    <x v="1"/>
    <s v="20K-25K"/>
    <n v="167"/>
    <n v="56"/>
    <n v="20"/>
    <n v="203"/>
    <n v="24"/>
    <n v="2"/>
    <s v="Correct"/>
    <n v="83.333333333333343"/>
    <n v="22.142857142857142"/>
    <n v="9.1677419354838712"/>
    <x v="0"/>
  </r>
  <r>
    <d v="2026-05-09T00:00:00"/>
    <x v="4"/>
    <x v="6"/>
    <x v="2"/>
    <s v="10K-15K"/>
    <n v="103"/>
    <n v="9"/>
    <n v="15"/>
    <n v="97"/>
    <n v="24"/>
    <n v="5"/>
    <s v="Correct"/>
    <n v="62.5"/>
    <n v="30.275862068965516"/>
    <n v="3.2038724373576311"/>
    <x v="0"/>
  </r>
  <r>
    <d v="2026-05-09T00:00:00"/>
    <x v="4"/>
    <x v="6"/>
    <x v="3"/>
    <s v="Below 10K"/>
    <n v="284"/>
    <n v="54"/>
    <n v="23"/>
    <n v="315"/>
    <n v="29"/>
    <n v="4"/>
    <s v="Correct"/>
    <n v="79.310344827586206"/>
    <n v="30.931034482758619"/>
    <n v="10.183946488294314"/>
    <x v="0"/>
  </r>
  <r>
    <d v="2026-05-09T00:00:00"/>
    <x v="4"/>
    <x v="6"/>
    <x v="4"/>
    <s v="35K+"/>
    <n v="279"/>
    <n v="7"/>
    <n v="16"/>
    <n v="270"/>
    <n v="28"/>
    <n v="5"/>
    <s v="Correct"/>
    <n v="57.142857142857139"/>
    <n v="10.25"/>
    <n v="26.341463414634145"/>
    <x v="1"/>
  </r>
  <r>
    <d v="2026-05-10T00:00:00"/>
    <x v="0"/>
    <x v="0"/>
    <x v="0"/>
    <s v="25K-35K"/>
    <n v="318"/>
    <n v="53"/>
    <n v="12"/>
    <n v="359"/>
    <n v="16"/>
    <n v="1"/>
    <s v="Correct"/>
    <n v="75"/>
    <n v="21.666666666666668"/>
    <n v="16.569230769230767"/>
    <x v="1"/>
  </r>
  <r>
    <d v="2026-05-10T00:00:00"/>
    <x v="0"/>
    <x v="0"/>
    <x v="1"/>
    <s v="20K-25K"/>
    <n v="262"/>
    <n v="45"/>
    <n v="22"/>
    <n v="285"/>
    <n v="33"/>
    <n v="1"/>
    <s v="Correct"/>
    <n v="66.666666666666657"/>
    <n v="20.030303030303031"/>
    <n v="14.228441754916792"/>
    <x v="0"/>
  </r>
  <r>
    <d v="2026-05-10T00:00:00"/>
    <x v="0"/>
    <x v="0"/>
    <x v="2"/>
    <s v="10K-15K"/>
    <n v="92"/>
    <n v="54"/>
    <n v="38"/>
    <n v="108"/>
    <n v="46"/>
    <n v="3"/>
    <s v="Correct"/>
    <n v="82.608695652173907"/>
    <n v="33.34375"/>
    <n v="3.2389878163074037"/>
    <x v="0"/>
  </r>
  <r>
    <d v="2026-05-10T00:00:00"/>
    <x v="0"/>
    <x v="0"/>
    <x v="3"/>
    <s v="Below 10K"/>
    <n v="96"/>
    <n v="50"/>
    <n v="25"/>
    <n v="121"/>
    <n v="25"/>
    <n v="2"/>
    <s v="Correct"/>
    <n v="100"/>
    <n v="34.515151515151516"/>
    <n v="3.5057067603160665"/>
    <x v="0"/>
  </r>
  <r>
    <d v="2026-05-10T00:00:00"/>
    <x v="0"/>
    <x v="0"/>
    <x v="4"/>
    <s v="35K+"/>
    <n v="157"/>
    <n v="49"/>
    <n v="13"/>
    <n v="193"/>
    <n v="20"/>
    <n v="3"/>
    <s v="Correct"/>
    <n v="65"/>
    <n v="9.9032258064516121"/>
    <n v="19.488599348534205"/>
    <x v="1"/>
  </r>
  <r>
    <d v="2026-05-10T00:00:00"/>
    <x v="0"/>
    <x v="1"/>
    <x v="0"/>
    <s v="25K-35K"/>
    <n v="193"/>
    <n v="18"/>
    <n v="33"/>
    <n v="178"/>
    <n v="39"/>
    <n v="5"/>
    <s v="Correct"/>
    <n v="84.615384615384613"/>
    <n v="21.35483870967742"/>
    <n v="8.3353474320241698"/>
    <x v="0"/>
  </r>
  <r>
    <d v="2026-05-10T00:00:00"/>
    <x v="0"/>
    <x v="1"/>
    <x v="1"/>
    <s v="20K-25K"/>
    <n v="197"/>
    <n v="6"/>
    <n v="12"/>
    <n v="191"/>
    <n v="22"/>
    <n v="5"/>
    <s v="Correct"/>
    <n v="54.54545454545454"/>
    <n v="21.9"/>
    <n v="8.7214611872146133"/>
    <x v="0"/>
  </r>
  <r>
    <d v="2026-05-10T00:00:00"/>
    <x v="0"/>
    <x v="1"/>
    <x v="2"/>
    <s v="10K-15K"/>
    <n v="75"/>
    <n v="40"/>
    <n v="41"/>
    <n v="74"/>
    <n v="55"/>
    <n v="5"/>
    <s v="Correct"/>
    <n v="74.545454545454547"/>
    <n v="31.586206896551722"/>
    <n v="2.3427947598253276"/>
    <x v="0"/>
  </r>
  <r>
    <d v="2026-05-10T00:00:00"/>
    <x v="0"/>
    <x v="1"/>
    <x v="3"/>
    <s v="Below 10K"/>
    <n v="113"/>
    <n v="7"/>
    <n v="28"/>
    <n v="92"/>
    <n v="34"/>
    <n v="2"/>
    <s v="Correct"/>
    <n v="82.35294117647058"/>
    <n v="34.200000000000003"/>
    <n v="2.6900584795321634"/>
    <x v="0"/>
  </r>
  <r>
    <d v="2026-05-10T00:00:00"/>
    <x v="0"/>
    <x v="1"/>
    <x v="4"/>
    <s v="35K+"/>
    <n v="306"/>
    <n v="39"/>
    <n v="17"/>
    <n v="328"/>
    <n v="18"/>
    <n v="5"/>
    <s v="Correct"/>
    <n v="94.444444444444443"/>
    <n v="10.96551724137931"/>
    <n v="29.911949685534594"/>
    <x v="1"/>
  </r>
  <r>
    <d v="2026-05-10T00:00:00"/>
    <x v="0"/>
    <x v="2"/>
    <x v="0"/>
    <s v="25K-35K"/>
    <n v="199"/>
    <n v="3"/>
    <n v="22"/>
    <n v="180"/>
    <n v="35"/>
    <n v="1"/>
    <s v="Correct"/>
    <n v="62.857142857142854"/>
    <n v="20.7"/>
    <n v="8.695652173913043"/>
    <x v="0"/>
  </r>
  <r>
    <d v="2026-05-10T00:00:00"/>
    <x v="0"/>
    <x v="2"/>
    <x v="1"/>
    <s v="20K-25K"/>
    <n v="176"/>
    <n v="36"/>
    <n v="13"/>
    <n v="199"/>
    <n v="26"/>
    <n v="5"/>
    <s v="Correct"/>
    <n v="50"/>
    <n v="23.758620689655171"/>
    <n v="8.3759071117561685"/>
    <x v="0"/>
  </r>
  <r>
    <d v="2026-05-10T00:00:00"/>
    <x v="0"/>
    <x v="2"/>
    <x v="2"/>
    <s v="10K-15K"/>
    <n v="153"/>
    <n v="53"/>
    <n v="26"/>
    <n v="180"/>
    <n v="41"/>
    <n v="5"/>
    <s v="Correct"/>
    <n v="63.414634146341463"/>
    <n v="31.142857142857142"/>
    <n v="5.7798165137614683"/>
    <x v="0"/>
  </r>
  <r>
    <d v="2026-05-10T00:00:00"/>
    <x v="0"/>
    <x v="2"/>
    <x v="3"/>
    <s v="Below 10K"/>
    <n v="179"/>
    <n v="42"/>
    <n v="38"/>
    <n v="183"/>
    <n v="53"/>
    <n v="4"/>
    <s v="Correct"/>
    <n v="71.698113207547166"/>
    <n v="31.137931034482758"/>
    <n v="5.8770764119601333"/>
    <x v="0"/>
  </r>
  <r>
    <d v="2026-05-10T00:00:00"/>
    <x v="0"/>
    <x v="2"/>
    <x v="4"/>
    <s v="35K+"/>
    <n v="312"/>
    <n v="18"/>
    <n v="14"/>
    <n v="316"/>
    <n v="17"/>
    <n v="4"/>
    <s v="Correct"/>
    <n v="82.35294117647058"/>
    <n v="11.3"/>
    <n v="27.964601769911503"/>
    <x v="1"/>
  </r>
  <r>
    <d v="2026-05-10T00:00:00"/>
    <x v="1"/>
    <x v="3"/>
    <x v="0"/>
    <s v="25K-35K"/>
    <n v="294"/>
    <n v="27"/>
    <n v="10"/>
    <n v="311"/>
    <n v="10"/>
    <n v="2"/>
    <s v="Correct"/>
    <n v="100"/>
    <n v="22.258064516129032"/>
    <n v="13.972463768115942"/>
    <x v="0"/>
  </r>
  <r>
    <d v="2026-05-10T00:00:00"/>
    <x v="1"/>
    <x v="3"/>
    <x v="1"/>
    <s v="20K-25K"/>
    <n v="138"/>
    <n v="54"/>
    <n v="21"/>
    <n v="171"/>
    <n v="24"/>
    <n v="4"/>
    <s v="Correct"/>
    <n v="87.5"/>
    <n v="20.172413793103448"/>
    <n v="8.476923076923077"/>
    <x v="0"/>
  </r>
  <r>
    <d v="2026-05-14T00:00:00"/>
    <x v="1"/>
    <x v="3"/>
    <x v="2"/>
    <s v="10K-15K"/>
    <n v="169"/>
    <n v="36"/>
    <n v="20"/>
    <n v="185"/>
    <n v="26"/>
    <n v="3"/>
    <s v="Correct"/>
    <n v="76.923076923076934"/>
    <n v="29.733333333333334"/>
    <n v="6.2219730941704032"/>
    <x v="0"/>
  </r>
  <r>
    <d v="2026-05-10T00:00:00"/>
    <x v="1"/>
    <x v="3"/>
    <x v="3"/>
    <s v="Below 10K"/>
    <n v="224"/>
    <n v="60"/>
    <n v="25"/>
    <n v="259"/>
    <n v="26"/>
    <n v="2"/>
    <s v="Correct"/>
    <n v="96.15384615384616"/>
    <n v="30.724137931034484"/>
    <n v="8.4298540965207636"/>
    <x v="0"/>
  </r>
  <r>
    <d v="2026-05-10T00:00:00"/>
    <x v="1"/>
    <x v="3"/>
    <x v="4"/>
    <s v="35K+"/>
    <n v="227"/>
    <n v="58"/>
    <n v="12"/>
    <n v="273"/>
    <n v="19"/>
    <n v="5"/>
    <s v="Correct"/>
    <n v="63.157894736842103"/>
    <n v="11.566666666666666"/>
    <n v="23.602305475504323"/>
    <x v="1"/>
  </r>
  <r>
    <d v="2026-05-10T00:00:00"/>
    <x v="2"/>
    <x v="4"/>
    <x v="0"/>
    <s v="25K-35K"/>
    <n v="248"/>
    <n v="18"/>
    <n v="13"/>
    <n v="253"/>
    <n v="18"/>
    <n v="5"/>
    <s v="Correct"/>
    <n v="72.222222222222214"/>
    <n v="22.25"/>
    <n v="11.370786516853933"/>
    <x v="0"/>
  </r>
  <r>
    <d v="2026-05-10T00:00:00"/>
    <x v="2"/>
    <x v="4"/>
    <x v="1"/>
    <s v="20K-25K"/>
    <n v="178"/>
    <n v="20"/>
    <n v="16"/>
    <n v="182"/>
    <n v="17"/>
    <n v="2"/>
    <s v="Correct"/>
    <n v="94.117647058823522"/>
    <n v="19.96551724137931"/>
    <n v="9.1157167530224523"/>
    <x v="0"/>
  </r>
  <r>
    <d v="2026-05-10T00:00:00"/>
    <x v="2"/>
    <x v="4"/>
    <x v="2"/>
    <s v="10K-15K"/>
    <n v="137"/>
    <n v="0"/>
    <n v="22"/>
    <n v="115"/>
    <n v="32"/>
    <n v="1"/>
    <s v="Correct"/>
    <n v="68.75"/>
    <n v="31.206896551724139"/>
    <n v="3.6850828729281768"/>
    <x v="0"/>
  </r>
  <r>
    <d v="2026-05-10T00:00:00"/>
    <x v="2"/>
    <x v="4"/>
    <x v="3"/>
    <s v="Below 10K"/>
    <n v="121"/>
    <n v="29"/>
    <n v="18"/>
    <n v="132"/>
    <n v="29"/>
    <n v="2"/>
    <s v="Correct"/>
    <n v="62.068965517241381"/>
    <n v="32.620689655172413"/>
    <n v="4.0465116279069768"/>
    <x v="0"/>
  </r>
  <r>
    <d v="2026-05-10T00:00:00"/>
    <x v="2"/>
    <x v="4"/>
    <x v="4"/>
    <s v="35K+"/>
    <n v="356"/>
    <n v="52"/>
    <n v="3"/>
    <n v="405"/>
    <n v="3"/>
    <n v="3"/>
    <s v="Correct"/>
    <n v="100"/>
    <n v="11.678571428571429"/>
    <n v="34.678899082568805"/>
    <x v="2"/>
  </r>
  <r>
    <d v="2026-05-10T00:00:00"/>
    <x v="3"/>
    <x v="5"/>
    <x v="0"/>
    <s v="25K-35K"/>
    <n v="199"/>
    <n v="32"/>
    <n v="22"/>
    <n v="209"/>
    <n v="0"/>
    <n v="5"/>
    <s v="Correct"/>
    <n v="0"/>
    <n v="20.84375"/>
    <n v="10.026986506746626"/>
    <x v="0"/>
  </r>
  <r>
    <d v="2026-05-10T00:00:00"/>
    <x v="3"/>
    <x v="5"/>
    <x v="1"/>
    <s v="20K-25K"/>
    <n v="246"/>
    <n v="45"/>
    <n v="15"/>
    <n v="276"/>
    <n v="18"/>
    <n v="3"/>
    <s v="Correct"/>
    <n v="83.333333333333343"/>
    <n v="21.46875"/>
    <n v="12.85589519650655"/>
    <x v="0"/>
  </r>
  <r>
    <d v="2026-05-10T00:00:00"/>
    <x v="3"/>
    <x v="5"/>
    <x v="0"/>
    <s v="10K-15K"/>
    <n v="100"/>
    <n v="12"/>
    <n v="28"/>
    <n v="84"/>
    <n v="39"/>
    <n v="1"/>
    <s v="Correct"/>
    <n v="71.794871794871796"/>
    <n v="20.84375"/>
    <n v="4.0299850074962515"/>
    <x v="0"/>
  </r>
  <r>
    <d v="2026-05-10T00:00:00"/>
    <x v="0"/>
    <x v="0"/>
    <x v="3"/>
    <s v="Below 10K"/>
    <n v="168"/>
    <n v="16"/>
    <n v="38"/>
    <n v="146"/>
    <n v="39"/>
    <n v="3"/>
    <s v="Correct"/>
    <n v="97.435897435897431"/>
    <n v="34.515151515151516"/>
    <n v="4.230026338893766"/>
    <x v="0"/>
  </r>
  <r>
    <d v="2026-05-10T00:00:00"/>
    <x v="3"/>
    <x v="5"/>
    <x v="4"/>
    <s v="35K+"/>
    <n v="376"/>
    <n v="60"/>
    <n v="10"/>
    <n v="426"/>
    <n v="22"/>
    <n v="4"/>
    <s v="Correct"/>
    <n v="45.454545454545453"/>
    <n v="10.413793103448276"/>
    <n v="40.907284768211923"/>
    <x v="2"/>
  </r>
  <r>
    <d v="2026-05-10T00:00:00"/>
    <x v="4"/>
    <x v="6"/>
    <x v="0"/>
    <s v="25K-35K"/>
    <n v="121"/>
    <n v="52"/>
    <n v="27"/>
    <n v="146"/>
    <n v="32"/>
    <n v="1"/>
    <s v="Correct"/>
    <n v="84.375"/>
    <n v="20.70967741935484"/>
    <n v="7.0498442367601246"/>
    <x v="0"/>
  </r>
  <r>
    <d v="2026-05-10T00:00:00"/>
    <x v="4"/>
    <x v="6"/>
    <x v="1"/>
    <s v="20K-25K"/>
    <n v="203"/>
    <n v="31"/>
    <n v="18"/>
    <n v="216"/>
    <n v="27"/>
    <n v="4"/>
    <s v="Correct"/>
    <n v="66.666666666666657"/>
    <n v="22.142857142857142"/>
    <n v="9.7548387096774203"/>
    <x v="0"/>
  </r>
  <r>
    <d v="2026-05-10T00:00:00"/>
    <x v="4"/>
    <x v="6"/>
    <x v="2"/>
    <s v="10K-15K"/>
    <n v="97"/>
    <n v="60"/>
    <n v="21"/>
    <n v="136"/>
    <n v="32"/>
    <n v="2"/>
    <s v="Correct"/>
    <n v="65.625"/>
    <n v="30.275862068965516"/>
    <n v="4.4920273348519366"/>
    <x v="0"/>
  </r>
  <r>
    <d v="2026-05-10T00:00:00"/>
    <x v="4"/>
    <x v="6"/>
    <x v="3"/>
    <s v="Below 10K"/>
    <n v="315"/>
    <n v="22"/>
    <n v="20"/>
    <n v="317"/>
    <n v="20"/>
    <n v="2"/>
    <s v="Correct"/>
    <n v="100"/>
    <n v="30.931034482758619"/>
    <n v="10.248606465997771"/>
    <x v="0"/>
  </r>
  <r>
    <d v="2026-05-10T00:00:00"/>
    <x v="4"/>
    <x v="6"/>
    <x v="4"/>
    <s v="35K+"/>
    <n v="270"/>
    <n v="48"/>
    <n v="18"/>
    <n v="300"/>
    <n v="18"/>
    <n v="2"/>
    <s v="Correct"/>
    <n v="100"/>
    <n v="10.25"/>
    <n v="29.26829268292683"/>
    <x v="1"/>
  </r>
  <r>
    <d v="2026-05-11T00:00:00"/>
    <x v="0"/>
    <x v="0"/>
    <x v="0"/>
    <s v="25K-35K"/>
    <n v="359"/>
    <n v="23"/>
    <n v="18"/>
    <n v="364"/>
    <n v="33"/>
    <n v="3"/>
    <s v="Correct"/>
    <n v="54.54545454545454"/>
    <n v="21.666666666666668"/>
    <n v="16.8"/>
    <x v="1"/>
  </r>
  <r>
    <d v="2026-05-11T00:00:00"/>
    <x v="0"/>
    <x v="0"/>
    <x v="1"/>
    <s v="20K-25K"/>
    <n v="285"/>
    <n v="33"/>
    <n v="21"/>
    <n v="297"/>
    <n v="36"/>
    <n v="2"/>
    <s v="Correct"/>
    <n v="58.333333333333336"/>
    <n v="20.030303030303031"/>
    <n v="14.827534039334342"/>
    <x v="0"/>
  </r>
  <r>
    <d v="2026-05-11T00:00:00"/>
    <x v="0"/>
    <x v="0"/>
    <x v="2"/>
    <s v="10K-15K"/>
    <n v="108"/>
    <n v="49"/>
    <n v="34"/>
    <n v="123"/>
    <n v="41"/>
    <n v="5"/>
    <s v="Correct"/>
    <n v="82.926829268292678"/>
    <n v="33.34375"/>
    <n v="3.6888472352389878"/>
    <x v="0"/>
  </r>
  <r>
    <d v="2026-05-11T00:00:00"/>
    <x v="0"/>
    <x v="0"/>
    <x v="3"/>
    <s v="Below 10K"/>
    <n v="121"/>
    <n v="57"/>
    <n v="48"/>
    <n v="130"/>
    <n v="49"/>
    <n v="2"/>
    <s v="Correct"/>
    <n v="97.959183673469383"/>
    <n v="34.515151515151516"/>
    <n v="3.7664618086040385"/>
    <x v="0"/>
  </r>
  <r>
    <d v="2026-05-11T00:00:00"/>
    <x v="0"/>
    <x v="0"/>
    <x v="4"/>
    <s v="35K+"/>
    <n v="193"/>
    <n v="17"/>
    <n v="8"/>
    <n v="202"/>
    <n v="11"/>
    <n v="5"/>
    <s v="Correct"/>
    <n v="72.727272727272734"/>
    <n v="9.9032258064516121"/>
    <n v="20.397394136807819"/>
    <x v="1"/>
  </r>
  <r>
    <d v="2026-05-11T00:00:00"/>
    <x v="0"/>
    <x v="1"/>
    <x v="0"/>
    <s v="25K-35K"/>
    <n v="178"/>
    <n v="33"/>
    <n v="26"/>
    <n v="185"/>
    <n v="0"/>
    <n v="4"/>
    <s v="Correct"/>
    <n v="0"/>
    <n v="21.35483870967742"/>
    <n v="8.6631419939577032"/>
    <x v="0"/>
  </r>
  <r>
    <d v="2026-05-11T00:00:00"/>
    <x v="0"/>
    <x v="1"/>
    <x v="1"/>
    <s v="20K-25K"/>
    <n v="191"/>
    <n v="14"/>
    <n v="27"/>
    <n v="178"/>
    <n v="38"/>
    <n v="4"/>
    <s v="Correct"/>
    <n v="71.05263157894737"/>
    <n v="21.9"/>
    <n v="8.1278538812785399"/>
    <x v="0"/>
  </r>
  <r>
    <d v="2026-05-11T00:00:00"/>
    <x v="0"/>
    <x v="1"/>
    <x v="2"/>
    <s v="10K-15K"/>
    <n v="74"/>
    <n v="52"/>
    <n v="49"/>
    <n v="77"/>
    <n v="56"/>
    <n v="4"/>
    <s v="Correct"/>
    <n v="87.5"/>
    <n v="31.586206896551722"/>
    <n v="2.4377729257641922"/>
    <x v="0"/>
  </r>
  <r>
    <d v="2026-05-11T00:00:00"/>
    <x v="0"/>
    <x v="1"/>
    <x v="3"/>
    <s v="Below 10K"/>
    <n v="92"/>
    <n v="26"/>
    <n v="44"/>
    <n v="74"/>
    <n v="49"/>
    <n v="2"/>
    <s v="Correct"/>
    <n v="89.795918367346943"/>
    <n v="34.200000000000003"/>
    <n v="2.1637426900584793"/>
    <x v="0"/>
  </r>
  <r>
    <d v="2026-05-11T00:00:00"/>
    <x v="0"/>
    <x v="1"/>
    <x v="4"/>
    <s v="35K+"/>
    <n v="328"/>
    <n v="38"/>
    <n v="5"/>
    <n v="361"/>
    <n v="12"/>
    <n v="2"/>
    <s v="Correct"/>
    <n v="41.666666666666671"/>
    <n v="10.96551724137931"/>
    <n v="32.921383647798741"/>
    <x v="2"/>
  </r>
  <r>
    <d v="2026-05-11T00:00:00"/>
    <x v="0"/>
    <x v="2"/>
    <x v="0"/>
    <s v="25K-35K"/>
    <n v="180"/>
    <n v="54"/>
    <n v="23"/>
    <n v="211"/>
    <n v="29"/>
    <n v="5"/>
    <s v="Correct"/>
    <n v="79.310344827586206"/>
    <n v="20.7"/>
    <n v="10.193236714975846"/>
    <x v="0"/>
  </r>
  <r>
    <d v="2026-05-11T00:00:00"/>
    <x v="0"/>
    <x v="2"/>
    <x v="1"/>
    <s v="20K-25K"/>
    <n v="199"/>
    <n v="54"/>
    <n v="28"/>
    <n v="225"/>
    <n v="42"/>
    <n v="3"/>
    <s v="Correct"/>
    <n v="66.666666666666657"/>
    <n v="23.758620689655171"/>
    <n v="9.4702467343976782"/>
    <x v="0"/>
  </r>
  <r>
    <d v="2026-05-11T00:00:00"/>
    <x v="0"/>
    <x v="2"/>
    <x v="2"/>
    <s v="10K-15K"/>
    <n v="180"/>
    <n v="3"/>
    <n v="42"/>
    <n v="141"/>
    <n v="51"/>
    <n v="2"/>
    <s v="Correct"/>
    <n v="82.35294117647058"/>
    <n v="31.142857142857142"/>
    <n v="4.5275229357798166"/>
    <x v="0"/>
  </r>
  <r>
    <d v="2026-05-11T00:00:00"/>
    <x v="0"/>
    <x v="2"/>
    <x v="3"/>
    <s v="Below 10K"/>
    <n v="183"/>
    <n v="13"/>
    <n v="15"/>
    <n v="181"/>
    <n v="19"/>
    <n v="1"/>
    <s v="Correct"/>
    <n v="78.94736842105263"/>
    <n v="31.137931034482758"/>
    <n v="5.8128460686600221"/>
    <x v="0"/>
  </r>
  <r>
    <d v="2026-05-11T00:00:00"/>
    <x v="0"/>
    <x v="2"/>
    <x v="4"/>
    <s v="35K+"/>
    <n v="316"/>
    <n v="25"/>
    <n v="11"/>
    <n v="330"/>
    <n v="26"/>
    <n v="5"/>
    <s v="Correct"/>
    <n v="42.307692307692307"/>
    <n v="11.3"/>
    <n v="29.203539823008846"/>
    <x v="1"/>
  </r>
  <r>
    <d v="2026-05-11T00:00:00"/>
    <x v="1"/>
    <x v="3"/>
    <x v="0"/>
    <s v="25K-35K"/>
    <n v="311"/>
    <n v="27"/>
    <n v="9"/>
    <n v="329"/>
    <n v="22"/>
    <n v="3"/>
    <s v="Correct"/>
    <n v="40.909090909090914"/>
    <n v="22.258064516129032"/>
    <n v="14.781159420289855"/>
    <x v="0"/>
  </r>
  <r>
    <d v="2026-05-11T00:00:00"/>
    <x v="1"/>
    <x v="3"/>
    <x v="1"/>
    <s v="20K-25K"/>
    <n v="171"/>
    <n v="34"/>
    <n v="18"/>
    <n v="187"/>
    <n v="32"/>
    <n v="2"/>
    <s v="Correct"/>
    <n v="56.25"/>
    <n v="20.172413793103448"/>
    <n v="9.2700854700854709"/>
    <x v="0"/>
  </r>
  <r>
    <d v="2026-05-11T00:00:00"/>
    <x v="1"/>
    <x v="3"/>
    <x v="2"/>
    <s v="10K-15K"/>
    <n v="185"/>
    <n v="58"/>
    <n v="23"/>
    <n v="220"/>
    <n v="26"/>
    <n v="4"/>
    <s v="Correct"/>
    <n v="88.461538461538453"/>
    <n v="29.733333333333334"/>
    <n v="7.3991031390134525"/>
    <x v="0"/>
  </r>
  <r>
    <d v="2026-05-11T00:00:00"/>
    <x v="1"/>
    <x v="3"/>
    <x v="3"/>
    <s v="Below 10K"/>
    <n v="259"/>
    <n v="30"/>
    <n v="21"/>
    <n v="268"/>
    <n v="30"/>
    <n v="3"/>
    <s v="Correct"/>
    <n v="70"/>
    <n v="30.724137931034484"/>
    <n v="8.7227833894500559"/>
    <x v="0"/>
  </r>
  <r>
    <d v="2026-05-11T00:00:00"/>
    <x v="1"/>
    <x v="3"/>
    <x v="4"/>
    <s v="35K+"/>
    <n v="273"/>
    <n v="35"/>
    <n v="13"/>
    <n v="295"/>
    <n v="27"/>
    <n v="3"/>
    <s v="Correct"/>
    <n v="48.148148148148145"/>
    <n v="11.566666666666666"/>
    <n v="25.504322766570606"/>
    <x v="1"/>
  </r>
  <r>
    <d v="2026-05-11T00:00:00"/>
    <x v="2"/>
    <x v="4"/>
    <x v="0"/>
    <s v="25K-35K"/>
    <n v="253"/>
    <n v="24"/>
    <n v="26"/>
    <n v="251"/>
    <n v="34"/>
    <n v="5"/>
    <s v="Correct"/>
    <n v="76.470588235294116"/>
    <n v="22.25"/>
    <n v="11.280898876404494"/>
    <x v="0"/>
  </r>
  <r>
    <d v="2026-05-11T00:00:00"/>
    <x v="2"/>
    <x v="4"/>
    <x v="1"/>
    <s v="20K-25K"/>
    <n v="182"/>
    <n v="4"/>
    <n v="20"/>
    <n v="166"/>
    <n v="25"/>
    <n v="4"/>
    <s v="Correct"/>
    <n v="80"/>
    <n v="19.96551724137931"/>
    <n v="8.31433506044905"/>
    <x v="0"/>
  </r>
  <r>
    <d v="2026-05-11T00:00:00"/>
    <x v="2"/>
    <x v="4"/>
    <x v="2"/>
    <s v="10K-15K"/>
    <n v="115"/>
    <n v="51"/>
    <n v="30"/>
    <n v="136"/>
    <n v="0"/>
    <n v="1"/>
    <s v="Correct"/>
    <n v="0"/>
    <n v="31.206896551724139"/>
    <n v="4.358011049723757"/>
    <x v="0"/>
  </r>
  <r>
    <d v="2026-05-11T00:00:00"/>
    <x v="2"/>
    <x v="4"/>
    <x v="3"/>
    <s v="Below 10K"/>
    <n v="132"/>
    <n v="5"/>
    <n v="25"/>
    <n v="112"/>
    <n v="25"/>
    <n v="2"/>
    <s v="Correct"/>
    <n v="100"/>
    <n v="32.620689655172413"/>
    <n v="3.433403805496829"/>
    <x v="0"/>
  </r>
  <r>
    <d v="2026-05-11T00:00:00"/>
    <x v="2"/>
    <x v="4"/>
    <x v="4"/>
    <s v="35K+"/>
    <n v="405"/>
    <n v="36"/>
    <n v="5"/>
    <n v="436"/>
    <n v="16"/>
    <n v="5"/>
    <s v="Correct"/>
    <n v="31.25"/>
    <n v="11.678571428571429"/>
    <n v="37.333333333333336"/>
    <x v="2"/>
  </r>
  <r>
    <d v="2026-05-11T00:00:00"/>
    <x v="3"/>
    <x v="5"/>
    <x v="0"/>
    <s v="25K-35K"/>
    <n v="209"/>
    <n v="60"/>
    <n v="12"/>
    <n v="257"/>
    <n v="24"/>
    <n v="1"/>
    <s v="Correct"/>
    <n v="50"/>
    <n v="20.84375"/>
    <n v="12.329835082458771"/>
    <x v="0"/>
  </r>
  <r>
    <d v="2026-05-11T00:00:00"/>
    <x v="3"/>
    <x v="5"/>
    <x v="1"/>
    <s v="20K-25K"/>
    <n v="276"/>
    <n v="42"/>
    <n v="29"/>
    <n v="289"/>
    <n v="39"/>
    <n v="1"/>
    <s v="Correct"/>
    <n v="74.358974358974365"/>
    <n v="21.46875"/>
    <n v="13.461426491994178"/>
    <x v="0"/>
  </r>
  <r>
    <d v="2026-05-11T00:00:00"/>
    <x v="3"/>
    <x v="5"/>
    <x v="2"/>
    <s v="10K-15K"/>
    <n v="84"/>
    <n v="46"/>
    <n v="39"/>
    <n v="91"/>
    <n v="48"/>
    <n v="1"/>
    <s v="Correct"/>
    <n v="81.25"/>
    <n v="30.586206896551722"/>
    <n v="2.975197294250282"/>
    <x v="0"/>
  </r>
  <r>
    <d v="2026-05-11T00:00:00"/>
    <x v="3"/>
    <x v="5"/>
    <x v="3"/>
    <s v="Below 10K"/>
    <n v="146"/>
    <n v="17"/>
    <n v="34"/>
    <n v="129"/>
    <n v="34"/>
    <n v="3"/>
    <s v="Correct"/>
    <n v="100"/>
    <n v="32.299999999999997"/>
    <n v="3.9938080495356041"/>
    <x v="0"/>
  </r>
  <r>
    <d v="2026-05-11T00:00:00"/>
    <x v="3"/>
    <x v="5"/>
    <x v="4"/>
    <s v="35K+"/>
    <n v="426"/>
    <n v="40"/>
    <n v="13"/>
    <n v="453"/>
    <n v="20"/>
    <n v="1"/>
    <s v="Correct"/>
    <n v="65"/>
    <n v="10.413793103448276"/>
    <n v="43.5"/>
    <x v="2"/>
  </r>
  <r>
    <d v="2026-05-11T00:00:00"/>
    <x v="4"/>
    <x v="6"/>
    <x v="0"/>
    <s v="25K-35K"/>
    <n v="146"/>
    <n v="33"/>
    <n v="18"/>
    <n v="161"/>
    <n v="33"/>
    <n v="1"/>
    <s v="Correct"/>
    <n v="54.54545454545454"/>
    <n v="20.70967741935484"/>
    <n v="7.7741433021806845"/>
    <x v="0"/>
  </r>
  <r>
    <d v="2026-05-11T00:00:00"/>
    <x v="4"/>
    <x v="6"/>
    <x v="1"/>
    <s v="20K-25K"/>
    <n v="216"/>
    <n v="34"/>
    <n v="11"/>
    <n v="239"/>
    <n v="12"/>
    <n v="5"/>
    <s v="Correct"/>
    <n v="91.666666666666657"/>
    <n v="22.142857142857142"/>
    <n v="10.793548387096774"/>
    <x v="0"/>
  </r>
  <r>
    <d v="2026-05-11T00:00:00"/>
    <x v="4"/>
    <x v="6"/>
    <x v="2"/>
    <s v="10K-15K"/>
    <n v="136"/>
    <n v="59"/>
    <n v="22"/>
    <n v="173"/>
    <n v="27"/>
    <n v="4"/>
    <s v="Correct"/>
    <n v="81.481481481481481"/>
    <n v="30.275862068965516"/>
    <n v="5.714123006833713"/>
    <x v="0"/>
  </r>
  <r>
    <d v="2026-05-11T00:00:00"/>
    <x v="4"/>
    <x v="6"/>
    <x v="3"/>
    <s v="Below 10K"/>
    <n v="317"/>
    <n v="46"/>
    <n v="24"/>
    <n v="339"/>
    <n v="30"/>
    <n v="4"/>
    <s v="Correct"/>
    <n v="80"/>
    <n v="30.931034482758619"/>
    <n v="10.959866220735787"/>
    <x v="0"/>
  </r>
  <r>
    <d v="2026-05-11T00:00:00"/>
    <x v="4"/>
    <x v="6"/>
    <x v="4"/>
    <s v="35K+"/>
    <n v="300"/>
    <n v="7"/>
    <n v="6"/>
    <n v="301"/>
    <n v="13"/>
    <n v="3"/>
    <s v="Correct"/>
    <n v="46.153846153846153"/>
    <n v="10.25"/>
    <n v="29.365853658536587"/>
    <x v="1"/>
  </r>
  <r>
    <d v="2026-05-12T00:00:00"/>
    <x v="0"/>
    <x v="0"/>
    <x v="0"/>
    <s v="25K-35K"/>
    <n v="364"/>
    <n v="31"/>
    <n v="21"/>
    <n v="374"/>
    <n v="35"/>
    <n v="1"/>
    <s v="Correct"/>
    <n v="60"/>
    <n v="21.666666666666668"/>
    <n v="17.261538461538461"/>
    <x v="1"/>
  </r>
  <r>
    <d v="2026-05-12T00:00:00"/>
    <x v="0"/>
    <x v="0"/>
    <x v="1"/>
    <s v="20K-25K"/>
    <n v="297"/>
    <n v="1"/>
    <n v="14"/>
    <n v="284"/>
    <n v="27"/>
    <n v="2"/>
    <s v="Correct"/>
    <n v="51.851851851851848"/>
    <n v="20.030303030303031"/>
    <n v="14.178517397881997"/>
    <x v="0"/>
  </r>
  <r>
    <d v="2026-05-12T00:00:00"/>
    <x v="0"/>
    <x v="0"/>
    <x v="2"/>
    <s v="10K-15K"/>
    <n v="123"/>
    <n v="20"/>
    <n v="23"/>
    <n v="120"/>
    <n v="23"/>
    <n v="5"/>
    <s v="Correct"/>
    <n v="100"/>
    <n v="33.34375"/>
    <n v="3.598875351452671"/>
    <x v="0"/>
  </r>
  <r>
    <d v="2026-05-12T00:00:00"/>
    <x v="0"/>
    <x v="0"/>
    <x v="3"/>
    <s v="Below 10K"/>
    <n v="130"/>
    <n v="34"/>
    <n v="48"/>
    <n v="116"/>
    <n v="59"/>
    <n v="2"/>
    <s v="Correct"/>
    <n v="81.355932203389841"/>
    <n v="34.515151515151516"/>
    <n v="3.3608428446005267"/>
    <x v="0"/>
  </r>
  <r>
    <d v="2026-05-12T00:00:00"/>
    <x v="0"/>
    <x v="0"/>
    <x v="4"/>
    <s v="35K+"/>
    <n v="202"/>
    <n v="41"/>
    <n v="11"/>
    <n v="232"/>
    <n v="19"/>
    <n v="4"/>
    <s v="Correct"/>
    <n v="57.894736842105267"/>
    <n v="9.9032258064516121"/>
    <n v="23.426710097719873"/>
    <x v="1"/>
  </r>
  <r>
    <d v="2026-05-12T00:00:00"/>
    <x v="0"/>
    <x v="1"/>
    <x v="0"/>
    <s v="25K-35K"/>
    <n v="185"/>
    <n v="4"/>
    <n v="17"/>
    <n v="172"/>
    <n v="30"/>
    <n v="2"/>
    <s v="Correct"/>
    <n v="56.666666666666664"/>
    <n v="21.35483870967742"/>
    <n v="8.0543806646525677"/>
    <x v="0"/>
  </r>
  <r>
    <d v="2026-05-12T00:00:00"/>
    <x v="0"/>
    <x v="1"/>
    <x v="1"/>
    <s v="20K-25K"/>
    <n v="178"/>
    <n v="31"/>
    <n v="28"/>
    <n v="181"/>
    <n v="40"/>
    <n v="4"/>
    <s v="Correct"/>
    <n v="70"/>
    <n v="21.9"/>
    <n v="8.2648401826484026"/>
    <x v="0"/>
  </r>
  <r>
    <d v="2026-05-12T00:00:00"/>
    <x v="0"/>
    <x v="1"/>
    <x v="2"/>
    <s v="10K-15K"/>
    <n v="77"/>
    <n v="54"/>
    <n v="26"/>
    <n v="105"/>
    <n v="37"/>
    <n v="1"/>
    <s v="Correct"/>
    <n v="70.270270270270274"/>
    <n v="31.586206896551722"/>
    <n v="3.3242358078602621"/>
    <x v="0"/>
  </r>
  <r>
    <d v="2026-05-12T00:00:00"/>
    <x v="0"/>
    <x v="1"/>
    <x v="3"/>
    <s v="Below 10K"/>
    <n v="74"/>
    <n v="29"/>
    <n v="43"/>
    <n v="60"/>
    <n v="52"/>
    <n v="3"/>
    <s v="Correct"/>
    <n v="82.692307692307693"/>
    <n v="34.200000000000003"/>
    <n v="1.7543859649122806"/>
    <x v="0"/>
  </r>
  <r>
    <d v="2026-05-12T00:00:00"/>
    <x v="0"/>
    <x v="1"/>
    <x v="4"/>
    <s v="35K+"/>
    <n v="361"/>
    <n v="1"/>
    <n v="5"/>
    <n v="357"/>
    <n v="14"/>
    <n v="2"/>
    <s v="Correct"/>
    <n v="35.714285714285715"/>
    <n v="10.96551724137931"/>
    <n v="32.556603773584911"/>
    <x v="2"/>
  </r>
  <r>
    <d v="2026-05-12T00:00:00"/>
    <x v="0"/>
    <x v="2"/>
    <x v="0"/>
    <s v="25K-35K"/>
    <n v="211"/>
    <n v="30"/>
    <n v="26"/>
    <n v="215"/>
    <n v="40"/>
    <n v="4"/>
    <s v="Correct"/>
    <n v="65"/>
    <n v="20.7"/>
    <n v="10.386473429951691"/>
    <x v="0"/>
  </r>
  <r>
    <d v="2026-05-12T00:00:00"/>
    <x v="0"/>
    <x v="2"/>
    <x v="1"/>
    <s v="20K-25K"/>
    <n v="225"/>
    <n v="41"/>
    <n v="33"/>
    <n v="233"/>
    <n v="46"/>
    <n v="1"/>
    <s v="Correct"/>
    <n v="71.739130434782609"/>
    <n v="23.758620689655171"/>
    <n v="9.8069666182873743"/>
    <x v="0"/>
  </r>
  <r>
    <d v="2026-05-12T00:00:00"/>
    <x v="0"/>
    <x v="2"/>
    <x v="2"/>
    <s v="10K-15K"/>
    <n v="141"/>
    <n v="29"/>
    <n v="17"/>
    <n v="153"/>
    <n v="25"/>
    <n v="5"/>
    <s v="Correct"/>
    <n v="68"/>
    <n v="31.142857142857142"/>
    <n v="4.9128440366972477"/>
    <x v="0"/>
  </r>
  <r>
    <d v="2026-05-12T00:00:00"/>
    <x v="0"/>
    <x v="2"/>
    <x v="3"/>
    <s v="Below 10K"/>
    <n v="181"/>
    <n v="21"/>
    <n v="17"/>
    <n v="185"/>
    <n v="18"/>
    <n v="5"/>
    <s v="Correct"/>
    <n v="94.444444444444443"/>
    <n v="31.137931034482758"/>
    <n v="5.9413067552602437"/>
    <x v="0"/>
  </r>
  <r>
    <d v="2026-05-12T00:00:00"/>
    <x v="0"/>
    <x v="2"/>
    <x v="4"/>
    <s v="35K+"/>
    <n v="330"/>
    <n v="52"/>
    <n v="8"/>
    <n v="374"/>
    <n v="19"/>
    <n v="2"/>
    <s v="Correct"/>
    <n v="42.105263157894733"/>
    <n v="11.3"/>
    <n v="33.097345132743364"/>
    <x v="2"/>
  </r>
  <r>
    <d v="2026-05-12T00:00:00"/>
    <x v="1"/>
    <x v="3"/>
    <x v="0"/>
    <s v="25K-35K"/>
    <n v="329"/>
    <n v="59"/>
    <n v="9"/>
    <n v="379"/>
    <n v="12"/>
    <n v="4"/>
    <s v="Correct"/>
    <n v="75"/>
    <n v="22.258064516129032"/>
    <n v="17.027536231884056"/>
    <x v="1"/>
  </r>
  <r>
    <d v="2026-05-12T00:00:00"/>
    <x v="1"/>
    <x v="3"/>
    <x v="1"/>
    <s v="20K-25K"/>
    <n v="187"/>
    <n v="53"/>
    <n v="11"/>
    <n v="229"/>
    <n v="20"/>
    <n v="1"/>
    <s v="Correct"/>
    <n v="55.000000000000007"/>
    <n v="20.172413793103448"/>
    <n v="11.352136752136753"/>
    <x v="0"/>
  </r>
  <r>
    <d v="2026-05-12T00:00:00"/>
    <x v="1"/>
    <x v="3"/>
    <x v="2"/>
    <s v="10K-15K"/>
    <n v="220"/>
    <n v="10"/>
    <n v="29"/>
    <n v="201"/>
    <n v="30"/>
    <n v="2"/>
    <s v="Correct"/>
    <n v="96.666666666666671"/>
    <n v="29.733333333333334"/>
    <n v="6.7600896860986541"/>
    <x v="0"/>
  </r>
  <r>
    <d v="2026-05-12T00:00:00"/>
    <x v="1"/>
    <x v="3"/>
    <x v="3"/>
    <s v="Below 10K"/>
    <n v="268"/>
    <n v="56"/>
    <n v="35"/>
    <n v="289"/>
    <n v="39"/>
    <n v="2"/>
    <s v="Correct"/>
    <n v="89.743589743589752"/>
    <n v="30.724137931034484"/>
    <n v="9.4062850729517393"/>
    <x v="0"/>
  </r>
  <r>
    <d v="2026-05-12T00:00:00"/>
    <x v="1"/>
    <x v="3"/>
    <x v="4"/>
    <s v="35K+"/>
    <n v="295"/>
    <n v="7"/>
    <n v="17"/>
    <n v="285"/>
    <n v="26"/>
    <n v="5"/>
    <s v="Correct"/>
    <n v="65.384615384615387"/>
    <n v="11.566666666666666"/>
    <n v="24.639769452449567"/>
    <x v="1"/>
  </r>
  <r>
    <d v="2026-05-12T00:00:00"/>
    <x v="2"/>
    <x v="4"/>
    <x v="0"/>
    <s v="25K-35K"/>
    <n v="251"/>
    <n v="57"/>
    <n v="25"/>
    <n v="283"/>
    <n v="32"/>
    <n v="5"/>
    <s v="Correct"/>
    <n v="78.125"/>
    <n v="22.25"/>
    <n v="12.719101123595506"/>
    <x v="0"/>
  </r>
  <r>
    <d v="2026-05-12T00:00:00"/>
    <x v="2"/>
    <x v="4"/>
    <x v="1"/>
    <s v="20K-25K"/>
    <n v="166"/>
    <n v="56"/>
    <n v="8"/>
    <n v="214"/>
    <n v="20"/>
    <n v="4"/>
    <s v="Correct"/>
    <n v="40"/>
    <n v="19.96551724137931"/>
    <n v="10.718480138169257"/>
    <x v="0"/>
  </r>
  <r>
    <d v="2026-05-12T00:00:00"/>
    <x v="2"/>
    <x v="4"/>
    <x v="2"/>
    <s v="10K-15K"/>
    <n v="136"/>
    <n v="5"/>
    <n v="39"/>
    <n v="102"/>
    <n v="43"/>
    <n v="5"/>
    <s v="Correct"/>
    <n v="90.697674418604649"/>
    <n v="31.206896551724139"/>
    <n v="3.2685082872928177"/>
    <x v="0"/>
  </r>
  <r>
    <d v="2026-05-12T00:00:00"/>
    <x v="2"/>
    <x v="4"/>
    <x v="3"/>
    <s v="Below 10K"/>
    <n v="112"/>
    <n v="34"/>
    <n v="30"/>
    <n v="116"/>
    <n v="53"/>
    <n v="5"/>
    <s v="Correct"/>
    <n v="56.60377358490566"/>
    <n v="32.620689655172413"/>
    <n v="3.5560253699788587"/>
    <x v="0"/>
  </r>
  <r>
    <d v="2026-05-12T00:00:00"/>
    <x v="2"/>
    <x v="4"/>
    <x v="4"/>
    <s v="35K+"/>
    <n v="436"/>
    <n v="15"/>
    <n v="3"/>
    <n v="448"/>
    <n v="5"/>
    <n v="1"/>
    <s v="Correct"/>
    <n v="60"/>
    <n v="11.678571428571429"/>
    <n v="38.36085626911315"/>
    <x v="2"/>
  </r>
  <r>
    <d v="2026-05-12T00:00:00"/>
    <x v="3"/>
    <x v="5"/>
    <x v="0"/>
    <s v="25K-35K"/>
    <n v="257"/>
    <n v="25"/>
    <n v="25"/>
    <n v="257"/>
    <n v="37"/>
    <n v="2"/>
    <s v="Correct"/>
    <n v="67.567567567567565"/>
    <n v="20.84375"/>
    <n v="12.329835082458771"/>
    <x v="0"/>
  </r>
  <r>
    <d v="2026-05-12T00:00:00"/>
    <x v="3"/>
    <x v="5"/>
    <x v="1"/>
    <s v="20K-25K"/>
    <n v="289"/>
    <n v="12"/>
    <n v="17"/>
    <n v="284"/>
    <n v="28"/>
    <n v="5"/>
    <s v="Correct"/>
    <n v="60.714285714285708"/>
    <n v="21.46875"/>
    <n v="13.228529839883551"/>
    <x v="0"/>
  </r>
  <r>
    <d v="2026-05-12T00:00:00"/>
    <x v="3"/>
    <x v="5"/>
    <x v="2"/>
    <s v="10K-15K"/>
    <n v="91"/>
    <n v="30"/>
    <n v="21"/>
    <n v="100"/>
    <n v="35"/>
    <n v="3"/>
    <s v="Correct"/>
    <n v="60"/>
    <n v="30.586206896551722"/>
    <n v="3.269447576099211"/>
    <x v="0"/>
  </r>
  <r>
    <d v="2026-05-12T00:00:00"/>
    <x v="3"/>
    <x v="5"/>
    <x v="3"/>
    <s v="Below 10K"/>
    <n v="129"/>
    <n v="12"/>
    <n v="25"/>
    <n v="116"/>
    <n v="38"/>
    <n v="2"/>
    <s v="Correct"/>
    <n v="65.789473684210535"/>
    <n v="32.299999999999997"/>
    <n v="3.5913312693498454"/>
    <x v="0"/>
  </r>
  <r>
    <d v="2026-05-12T00:00:00"/>
    <x v="3"/>
    <x v="5"/>
    <x v="4"/>
    <s v="35K+"/>
    <n v="453"/>
    <n v="52"/>
    <n v="9"/>
    <n v="496"/>
    <n v="21"/>
    <n v="4"/>
    <s v="Correct"/>
    <n v="42.857142857142854"/>
    <n v="10.413793103448276"/>
    <n v="47.629139072847686"/>
    <x v="2"/>
  </r>
  <r>
    <d v="2026-05-12T00:00:00"/>
    <x v="4"/>
    <x v="6"/>
    <x v="0"/>
    <s v="25K-35K"/>
    <n v="161"/>
    <n v="16"/>
    <n v="19"/>
    <n v="158"/>
    <n v="25"/>
    <n v="5"/>
    <s v="Correct"/>
    <n v="76"/>
    <n v="20.70967741935484"/>
    <n v="7.6292834890965731"/>
    <x v="0"/>
  </r>
  <r>
    <d v="2026-05-12T00:00:00"/>
    <x v="4"/>
    <x v="6"/>
    <x v="1"/>
    <s v="20K-25K"/>
    <n v="239"/>
    <n v="50"/>
    <n v="28"/>
    <n v="261"/>
    <n v="42"/>
    <n v="4"/>
    <s v="Correct"/>
    <n v="66.666666666666657"/>
    <n v="22.142857142857142"/>
    <n v="11.787096774193548"/>
    <x v="0"/>
  </r>
  <r>
    <d v="2026-05-12T00:00:00"/>
    <x v="4"/>
    <x v="6"/>
    <x v="2"/>
    <s v="10K-15K"/>
    <n v="173"/>
    <n v="33"/>
    <n v="17"/>
    <n v="189"/>
    <n v="25"/>
    <n v="1"/>
    <s v="Correct"/>
    <n v="68"/>
    <n v="30.275862068965516"/>
    <n v="6.2425968109339411"/>
    <x v="0"/>
  </r>
  <r>
    <d v="2026-05-12T00:00:00"/>
    <x v="4"/>
    <x v="6"/>
    <x v="3"/>
    <s v="Below 10K"/>
    <n v="339"/>
    <n v="41"/>
    <n v="25"/>
    <n v="355"/>
    <n v="40"/>
    <n v="5"/>
    <s v="Correct"/>
    <n v="62.5"/>
    <n v="30.931034482758619"/>
    <n v="11.477146042363435"/>
    <x v="0"/>
  </r>
  <r>
    <d v="2026-05-12T00:00:00"/>
    <x v="4"/>
    <x v="6"/>
    <x v="0"/>
    <s v="35K+"/>
    <n v="301"/>
    <n v="54"/>
    <n v="17"/>
    <n v="338"/>
    <n v="29"/>
    <n v="5"/>
    <s v="Correct"/>
    <n v="58.620689655172406"/>
    <n v="20.70967741935484"/>
    <n v="16.320872274143301"/>
    <x v="1"/>
  </r>
  <r>
    <d v="2026-05-13T00:00:00"/>
    <x v="0"/>
    <x v="0"/>
    <x v="0"/>
    <s v="25K-35K"/>
    <n v="374"/>
    <n v="37"/>
    <n v="29"/>
    <n v="382"/>
    <n v="41"/>
    <n v="1"/>
    <s v="Correct"/>
    <n v="70.731707317073173"/>
    <n v="21.666666666666668"/>
    <n v="17.630769230769229"/>
    <x v="1"/>
  </r>
  <r>
    <d v="2026-05-13T00:00:00"/>
    <x v="0"/>
    <x v="0"/>
    <x v="1"/>
    <s v="20K-25K"/>
    <n v="284"/>
    <n v="40"/>
    <n v="29"/>
    <n v="295"/>
    <n v="35"/>
    <n v="5"/>
    <s v="Correct"/>
    <n v="82.857142857142861"/>
    <n v="20.030303030303031"/>
    <n v="14.727685325264749"/>
    <x v="0"/>
  </r>
  <r>
    <d v="2026-05-13T00:00:00"/>
    <x v="0"/>
    <x v="0"/>
    <x v="2"/>
    <s v="10K-15K"/>
    <n v="120"/>
    <n v="54"/>
    <n v="26"/>
    <n v="148"/>
    <n v="28"/>
    <n v="3"/>
    <s v="Correct"/>
    <n v="92.857142857142861"/>
    <n v="33.34375"/>
    <n v="4.4386129334582947"/>
    <x v="0"/>
  </r>
  <r>
    <d v="2026-05-13T00:00:00"/>
    <x v="0"/>
    <x v="0"/>
    <x v="3"/>
    <s v="Below 10K"/>
    <n v="116"/>
    <n v="2"/>
    <n v="32"/>
    <n v="86"/>
    <n v="35"/>
    <n v="2"/>
    <s v="Correct"/>
    <n v="91.428571428571431"/>
    <n v="34.515151515151516"/>
    <n v="2.491659350307287"/>
    <x v="0"/>
  </r>
  <r>
    <d v="2026-05-13T00:00:00"/>
    <x v="0"/>
    <x v="0"/>
    <x v="4"/>
    <s v="35K+"/>
    <n v="232"/>
    <n v="55"/>
    <n v="3"/>
    <n v="284"/>
    <n v="14"/>
    <n v="1"/>
    <s v="Correct"/>
    <n v="21.428571428571427"/>
    <n v="9.9032258064516121"/>
    <n v="28.677524429967431"/>
    <x v="1"/>
  </r>
  <r>
    <d v="2026-05-13T00:00:00"/>
    <x v="0"/>
    <x v="1"/>
    <x v="0"/>
    <s v="25K-35K"/>
    <n v="172"/>
    <n v="30"/>
    <n v="32"/>
    <n v="170"/>
    <n v="33"/>
    <n v="2"/>
    <s v="Correct"/>
    <n v="96.969696969696969"/>
    <n v="21.35483870967742"/>
    <n v="7.9607250755287007"/>
    <x v="0"/>
  </r>
  <r>
    <d v="2026-05-13T00:00:00"/>
    <x v="0"/>
    <x v="1"/>
    <x v="1"/>
    <s v="20K-25K"/>
    <n v="181"/>
    <n v="13"/>
    <n v="14"/>
    <n v="180"/>
    <n v="20"/>
    <n v="2"/>
    <s v="Correct"/>
    <n v="70"/>
    <n v="21.9"/>
    <n v="8.2191780821917817"/>
    <x v="0"/>
  </r>
  <r>
    <d v="2026-05-13T00:00:00"/>
    <x v="0"/>
    <x v="1"/>
    <x v="2"/>
    <s v="10K-15K"/>
    <n v="105"/>
    <n v="53"/>
    <n v="31"/>
    <n v="127"/>
    <n v="38"/>
    <n v="3"/>
    <s v="Correct"/>
    <n v="81.578947368421055"/>
    <n v="31.586206896551722"/>
    <n v="4.0207423580786026"/>
    <x v="0"/>
  </r>
  <r>
    <d v="2026-05-13T00:00:00"/>
    <x v="0"/>
    <x v="1"/>
    <x v="3"/>
    <s v="Below 10K"/>
    <n v="60"/>
    <n v="45"/>
    <n v="41"/>
    <n v="64"/>
    <n v="56"/>
    <n v="1"/>
    <s v="Correct"/>
    <n v="73.214285714285708"/>
    <n v="34.200000000000003"/>
    <n v="1.871345029239766"/>
    <x v="0"/>
  </r>
  <r>
    <d v="2026-05-13T00:00:00"/>
    <x v="0"/>
    <x v="1"/>
    <x v="4"/>
    <s v="35K+"/>
    <n v="357"/>
    <n v="41"/>
    <n v="3"/>
    <n v="395"/>
    <n v="3"/>
    <n v="1"/>
    <s v="Correct"/>
    <n v="100"/>
    <n v="10.96551724137931"/>
    <n v="36.022012578616355"/>
    <x v="2"/>
  </r>
  <r>
    <d v="2026-05-13T00:00:00"/>
    <x v="0"/>
    <x v="2"/>
    <x v="0"/>
    <s v="25K-35K"/>
    <n v="215"/>
    <n v="34"/>
    <n v="19"/>
    <n v="230"/>
    <n v="34"/>
    <n v="4"/>
    <s v="Correct"/>
    <n v="55.882352941176471"/>
    <n v="20.7"/>
    <n v="11.111111111111111"/>
    <x v="0"/>
  </r>
  <r>
    <d v="2026-05-13T00:00:00"/>
    <x v="0"/>
    <x v="2"/>
    <x v="1"/>
    <s v="20K-25K"/>
    <n v="233"/>
    <n v="11"/>
    <n v="27"/>
    <n v="217"/>
    <n v="37"/>
    <n v="5"/>
    <s v="Correct"/>
    <n v="72.972972972972968"/>
    <n v="23.758620689655171"/>
    <n v="9.1335268505079839"/>
    <x v="0"/>
  </r>
  <r>
    <d v="2026-05-13T00:00:00"/>
    <x v="0"/>
    <x v="2"/>
    <x v="2"/>
    <s v="10K-15K"/>
    <n v="153"/>
    <n v="59"/>
    <n v="30"/>
    <n v="182"/>
    <n v="31"/>
    <n v="3"/>
    <s v="Correct"/>
    <n v="96.774193548387103"/>
    <n v="31.142857142857142"/>
    <n v="5.8440366972477067"/>
    <x v="0"/>
  </r>
  <r>
    <d v="2026-05-13T00:00:00"/>
    <x v="0"/>
    <x v="2"/>
    <x v="3"/>
    <s v="Below 10K"/>
    <n v="185"/>
    <n v="19"/>
    <n v="36"/>
    <n v="168"/>
    <n v="36"/>
    <n v="4"/>
    <s v="Correct"/>
    <n v="100"/>
    <n v="31.137931034482758"/>
    <n v="5.3953488372093021"/>
    <x v="0"/>
  </r>
  <r>
    <d v="2026-05-13T00:00:00"/>
    <x v="0"/>
    <x v="2"/>
    <x v="4"/>
    <s v="35K+"/>
    <n v="374"/>
    <n v="17"/>
    <n v="7"/>
    <n v="384"/>
    <n v="20"/>
    <n v="2"/>
    <s v="Correct"/>
    <n v="35"/>
    <n v="11.3"/>
    <n v="33.982300884955748"/>
    <x v="2"/>
  </r>
  <r>
    <d v="2026-05-13T00:00:00"/>
    <x v="1"/>
    <x v="3"/>
    <x v="0"/>
    <s v="25K-35K"/>
    <n v="379"/>
    <n v="40"/>
    <n v="20"/>
    <n v="399"/>
    <n v="31"/>
    <n v="4"/>
    <s v="Correct"/>
    <n v="64.516129032258064"/>
    <n v="22.258064516129032"/>
    <n v="17.92608695652174"/>
    <x v="1"/>
  </r>
  <r>
    <d v="2026-05-13T00:00:00"/>
    <x v="0"/>
    <x v="0"/>
    <x v="1"/>
    <s v="20K-25K"/>
    <n v="229"/>
    <n v="12"/>
    <n v="17"/>
    <n v="224"/>
    <n v="30"/>
    <n v="4"/>
    <s v="Correct"/>
    <n v="56.666666666666664"/>
    <n v="20.030303030303031"/>
    <n v="11.18305597579425"/>
    <x v="0"/>
  </r>
  <r>
    <d v="2026-05-13T00:00:00"/>
    <x v="1"/>
    <x v="3"/>
    <x v="2"/>
    <s v="10K-15K"/>
    <n v="201"/>
    <n v="21"/>
    <n v="25"/>
    <n v="197"/>
    <n v="31"/>
    <n v="5"/>
    <s v="Correct"/>
    <n v="80.645161290322577"/>
    <n v="29.733333333333334"/>
    <n v="6.6255605381165914"/>
    <x v="0"/>
  </r>
  <r>
    <d v="2026-05-13T00:00:00"/>
    <x v="1"/>
    <x v="3"/>
    <x v="3"/>
    <s v="Below 10K"/>
    <n v="289"/>
    <n v="25"/>
    <n v="41"/>
    <n v="273"/>
    <n v="54"/>
    <n v="4"/>
    <s v="Correct"/>
    <n v="75.925925925925924"/>
    <n v="30.724137931034484"/>
    <n v="8.8855218855218858"/>
    <x v="0"/>
  </r>
  <r>
    <d v="2026-05-13T00:00:00"/>
    <x v="1"/>
    <x v="3"/>
    <x v="4"/>
    <s v="35K+"/>
    <n v="285"/>
    <n v="45"/>
    <n v="11"/>
    <n v="319"/>
    <n v="26"/>
    <n v="3"/>
    <s v="Correct"/>
    <n v="42.307692307692307"/>
    <n v="11.566666666666666"/>
    <n v="27.579250720461097"/>
    <x v="1"/>
  </r>
  <r>
    <d v="2026-05-13T00:00:00"/>
    <x v="2"/>
    <x v="4"/>
    <x v="0"/>
    <s v="25K-35K"/>
    <n v="283"/>
    <n v="55"/>
    <n v="24"/>
    <n v="314"/>
    <n v="37"/>
    <n v="1"/>
    <s v="Correct"/>
    <n v="64.86486486486487"/>
    <n v="22.25"/>
    <n v="14.112359550561798"/>
    <x v="0"/>
  </r>
  <r>
    <d v="2026-05-13T00:00:00"/>
    <x v="2"/>
    <x v="4"/>
    <x v="1"/>
    <s v="20K-25K"/>
    <n v="214"/>
    <n v="49"/>
    <n v="29"/>
    <n v="234"/>
    <n v="36"/>
    <n v="1"/>
    <s v="Correct"/>
    <n v="80.555555555555557"/>
    <n v="19.96551724137931"/>
    <n v="11.720207253886011"/>
    <x v="0"/>
  </r>
  <r>
    <d v="2026-05-13T00:00:00"/>
    <x v="2"/>
    <x v="4"/>
    <x v="2"/>
    <s v="10K-15K"/>
    <n v="102"/>
    <n v="20"/>
    <n v="44"/>
    <n v="78"/>
    <n v="48"/>
    <n v="1"/>
    <s v="Correct"/>
    <n v="91.666666666666657"/>
    <n v="31.206896551724139"/>
    <n v="2.4994475138121546"/>
    <x v="0"/>
  </r>
  <r>
    <d v="2026-05-13T00:00:00"/>
    <x v="2"/>
    <x v="4"/>
    <x v="3"/>
    <s v="Below 10K"/>
    <n v="98"/>
    <n v="23"/>
    <n v="41"/>
    <n v="80"/>
    <n v="43"/>
    <n v="5"/>
    <s v="Correct"/>
    <n v="95.348837209302332"/>
    <n v="32.620689655172413"/>
    <n v="2.4524312896405922"/>
    <x v="0"/>
  </r>
  <r>
    <d v="2026-05-13T00:00:00"/>
    <x v="2"/>
    <x v="4"/>
    <x v="4"/>
    <s v="35K+"/>
    <n v="448"/>
    <n v="53"/>
    <n v="14"/>
    <n v="487"/>
    <n v="15"/>
    <n v="5"/>
    <s v="Correct"/>
    <n v="93.333333333333329"/>
    <n v="11.678571428571429"/>
    <n v="41.700305810397552"/>
    <x v="2"/>
  </r>
  <r>
    <d v="2026-05-13T00:00:00"/>
    <x v="3"/>
    <x v="5"/>
    <x v="0"/>
    <s v="25K-35K"/>
    <n v="257"/>
    <n v="33"/>
    <n v="32"/>
    <n v="258"/>
    <n v="44"/>
    <n v="2"/>
    <s v="Correct"/>
    <n v="72.727272727272734"/>
    <n v="20.84375"/>
    <n v="12.377811094452774"/>
    <x v="0"/>
  </r>
  <r>
    <d v="2026-05-13T00:00:00"/>
    <x v="3"/>
    <x v="5"/>
    <x v="1"/>
    <s v="20K-25K"/>
    <n v="284"/>
    <n v="33"/>
    <n v="13"/>
    <n v="304"/>
    <n v="16"/>
    <n v="3"/>
    <s v="Correct"/>
    <n v="81.25"/>
    <n v="21.46875"/>
    <n v="14.160116448326056"/>
    <x v="0"/>
  </r>
  <r>
    <d v="2026-05-13T00:00:00"/>
    <x v="3"/>
    <x v="5"/>
    <x v="2"/>
    <s v="10K-15K"/>
    <n v="100"/>
    <n v="34"/>
    <n v="28"/>
    <n v="106"/>
    <n v="41"/>
    <n v="5"/>
    <s v="Correct"/>
    <n v="68.292682926829272"/>
    <n v="30.586206896551722"/>
    <n v="3.4656144306651635"/>
    <x v="0"/>
  </r>
  <r>
    <d v="2026-05-13T00:00:00"/>
    <x v="3"/>
    <x v="5"/>
    <x v="3"/>
    <s v="Below 10K"/>
    <n v="116"/>
    <n v="37"/>
    <n v="37"/>
    <n v="116"/>
    <n v="44"/>
    <n v="2"/>
    <s v="Correct"/>
    <n v="84.090909090909093"/>
    <n v="32.299999999999997"/>
    <n v="3.5913312693498454"/>
    <x v="0"/>
  </r>
  <r>
    <d v="2026-05-13T00:00:00"/>
    <x v="3"/>
    <x v="5"/>
    <x v="4"/>
    <s v="35K+"/>
    <n v="496"/>
    <n v="60"/>
    <n v="12"/>
    <n v="544"/>
    <n v="13"/>
    <n v="2"/>
    <s v="Correct"/>
    <n v="92.307692307692307"/>
    <n v="10.413793103448276"/>
    <n v="52.23841059602649"/>
    <x v="2"/>
  </r>
  <r>
    <d v="2026-05-13T00:00:00"/>
    <x v="4"/>
    <x v="6"/>
    <x v="0"/>
    <s v="25K-35K"/>
    <n v="158"/>
    <n v="2"/>
    <n v="11"/>
    <n v="149"/>
    <n v="18"/>
    <n v="2"/>
    <s v="Correct"/>
    <n v="61.111111111111114"/>
    <n v="20.70967741935484"/>
    <n v="7.1947040498442361"/>
    <x v="0"/>
  </r>
  <r>
    <d v="2026-05-13T00:00:00"/>
    <x v="4"/>
    <x v="6"/>
    <x v="1"/>
    <s v="20K-25K"/>
    <n v="261"/>
    <n v="16"/>
    <n v="33"/>
    <n v="244"/>
    <n v="0"/>
    <n v="1"/>
    <s v="Correct"/>
    <n v="0"/>
    <n v="22.142857142857142"/>
    <n v="11.019354838709678"/>
    <x v="0"/>
  </r>
  <r>
    <d v="2026-05-04T00:00:00"/>
    <x v="4"/>
    <x v="6"/>
    <x v="2"/>
    <s v="10K-15K"/>
    <n v="189"/>
    <n v="28"/>
    <n v="35"/>
    <n v="182"/>
    <n v="41"/>
    <n v="5"/>
    <s v="Correct"/>
    <n v="85.365853658536579"/>
    <n v="30.275862068965516"/>
    <n v="6.0113895216400914"/>
    <x v="0"/>
  </r>
  <r>
    <d v="2026-05-13T00:00:00"/>
    <x v="4"/>
    <x v="6"/>
    <x v="3"/>
    <s v="Below 10K"/>
    <n v="355"/>
    <n v="22"/>
    <n v="39"/>
    <n v="338"/>
    <n v="45"/>
    <n v="3"/>
    <s v="Correct"/>
    <n v="86.666666666666671"/>
    <n v="30.931034482758619"/>
    <n v="10.927536231884059"/>
    <x v="0"/>
  </r>
  <r>
    <d v="2026-05-13T00:00:00"/>
    <x v="4"/>
    <x v="6"/>
    <x v="4"/>
    <s v="35K+"/>
    <n v="338"/>
    <n v="57"/>
    <n v="3"/>
    <n v="392"/>
    <n v="9"/>
    <n v="3"/>
    <s v="Correct"/>
    <n v="33.333333333333329"/>
    <n v="10.25"/>
    <n v="38.243902439024389"/>
    <x v="2"/>
  </r>
  <r>
    <d v="2026-05-14T00:00:00"/>
    <x v="0"/>
    <x v="0"/>
    <x v="0"/>
    <s v="25K-35K"/>
    <n v="382"/>
    <n v="20"/>
    <n v="31"/>
    <n v="371"/>
    <n v="33"/>
    <n v="3"/>
    <s v="Correct"/>
    <n v="93.939393939393938"/>
    <n v="21.666666666666668"/>
    <n v="17.123076923076923"/>
    <x v="1"/>
  </r>
  <r>
    <d v="2026-05-14T00:00:00"/>
    <x v="0"/>
    <x v="0"/>
    <x v="1"/>
    <s v="20K-25K"/>
    <n v="295"/>
    <n v="56"/>
    <n v="28"/>
    <n v="323"/>
    <n v="34"/>
    <n v="4"/>
    <s v="Correct"/>
    <n v="82.35294117647058"/>
    <n v="20.030303030303031"/>
    <n v="16.125567322239032"/>
    <x v="1"/>
  </r>
  <r>
    <d v="2026-05-14T00:00:00"/>
    <x v="0"/>
    <x v="0"/>
    <x v="2"/>
    <s v="10K-15K"/>
    <n v="148"/>
    <n v="55"/>
    <n v="22"/>
    <n v="181"/>
    <n v="25"/>
    <n v="3"/>
    <s v="Correct"/>
    <n v="88"/>
    <n v="33.34375"/>
    <n v="5.4283036551077792"/>
    <x v="0"/>
  </r>
  <r>
    <d v="2026-05-14T00:00:00"/>
    <x v="0"/>
    <x v="0"/>
    <x v="3"/>
    <s v="Below 10K"/>
    <n v="86"/>
    <n v="48"/>
    <n v="34"/>
    <n v="100"/>
    <n v="41"/>
    <n v="5"/>
    <s v="Correct"/>
    <n v="82.926829268292678"/>
    <n v="34.515151515151516"/>
    <n v="2.8972783143107987"/>
    <x v="0"/>
  </r>
  <r>
    <d v="2026-05-14T00:00:00"/>
    <x v="0"/>
    <x v="0"/>
    <x v="4"/>
    <s v="35K+"/>
    <n v="284"/>
    <n v="29"/>
    <n v="3"/>
    <n v="310"/>
    <n v="8"/>
    <n v="5"/>
    <s v="Correct"/>
    <n v="37.5"/>
    <n v="9.9032258064516121"/>
    <n v="31.302931596091209"/>
    <x v="2"/>
  </r>
  <r>
    <d v="2026-05-14T00:00:00"/>
    <x v="0"/>
    <x v="1"/>
    <x v="0"/>
    <s v="25K-35K"/>
    <n v="170"/>
    <n v="35"/>
    <n v="16"/>
    <n v="189"/>
    <n v="25"/>
    <n v="1"/>
    <s v="Correct"/>
    <n v="64"/>
    <n v="21.35483870967742"/>
    <n v="8.8504531722054374"/>
    <x v="0"/>
  </r>
  <r>
    <d v="2026-05-14T00:00:00"/>
    <x v="0"/>
    <x v="1"/>
    <x v="1"/>
    <s v="20K-25K"/>
    <n v="180"/>
    <n v="10"/>
    <n v="25"/>
    <n v="165"/>
    <n v="38"/>
    <n v="2"/>
    <s v="Correct"/>
    <n v="65.789473684210535"/>
    <n v="21.9"/>
    <n v="7.5342465753424666"/>
    <x v="0"/>
  </r>
  <r>
    <d v="2026-05-14T00:00:00"/>
    <x v="0"/>
    <x v="1"/>
    <x v="2"/>
    <s v="10K-15K"/>
    <n v="127"/>
    <n v="16"/>
    <n v="37"/>
    <n v="106"/>
    <n v="39"/>
    <n v="5"/>
    <s v="Correct"/>
    <n v="94.871794871794862"/>
    <n v="31.586206896551722"/>
    <n v="3.3558951965065504"/>
    <x v="0"/>
  </r>
  <r>
    <d v="2026-05-14T00:00:00"/>
    <x v="0"/>
    <x v="1"/>
    <x v="3"/>
    <s v="Below 10K"/>
    <n v="64"/>
    <n v="1"/>
    <n v="32"/>
    <n v="33"/>
    <n v="33"/>
    <n v="2"/>
    <s v="Correct"/>
    <n v="96.969696969696969"/>
    <n v="34.200000000000003"/>
    <n v="0.96491228070175428"/>
    <x v="0"/>
  </r>
  <r>
    <d v="2026-05-14T00:00:00"/>
    <x v="0"/>
    <x v="1"/>
    <x v="4"/>
    <s v="35K+"/>
    <n v="395"/>
    <n v="15"/>
    <n v="10"/>
    <n v="400"/>
    <n v="16"/>
    <n v="3"/>
    <s v="Correct"/>
    <n v="62.5"/>
    <n v="10.96551724137931"/>
    <n v="36.477987421383652"/>
    <x v="2"/>
  </r>
  <r>
    <d v="2026-05-14T00:00:00"/>
    <x v="0"/>
    <x v="2"/>
    <x v="0"/>
    <s v="25K-35K"/>
    <n v="230"/>
    <n v="59"/>
    <n v="23"/>
    <n v="266"/>
    <n v="32"/>
    <n v="5"/>
    <s v="Correct"/>
    <n v="71.875"/>
    <n v="20.7"/>
    <n v="12.85024154589372"/>
    <x v="0"/>
  </r>
  <r>
    <d v="2026-05-14T00:00:00"/>
    <x v="0"/>
    <x v="2"/>
    <x v="1"/>
    <s v="20K-25K"/>
    <n v="217"/>
    <n v="52"/>
    <n v="9"/>
    <n v="260"/>
    <n v="10"/>
    <n v="4"/>
    <s v="Correct"/>
    <n v="90"/>
    <n v="23.758620689655171"/>
    <n v="10.943396226415095"/>
    <x v="0"/>
  </r>
  <r>
    <d v="2026-05-14T00:00:00"/>
    <x v="0"/>
    <x v="2"/>
    <x v="2"/>
    <s v="10K-15K"/>
    <n v="182"/>
    <n v="42"/>
    <n v="28"/>
    <n v="196"/>
    <n v="35"/>
    <n v="5"/>
    <s v="Correct"/>
    <n v="80"/>
    <n v="31.142857142857142"/>
    <n v="6.2935779816513762"/>
    <x v="0"/>
  </r>
  <r>
    <d v="2026-05-14T00:00:00"/>
    <x v="0"/>
    <x v="2"/>
    <x v="3"/>
    <s v="Below 10K"/>
    <n v="168"/>
    <n v="34"/>
    <n v="20"/>
    <n v="182"/>
    <n v="22"/>
    <n v="3"/>
    <s v="Correct"/>
    <n v="90.909090909090907"/>
    <n v="31.137931034482758"/>
    <n v="5.8449612403100772"/>
    <x v="0"/>
  </r>
  <r>
    <d v="2026-05-14T00:00:00"/>
    <x v="0"/>
    <x v="2"/>
    <x v="4"/>
    <s v="35K+"/>
    <n v="384"/>
    <n v="11"/>
    <n v="10"/>
    <n v="385"/>
    <n v="20"/>
    <n v="4"/>
    <s v="Correct"/>
    <n v="50"/>
    <n v="11.3"/>
    <n v="34.070796460176986"/>
    <x v="2"/>
  </r>
  <r>
    <d v="2026-05-14T00:00:00"/>
    <x v="1"/>
    <x v="3"/>
    <x v="0"/>
    <s v="25K-35K"/>
    <n v="399"/>
    <n v="41"/>
    <n v="34"/>
    <n v="406"/>
    <n v="36"/>
    <n v="2"/>
    <s v="Correct"/>
    <n v="94.444444444444443"/>
    <n v="22.258064516129032"/>
    <n v="18.240579710144928"/>
    <x v="1"/>
  </r>
  <r>
    <d v="2026-05-14T00:00:00"/>
    <x v="1"/>
    <x v="3"/>
    <x v="1"/>
    <s v="20K-25K"/>
    <n v="224"/>
    <n v="45"/>
    <n v="8"/>
    <n v="261"/>
    <n v="14"/>
    <n v="4"/>
    <s v="Correct"/>
    <n v="57.142857142857139"/>
    <n v="20.172413793103448"/>
    <n v="12.938461538461539"/>
    <x v="0"/>
  </r>
  <r>
    <d v="2026-05-14T00:00:00"/>
    <x v="1"/>
    <x v="3"/>
    <x v="2"/>
    <s v="10K-15K"/>
    <n v="197"/>
    <n v="30"/>
    <n v="24"/>
    <n v="203"/>
    <n v="35"/>
    <n v="5"/>
    <s v="Correct"/>
    <n v="68.571428571428569"/>
    <n v="29.733333333333334"/>
    <n v="6.8273542600896855"/>
    <x v="0"/>
  </r>
  <r>
    <d v="2026-05-14T00:00:00"/>
    <x v="1"/>
    <x v="3"/>
    <x v="3"/>
    <s v="Below 10K"/>
    <n v="273"/>
    <n v="52"/>
    <n v="19"/>
    <n v="306"/>
    <n v="22"/>
    <n v="3"/>
    <s v="Correct"/>
    <n v="86.36363636363636"/>
    <n v="30.724137931034484"/>
    <n v="9.9595959595959584"/>
    <x v="0"/>
  </r>
  <r>
    <d v="2026-05-14T00:00:00"/>
    <x v="1"/>
    <x v="3"/>
    <x v="4"/>
    <s v="35K+"/>
    <n v="319"/>
    <n v="1"/>
    <n v="16"/>
    <n v="304"/>
    <n v="20"/>
    <n v="5"/>
    <s v="Correct"/>
    <n v="80"/>
    <n v="11.566666666666666"/>
    <n v="26.282420749279538"/>
    <x v="1"/>
  </r>
  <r>
    <d v="2026-05-14T00:00:00"/>
    <x v="2"/>
    <x v="4"/>
    <x v="0"/>
    <s v="25K-35K"/>
    <n v="314"/>
    <n v="3"/>
    <n v="32"/>
    <n v="285"/>
    <n v="36"/>
    <n v="1"/>
    <s v="Correct"/>
    <n v="88.888888888888886"/>
    <n v="22.25"/>
    <n v="12.808988764044944"/>
    <x v="0"/>
  </r>
  <r>
    <d v="2026-05-14T00:00:00"/>
    <x v="2"/>
    <x v="4"/>
    <x v="1"/>
    <s v="20K-25K"/>
    <n v="234"/>
    <n v="31"/>
    <n v="23"/>
    <n v="242"/>
    <n v="29"/>
    <n v="1"/>
    <s v="Correct"/>
    <n v="79.310344827586206"/>
    <n v="19.96551724137931"/>
    <n v="12.120898100172711"/>
    <x v="0"/>
  </r>
  <r>
    <d v="2026-05-14T00:00:00"/>
    <x v="2"/>
    <x v="4"/>
    <x v="2"/>
    <s v="10K-15K"/>
    <n v="78"/>
    <n v="31"/>
    <n v="39"/>
    <n v="70"/>
    <n v="43"/>
    <n v="5"/>
    <s v="Correct"/>
    <n v="90.697674418604649"/>
    <n v="31.206896551724139"/>
    <n v="2.2430939226519335"/>
    <x v="0"/>
  </r>
  <r>
    <d v="2026-05-14T00:00:00"/>
    <x v="2"/>
    <x v="4"/>
    <x v="3"/>
    <s v="Below 10K"/>
    <n v="80"/>
    <n v="52"/>
    <n v="47"/>
    <n v="85"/>
    <n v="56"/>
    <n v="1"/>
    <s v="Correct"/>
    <n v="83.928571428571431"/>
    <n v="32.620689655172413"/>
    <n v="2.6057082452431288"/>
    <x v="0"/>
  </r>
  <r>
    <d v="2026-05-14T00:00:00"/>
    <x v="2"/>
    <x v="4"/>
    <x v="4"/>
    <s v="35K+"/>
    <n v="487"/>
    <n v="42"/>
    <n v="9"/>
    <n v="520"/>
    <n v="20"/>
    <n v="3"/>
    <s v="Correct"/>
    <n v="45"/>
    <n v="11.678571428571429"/>
    <n v="44.525993883792047"/>
    <x v="2"/>
  </r>
  <r>
    <d v="2026-05-14T00:00:00"/>
    <x v="3"/>
    <x v="5"/>
    <x v="0"/>
    <s v="25K-35K"/>
    <n v="258"/>
    <n v="38"/>
    <n v="23"/>
    <n v="273"/>
    <n v="23"/>
    <n v="4"/>
    <s v="Correct"/>
    <n v="100"/>
    <n v="20.84375"/>
    <n v="13.097451274362818"/>
    <x v="0"/>
  </r>
  <r>
    <d v="2026-05-14T00:00:00"/>
    <x v="3"/>
    <x v="5"/>
    <x v="1"/>
    <s v="20K-25K"/>
    <n v="304"/>
    <n v="14"/>
    <n v="30"/>
    <n v="288"/>
    <n v="42"/>
    <n v="2"/>
    <s v="Correct"/>
    <n v="71.428571428571431"/>
    <n v="21.46875"/>
    <n v="13.414847161572052"/>
    <x v="0"/>
  </r>
  <r>
    <d v="2026-05-14T00:00:00"/>
    <x v="3"/>
    <x v="5"/>
    <x v="2"/>
    <s v="10K-15K"/>
    <n v="106"/>
    <n v="42"/>
    <n v="34"/>
    <n v="114"/>
    <n v="34"/>
    <n v="4"/>
    <s v="Correct"/>
    <n v="100"/>
    <n v="30.586206896551722"/>
    <n v="3.7271702367531003"/>
    <x v="0"/>
  </r>
  <r>
    <d v="2026-05-14T00:00:00"/>
    <x v="3"/>
    <x v="5"/>
    <x v="3"/>
    <s v="Below 10K"/>
    <n v="116"/>
    <n v="41"/>
    <n v="44"/>
    <n v="113"/>
    <n v="47"/>
    <n v="4"/>
    <s v="Correct"/>
    <n v="93.61702127659575"/>
    <n v="32.299999999999997"/>
    <n v="3.4984520123839014"/>
    <x v="0"/>
  </r>
  <r>
    <d v="2026-05-14T00:00:00"/>
    <x v="3"/>
    <x v="5"/>
    <x v="4"/>
    <s v="35K+"/>
    <n v="544"/>
    <n v="45"/>
    <n v="5"/>
    <n v="584"/>
    <n v="18"/>
    <n v="3"/>
    <s v="Correct"/>
    <n v="27.777777777777779"/>
    <n v="10.413793103448276"/>
    <n v="56.079470198675494"/>
    <x v="2"/>
  </r>
  <r>
    <d v="2026-05-14T00:00:00"/>
    <x v="4"/>
    <x v="6"/>
    <x v="0"/>
    <s v="25K-35K"/>
    <n v="149"/>
    <n v="60"/>
    <n v="22"/>
    <n v="187"/>
    <n v="33"/>
    <n v="5"/>
    <s v="Correct"/>
    <n v="66.666666666666657"/>
    <n v="20.70967741935484"/>
    <n v="9.0295950155763229"/>
    <x v="0"/>
  </r>
  <r>
    <d v="2026-05-14T00:00:00"/>
    <x v="4"/>
    <x v="6"/>
    <x v="1"/>
    <s v="20K-25K"/>
    <n v="244"/>
    <n v="55"/>
    <n v="22"/>
    <n v="277"/>
    <n v="29"/>
    <n v="4"/>
    <s v="Correct"/>
    <n v="75.862068965517238"/>
    <n v="22.142857142857142"/>
    <n v="12.509677419354839"/>
    <x v="0"/>
  </r>
  <r>
    <d v="2026-05-14T00:00:00"/>
    <x v="4"/>
    <x v="6"/>
    <x v="2"/>
    <s v="10K-15K"/>
    <n v="182"/>
    <n v="39"/>
    <n v="36"/>
    <n v="185"/>
    <n v="42"/>
    <n v="3"/>
    <s v="Correct"/>
    <n v="85.714285714285708"/>
    <n v="30.275862068965516"/>
    <n v="6.1104783599088837"/>
    <x v="0"/>
  </r>
  <r>
    <d v="2026-05-14T00:00:00"/>
    <x v="4"/>
    <x v="6"/>
    <x v="3"/>
    <s v="Below 10K"/>
    <n v="338"/>
    <n v="19"/>
    <n v="47"/>
    <n v="310"/>
    <n v="55"/>
    <n v="4"/>
    <s v="Correct"/>
    <n v="85.454545454545453"/>
    <n v="30.931034482758619"/>
    <n v="10.022296544035674"/>
    <x v="0"/>
  </r>
  <r>
    <d v="2026-05-14T00:00:00"/>
    <x v="4"/>
    <x v="6"/>
    <x v="4"/>
    <s v="35K+"/>
    <n v="392"/>
    <n v="23"/>
    <n v="5"/>
    <n v="410"/>
    <n v="8"/>
    <n v="4"/>
    <s v="Correct"/>
    <n v="62.5"/>
    <n v="10.25"/>
    <n v="40"/>
    <x v="2"/>
  </r>
  <r>
    <d v="2026-05-15T00:00:00"/>
    <x v="0"/>
    <x v="0"/>
    <x v="0"/>
    <s v="25K-35K"/>
    <n v="371"/>
    <n v="23"/>
    <n v="23"/>
    <n v="371"/>
    <n v="28"/>
    <n v="2"/>
    <s v="Correct"/>
    <n v="82.142857142857139"/>
    <n v="21.666666666666668"/>
    <n v="17.123076923076923"/>
    <x v="1"/>
  </r>
  <r>
    <d v="2026-05-15T00:00:00"/>
    <x v="0"/>
    <x v="0"/>
    <x v="1"/>
    <s v="20K-25K"/>
    <n v="323"/>
    <n v="15"/>
    <n v="34"/>
    <n v="304"/>
    <n v="49"/>
    <n v="1"/>
    <s v="Correct"/>
    <n v="69.387755102040813"/>
    <n v="20.030303030303031"/>
    <n v="15.177004538577911"/>
    <x v="1"/>
  </r>
  <r>
    <d v="2026-05-15T00:00:00"/>
    <x v="0"/>
    <x v="0"/>
    <x v="2"/>
    <s v="10K-15K"/>
    <n v="181"/>
    <n v="33"/>
    <n v="37"/>
    <n v="177"/>
    <n v="52"/>
    <n v="1"/>
    <s v="Correct"/>
    <n v="71.15384615384616"/>
    <n v="33.34375"/>
    <n v="5.3083411433926901"/>
    <x v="0"/>
  </r>
  <r>
    <d v="2026-05-15T00:00:00"/>
    <x v="0"/>
    <x v="0"/>
    <x v="3"/>
    <s v="Below 10K"/>
    <n v="100"/>
    <n v="1"/>
    <n v="30"/>
    <n v="71"/>
    <n v="33"/>
    <n v="5"/>
    <s v="Correct"/>
    <n v="90.909090909090907"/>
    <n v="34.515151515151516"/>
    <n v="2.0570676031606672"/>
    <x v="0"/>
  </r>
  <r>
    <d v="2026-05-15T00:00:00"/>
    <x v="0"/>
    <x v="0"/>
    <x v="4"/>
    <s v="35K+"/>
    <n v="310"/>
    <n v="13"/>
    <n v="5"/>
    <n v="318"/>
    <n v="16"/>
    <n v="1"/>
    <s v="Correct"/>
    <n v="31.25"/>
    <n v="9.9032258064516121"/>
    <n v="32.110749185667757"/>
    <x v="2"/>
  </r>
  <r>
    <d v="2026-05-15T00:00:00"/>
    <x v="0"/>
    <x v="1"/>
    <x v="0"/>
    <s v="25K-35K"/>
    <n v="189"/>
    <n v="52"/>
    <n v="33"/>
    <n v="208"/>
    <n v="47"/>
    <n v="3"/>
    <s v="Correct"/>
    <n v="70.212765957446805"/>
    <n v="21.35483870967742"/>
    <n v="9.7401812688821749"/>
    <x v="0"/>
  </r>
  <r>
    <d v="2026-05-15T00:00:00"/>
    <x v="0"/>
    <x v="1"/>
    <x v="1"/>
    <s v="20K-25K"/>
    <n v="165"/>
    <n v="35"/>
    <n v="8"/>
    <n v="192"/>
    <n v="9"/>
    <n v="1"/>
    <s v="Correct"/>
    <n v="88.888888888888886"/>
    <n v="21.9"/>
    <n v="8.7671232876712342"/>
    <x v="0"/>
  </r>
  <r>
    <d v="2026-05-15T00:00:00"/>
    <x v="0"/>
    <x v="1"/>
    <x v="2"/>
    <s v="10K-15K"/>
    <n v="106"/>
    <n v="59"/>
    <n v="40"/>
    <n v="125"/>
    <n v="46"/>
    <n v="3"/>
    <s v="Correct"/>
    <n v="86.956521739130437"/>
    <n v="31.586206896551722"/>
    <n v="3.9574235807860263"/>
    <x v="0"/>
  </r>
  <r>
    <d v="2026-05-15T00:00:00"/>
    <x v="0"/>
    <x v="1"/>
    <x v="3"/>
    <s v="Below 10K"/>
    <n v="33"/>
    <n v="10"/>
    <n v="40"/>
    <n v="3"/>
    <n v="46"/>
    <n v="1"/>
    <s v="Correct"/>
    <n v="86.956521739130437"/>
    <n v="34.200000000000003"/>
    <n v="8.771929824561403E-2"/>
    <x v="0"/>
  </r>
  <r>
    <d v="2026-05-15T00:00:00"/>
    <x v="0"/>
    <x v="1"/>
    <x v="4"/>
    <s v="35K+"/>
    <n v="400"/>
    <n v="12"/>
    <n v="4"/>
    <n v="408"/>
    <n v="15"/>
    <n v="1"/>
    <s v="Correct"/>
    <n v="26.666666666666668"/>
    <n v="10.96551724137931"/>
    <n v="37.20754716981132"/>
    <x v="2"/>
  </r>
  <r>
    <d v="2026-05-15T00:00:00"/>
    <x v="0"/>
    <x v="2"/>
    <x v="0"/>
    <s v="25K-35K"/>
    <n v="266"/>
    <n v="18"/>
    <n v="26"/>
    <n v="258"/>
    <n v="33"/>
    <n v="1"/>
    <s v="Correct"/>
    <n v="78.787878787878782"/>
    <n v="20.7"/>
    <n v="12.463768115942029"/>
    <x v="0"/>
  </r>
  <r>
    <d v="2026-05-15T00:00:00"/>
    <x v="0"/>
    <x v="2"/>
    <x v="1"/>
    <s v="20K-25K"/>
    <n v="260"/>
    <n v="20"/>
    <n v="20"/>
    <n v="260"/>
    <n v="25"/>
    <n v="1"/>
    <s v="Correct"/>
    <n v="80"/>
    <n v="23.758620689655171"/>
    <n v="10.943396226415095"/>
    <x v="0"/>
  </r>
  <r>
    <d v="2026-05-15T00:00:00"/>
    <x v="0"/>
    <x v="2"/>
    <x v="0"/>
    <s v="10K-15K"/>
    <n v="196"/>
    <n v="32"/>
    <n v="32"/>
    <n v="196"/>
    <n v="34"/>
    <n v="1"/>
    <s v="Correct"/>
    <n v="94.117647058823522"/>
    <n v="20.7"/>
    <n v="9.4685990338164263"/>
    <x v="0"/>
  </r>
  <r>
    <d v="2026-05-15T00:00:00"/>
    <x v="0"/>
    <x v="2"/>
    <x v="3"/>
    <s v="Below 10K"/>
    <n v="182"/>
    <n v="45"/>
    <n v="23"/>
    <n v="204"/>
    <n v="30"/>
    <n v="4"/>
    <s v="Correct"/>
    <n v="76.666666666666671"/>
    <n v="31.137931034482758"/>
    <n v="6.5514950166112955"/>
    <x v="0"/>
  </r>
  <r>
    <d v="2026-05-15T00:00:00"/>
    <x v="0"/>
    <x v="2"/>
    <x v="4"/>
    <s v="35K+"/>
    <n v="385"/>
    <n v="35"/>
    <n v="3"/>
    <n v="417"/>
    <n v="4"/>
    <n v="5"/>
    <s v="Correct"/>
    <n v="75"/>
    <n v="11.3"/>
    <n v="36.902654867256636"/>
    <x v="2"/>
  </r>
  <r>
    <d v="2026-05-15T00:00:00"/>
    <x v="1"/>
    <x v="3"/>
    <x v="0"/>
    <s v="25K-35K"/>
    <n v="406"/>
    <n v="45"/>
    <n v="28"/>
    <n v="423"/>
    <n v="37"/>
    <n v="5"/>
    <s v="Correct"/>
    <n v="75.675675675675677"/>
    <n v="22.258064516129032"/>
    <n v="19.004347826086956"/>
    <x v="1"/>
  </r>
  <r>
    <d v="2026-05-15T00:00:00"/>
    <x v="1"/>
    <x v="3"/>
    <x v="1"/>
    <s v="20K-25K"/>
    <n v="261"/>
    <n v="18"/>
    <n v="15"/>
    <n v="264"/>
    <n v="21"/>
    <n v="1"/>
    <s v="Correct"/>
    <n v="71.428571428571431"/>
    <n v="20.172413793103448"/>
    <n v="13.087179487179487"/>
    <x v="0"/>
  </r>
  <r>
    <d v="2026-05-15T00:00:00"/>
    <x v="1"/>
    <x v="3"/>
    <x v="2"/>
    <s v="10K-15K"/>
    <n v="203"/>
    <n v="4"/>
    <n v="25"/>
    <n v="182"/>
    <n v="36"/>
    <n v="3"/>
    <s v="Correct"/>
    <n v="69.444444444444443"/>
    <n v="29.733333333333334"/>
    <n v="6.1210762331838566"/>
    <x v="0"/>
  </r>
  <r>
    <d v="2026-05-15T00:00:00"/>
    <x v="1"/>
    <x v="3"/>
    <x v="3"/>
    <s v="Below 10K"/>
    <n v="306"/>
    <n v="10"/>
    <n v="34"/>
    <n v="282"/>
    <n v="34"/>
    <n v="1"/>
    <s v="Correct"/>
    <n v="100"/>
    <n v="30.724137931034484"/>
    <n v="9.1784511784511782"/>
    <x v="0"/>
  </r>
  <r>
    <d v="2026-05-15T00:00:00"/>
    <x v="1"/>
    <x v="3"/>
    <x v="4"/>
    <s v="35K+"/>
    <n v="304"/>
    <n v="51"/>
    <n v="13"/>
    <n v="342"/>
    <n v="16"/>
    <n v="1"/>
    <s v="Correct"/>
    <n v="81.25"/>
    <n v="11.566666666666666"/>
    <n v="29.56772334293948"/>
    <x v="1"/>
  </r>
  <r>
    <d v="2026-05-15T00:00:00"/>
    <x v="2"/>
    <x v="4"/>
    <x v="0"/>
    <s v="25K-35K"/>
    <n v="285"/>
    <n v="30"/>
    <n v="29"/>
    <n v="286"/>
    <n v="30"/>
    <n v="4"/>
    <s v="Correct"/>
    <n v="96.666666666666671"/>
    <n v="22.25"/>
    <n v="12.853932584269662"/>
    <x v="0"/>
  </r>
  <r>
    <d v="2026-05-15T00:00:00"/>
    <x v="0"/>
    <x v="0"/>
    <x v="1"/>
    <s v="20K-25K"/>
    <n v="242"/>
    <n v="18"/>
    <n v="11"/>
    <n v="249"/>
    <n v="14"/>
    <n v="4"/>
    <s v="Correct"/>
    <n v="78.571428571428569"/>
    <n v="20.030303030303031"/>
    <n v="12.431164901664145"/>
    <x v="0"/>
  </r>
  <r>
    <d v="2026-05-15T00:00:00"/>
    <x v="2"/>
    <x v="4"/>
    <x v="2"/>
    <s v="10K-15K"/>
    <n v="70"/>
    <n v="28"/>
    <n v="38"/>
    <n v="60"/>
    <n v="49"/>
    <n v="1"/>
    <s v="Correct"/>
    <n v="77.551020408163268"/>
    <n v="31.206896551724139"/>
    <n v="1.9226519337016574"/>
    <x v="0"/>
  </r>
  <r>
    <d v="2026-05-15T00:00:00"/>
    <x v="2"/>
    <x v="4"/>
    <x v="3"/>
    <s v="Below 10K"/>
    <n v="85"/>
    <n v="9"/>
    <n v="44"/>
    <n v="50"/>
    <n v="51"/>
    <n v="4"/>
    <s v="Correct"/>
    <n v="86.274509803921575"/>
    <n v="32.620689655172413"/>
    <n v="1.53276955602537"/>
    <x v="0"/>
  </r>
  <r>
    <d v="2026-05-15T00:00:00"/>
    <x v="2"/>
    <x v="4"/>
    <x v="4"/>
    <s v="35K+"/>
    <n v="520"/>
    <n v="40"/>
    <n v="9"/>
    <n v="551"/>
    <n v="17"/>
    <n v="4"/>
    <s v="Correct"/>
    <n v="52.941176470588239"/>
    <n v="11.678571428571429"/>
    <n v="47.180428134556571"/>
    <x v="2"/>
  </r>
  <r>
    <d v="2026-05-15T00:00:00"/>
    <x v="3"/>
    <x v="5"/>
    <x v="0"/>
    <s v="25K-35K"/>
    <n v="273"/>
    <n v="15"/>
    <n v="17"/>
    <n v="271"/>
    <n v="26"/>
    <n v="4"/>
    <s v="Correct"/>
    <n v="65.384615384615387"/>
    <n v="20.84375"/>
    <n v="13.001499250374813"/>
    <x v="0"/>
  </r>
  <r>
    <d v="2026-05-15T00:00:00"/>
    <x v="3"/>
    <x v="5"/>
    <x v="1"/>
    <s v="20K-25K"/>
    <n v="288"/>
    <n v="36"/>
    <n v="27"/>
    <n v="297"/>
    <n v="42"/>
    <n v="5"/>
    <s v="Correct"/>
    <n v="64.285714285714292"/>
    <n v="21.46875"/>
    <n v="13.834061135371179"/>
    <x v="0"/>
  </r>
  <r>
    <d v="2026-05-15T00:00:00"/>
    <x v="3"/>
    <x v="5"/>
    <x v="2"/>
    <s v="10K-15K"/>
    <n v="114"/>
    <n v="6"/>
    <n v="16"/>
    <n v="104"/>
    <n v="28"/>
    <n v="1"/>
    <s v="Correct"/>
    <n v="57.142857142857139"/>
    <n v="30.586206896551722"/>
    <n v="3.4002254791431796"/>
    <x v="0"/>
  </r>
  <r>
    <d v="2026-05-15T00:00:00"/>
    <x v="3"/>
    <x v="5"/>
    <x v="3"/>
    <s v="Below 10K"/>
    <n v="113"/>
    <n v="36"/>
    <n v="25"/>
    <n v="124"/>
    <n v="31"/>
    <n v="3"/>
    <s v="Correct"/>
    <n v="80.645161290322577"/>
    <n v="32.299999999999997"/>
    <n v="3.839009287925697"/>
    <x v="0"/>
  </r>
  <r>
    <d v="2026-05-15T00:00:00"/>
    <x v="3"/>
    <x v="5"/>
    <x v="4"/>
    <s v="35K+"/>
    <n v="584"/>
    <n v="50"/>
    <n v="12"/>
    <n v="622"/>
    <n v="26"/>
    <n v="3"/>
    <s v="Correct"/>
    <n v="46.153846153846153"/>
    <n v="10.413793103448276"/>
    <n v="59.728476821192054"/>
    <x v="2"/>
  </r>
  <r>
    <d v="2026-05-15T00:00:00"/>
    <x v="4"/>
    <x v="6"/>
    <x v="0"/>
    <s v="25K-35K"/>
    <n v="187"/>
    <n v="13"/>
    <n v="12"/>
    <n v="188"/>
    <n v="19"/>
    <n v="5"/>
    <s v="Correct"/>
    <n v="63.157894736842103"/>
    <n v="20.70967741935484"/>
    <n v="9.0778816199376937"/>
    <x v="0"/>
  </r>
  <r>
    <d v="2026-05-15T00:00:00"/>
    <x v="4"/>
    <x v="6"/>
    <x v="1"/>
    <s v="20K-25K"/>
    <n v="277"/>
    <n v="9"/>
    <n v="19"/>
    <n v="267"/>
    <n v="20"/>
    <n v="2"/>
    <s v="Correct"/>
    <n v="95"/>
    <n v="22.142857142857142"/>
    <n v="12.058064516129033"/>
    <x v="0"/>
  </r>
  <r>
    <d v="2026-05-15T00:00:00"/>
    <x v="4"/>
    <x v="6"/>
    <x v="2"/>
    <s v="10K-15K"/>
    <n v="185"/>
    <n v="27"/>
    <n v="29"/>
    <n v="183"/>
    <n v="37"/>
    <n v="4"/>
    <s v="Correct"/>
    <n v="78.378378378378372"/>
    <n v="30.275862068965516"/>
    <n v="6.0444191343963558"/>
    <x v="0"/>
  </r>
  <r>
    <d v="2026-05-15T00:00:00"/>
    <x v="4"/>
    <x v="6"/>
    <x v="3"/>
    <s v="Below 10K"/>
    <n v="310"/>
    <n v="22"/>
    <n v="21"/>
    <n v="311"/>
    <n v="26"/>
    <n v="2"/>
    <s v="Correct"/>
    <n v="80.769230769230774"/>
    <n v="30.931034482758619"/>
    <n v="10.054626532887402"/>
    <x v="0"/>
  </r>
  <r>
    <d v="2026-05-15T00:00:00"/>
    <x v="4"/>
    <x v="6"/>
    <x v="4"/>
    <s v="35K+"/>
    <n v="410"/>
    <n v="4"/>
    <n v="14"/>
    <n v="400"/>
    <n v="18"/>
    <n v="4"/>
    <s v="Correct"/>
    <n v="77.777777777777786"/>
    <n v="10.25"/>
    <n v="39.024390243902438"/>
    <x v="2"/>
  </r>
  <r>
    <d v="2026-05-16T00:00:00"/>
    <x v="0"/>
    <x v="0"/>
    <x v="0"/>
    <s v="25K-35K"/>
    <n v="371"/>
    <n v="56"/>
    <n v="28"/>
    <n v="399"/>
    <n v="37"/>
    <n v="2"/>
    <s v="Correct"/>
    <n v="75.675675675675677"/>
    <n v="21.666666666666668"/>
    <n v="18.415384615384614"/>
    <x v="1"/>
  </r>
  <r>
    <d v="2026-05-16T00:00:00"/>
    <x v="0"/>
    <x v="0"/>
    <x v="1"/>
    <s v="20K-25K"/>
    <n v="304"/>
    <n v="15"/>
    <n v="23"/>
    <n v="296"/>
    <n v="33"/>
    <n v="1"/>
    <s v="Correct"/>
    <n v="69.696969696969703"/>
    <n v="20.030303030303031"/>
    <n v="14.777609682299545"/>
    <x v="0"/>
  </r>
  <r>
    <d v="2026-05-16T00:00:00"/>
    <x v="0"/>
    <x v="0"/>
    <x v="2"/>
    <s v="10K-15K"/>
    <n v="177"/>
    <n v="35"/>
    <n v="24"/>
    <n v="188"/>
    <n v="33"/>
    <n v="5"/>
    <s v="Correct"/>
    <n v="72.727272727272734"/>
    <n v="33.34375"/>
    <n v="5.6382380506091847"/>
    <x v="0"/>
  </r>
  <r>
    <d v="2026-05-16T00:00:00"/>
    <x v="0"/>
    <x v="0"/>
    <x v="3"/>
    <s v="Below 10K"/>
    <n v="71"/>
    <n v="19"/>
    <n v="22"/>
    <n v="68"/>
    <n v="29"/>
    <n v="2"/>
    <s v="Correct"/>
    <n v="75.862068965517238"/>
    <n v="34.515151515151516"/>
    <n v="1.9701492537313432"/>
    <x v="0"/>
  </r>
  <r>
    <d v="2026-05-16T00:00:00"/>
    <x v="0"/>
    <x v="0"/>
    <x v="4"/>
    <s v="35K+"/>
    <n v="318"/>
    <n v="6"/>
    <n v="10"/>
    <n v="314"/>
    <n v="15"/>
    <n v="5"/>
    <s v="Correct"/>
    <n v="66.666666666666657"/>
    <n v="9.9032258064516121"/>
    <n v="31.706840390879481"/>
    <x v="2"/>
  </r>
  <r>
    <d v="2026-05-16T00:00:00"/>
    <x v="0"/>
    <x v="1"/>
    <x v="0"/>
    <s v="25K-35K"/>
    <n v="208"/>
    <n v="49"/>
    <n v="19"/>
    <n v="238"/>
    <n v="20"/>
    <n v="3"/>
    <s v="Correct"/>
    <n v="95"/>
    <n v="21.35483870967742"/>
    <n v="11.145015105740182"/>
    <x v="0"/>
  </r>
  <r>
    <d v="2026-05-16T00:00:00"/>
    <x v="0"/>
    <x v="1"/>
    <x v="1"/>
    <s v="20K-25K"/>
    <n v="192"/>
    <n v="21"/>
    <n v="25"/>
    <n v="188"/>
    <n v="33"/>
    <n v="4"/>
    <s v="Correct"/>
    <n v="75.757575757575751"/>
    <n v="21.9"/>
    <n v="8.5844748858447488"/>
    <x v="0"/>
  </r>
  <r>
    <d v="2026-05-16T00:00:00"/>
    <x v="0"/>
    <x v="1"/>
    <x v="2"/>
    <s v="10K-15K"/>
    <n v="125"/>
    <n v="11"/>
    <n v="15"/>
    <n v="121"/>
    <n v="30"/>
    <n v="4"/>
    <s v="Correct"/>
    <n v="50"/>
    <n v="31.586206896551722"/>
    <n v="3.8307860262008737"/>
    <x v="0"/>
  </r>
  <r>
    <d v="2026-05-16T00:00:00"/>
    <x v="0"/>
    <x v="1"/>
    <x v="3"/>
    <s v="Below 10K"/>
    <n v="3"/>
    <n v="35"/>
    <n v="40"/>
    <n v="-2"/>
    <n v="50"/>
    <n v="5"/>
    <s v="Need verification"/>
    <n v="80"/>
    <n v="34.200000000000003"/>
    <n v="-5.8479532163742687E-2"/>
    <x v="0"/>
  </r>
  <r>
    <d v="2026-05-16T00:00:00"/>
    <x v="0"/>
    <x v="1"/>
    <x v="4"/>
    <s v="35K+"/>
    <n v="408"/>
    <n v="2"/>
    <n v="5"/>
    <n v="405"/>
    <n v="7"/>
    <n v="3"/>
    <s v="Correct"/>
    <n v="71.428571428571431"/>
    <n v="10.96551724137931"/>
    <n v="36.933962264150949"/>
    <x v="2"/>
  </r>
  <r>
    <d v="2026-05-16T00:00:00"/>
    <x v="0"/>
    <x v="2"/>
    <x v="0"/>
    <s v="25K-35K"/>
    <n v="258"/>
    <n v="15"/>
    <n v="18"/>
    <n v="255"/>
    <n v="19"/>
    <n v="1"/>
    <s v="Correct"/>
    <n v="94.73684210526315"/>
    <n v="20.7"/>
    <n v="12.318840579710145"/>
    <x v="0"/>
  </r>
  <r>
    <d v="2026-05-16T00:00:00"/>
    <x v="0"/>
    <x v="2"/>
    <x v="1"/>
    <s v="20K-25K"/>
    <n v="260"/>
    <n v="48"/>
    <n v="34"/>
    <n v="274"/>
    <n v="41"/>
    <n v="5"/>
    <s v="Correct"/>
    <n v="82.926829268292678"/>
    <n v="23.758620689655171"/>
    <n v="11.532656023222062"/>
    <x v="0"/>
  </r>
  <r>
    <d v="2026-05-16T00:00:00"/>
    <x v="0"/>
    <x v="2"/>
    <x v="2"/>
    <s v="10K-15K"/>
    <n v="196"/>
    <n v="10"/>
    <n v="41"/>
    <n v="165"/>
    <n v="54"/>
    <n v="5"/>
    <s v="Correct"/>
    <n v="75.925925925925924"/>
    <n v="31.142857142857142"/>
    <n v="5.2981651376146788"/>
    <x v="0"/>
  </r>
  <r>
    <d v="2026-05-16T00:00:00"/>
    <x v="0"/>
    <x v="2"/>
    <x v="3"/>
    <s v="Below 10K"/>
    <n v="204"/>
    <n v="23"/>
    <n v="36"/>
    <n v="191"/>
    <n v="49"/>
    <n v="4"/>
    <s v="Correct"/>
    <n v="73.469387755102048"/>
    <n v="31.137931034482758"/>
    <n v="6.1339977851605756"/>
    <x v="0"/>
  </r>
  <r>
    <d v="2026-05-16T00:00:00"/>
    <x v="0"/>
    <x v="2"/>
    <x v="4"/>
    <s v="35K+"/>
    <n v="417"/>
    <n v="38"/>
    <n v="30"/>
    <n v="425"/>
    <n v="19"/>
    <n v="2"/>
    <s v="Correct"/>
    <n v="157.89473684210526"/>
    <n v="11.3"/>
    <n v="37.610619469026545"/>
    <x v="2"/>
  </r>
  <r>
    <d v="2026-05-16T00:00:00"/>
    <x v="1"/>
    <x v="3"/>
    <x v="0"/>
    <s v="25K-35K"/>
    <n v="423"/>
    <n v="14"/>
    <n v="16"/>
    <n v="421"/>
    <n v="31"/>
    <n v="2"/>
    <s v="Correct"/>
    <n v="51.612903225806448"/>
    <n v="22.258064516129032"/>
    <n v="18.91449275362319"/>
    <x v="1"/>
  </r>
  <r>
    <d v="2026-05-16T00:00:00"/>
    <x v="1"/>
    <x v="3"/>
    <x v="1"/>
    <s v="20K-25K"/>
    <n v="264"/>
    <n v="5"/>
    <n v="17"/>
    <n v="252"/>
    <n v="26"/>
    <n v="3"/>
    <s v="Correct"/>
    <n v="65.384615384615387"/>
    <n v="20.172413793103448"/>
    <n v="12.492307692307692"/>
    <x v="0"/>
  </r>
  <r>
    <d v="2026-05-16T00:00:00"/>
    <x v="1"/>
    <x v="3"/>
    <x v="2"/>
    <s v="10K-15K"/>
    <n v="182"/>
    <n v="21"/>
    <n v="44"/>
    <n v="159"/>
    <n v="58"/>
    <n v="3"/>
    <s v="Correct"/>
    <n v="75.862068965517238"/>
    <n v="29.733333333333334"/>
    <n v="5.3475336322869955"/>
    <x v="0"/>
  </r>
  <r>
    <d v="2026-05-16T00:00:00"/>
    <x v="1"/>
    <x v="3"/>
    <x v="3"/>
    <s v="Below 10K"/>
    <n v="282"/>
    <n v="54"/>
    <n v="21"/>
    <n v="315"/>
    <n v="32"/>
    <n v="5"/>
    <s v="Correct"/>
    <n v="65.625"/>
    <n v="30.724137931034484"/>
    <n v="10.252525252525253"/>
    <x v="0"/>
  </r>
  <r>
    <d v="2026-05-16T00:00:00"/>
    <x v="1"/>
    <x v="3"/>
    <x v="4"/>
    <s v="35K+"/>
    <n v="342"/>
    <n v="5"/>
    <n v="12"/>
    <n v="335"/>
    <n v="15"/>
    <n v="5"/>
    <s v="Correct"/>
    <n v="80"/>
    <n v="11.566666666666666"/>
    <n v="28.962536023054756"/>
    <x v="1"/>
  </r>
  <r>
    <d v="2026-05-16T00:00:00"/>
    <x v="2"/>
    <x v="4"/>
    <x v="0"/>
    <s v="25K-35K"/>
    <n v="286"/>
    <n v="26"/>
    <n v="14"/>
    <n v="298"/>
    <n v="14"/>
    <n v="3"/>
    <s v="Correct"/>
    <n v="100"/>
    <n v="22.25"/>
    <n v="13.393258426966293"/>
    <x v="0"/>
  </r>
  <r>
    <d v="2026-05-16T00:00:00"/>
    <x v="2"/>
    <x v="4"/>
    <x v="1"/>
    <s v="20K-25K"/>
    <n v="249"/>
    <n v="56"/>
    <n v="11"/>
    <n v="294"/>
    <n v="17"/>
    <n v="5"/>
    <s v="Correct"/>
    <n v="64.705882352941174"/>
    <n v="19.96551724137931"/>
    <n v="14.72538860103627"/>
    <x v="0"/>
  </r>
  <r>
    <d v="2026-05-16T00:00:00"/>
    <x v="2"/>
    <x v="4"/>
    <x v="2"/>
    <s v="10K-15K"/>
    <n v="60"/>
    <n v="58"/>
    <n v="20"/>
    <n v="98"/>
    <n v="35"/>
    <n v="4"/>
    <s v="Correct"/>
    <n v="57.142857142857139"/>
    <n v="31.206896551724139"/>
    <n v="3.1403314917127072"/>
    <x v="0"/>
  </r>
  <r>
    <d v="2026-05-16T00:00:00"/>
    <x v="2"/>
    <x v="4"/>
    <x v="3"/>
    <s v="Below 10K"/>
    <n v="50"/>
    <n v="6"/>
    <n v="19"/>
    <n v="37"/>
    <n v="27"/>
    <n v="5"/>
    <s v="Correct"/>
    <n v="70.370370370370367"/>
    <n v="32.620689655172413"/>
    <n v="1.1342494714587739"/>
    <x v="0"/>
  </r>
  <r>
    <d v="2026-05-16T00:00:00"/>
    <x v="2"/>
    <x v="4"/>
    <x v="4"/>
    <s v="35K+"/>
    <n v="551"/>
    <n v="46"/>
    <n v="16"/>
    <n v="581"/>
    <n v="26"/>
    <n v="5"/>
    <s v="Correct"/>
    <n v="61.53846153846154"/>
    <n v="11.678571428571429"/>
    <n v="49.749235474006113"/>
    <x v="2"/>
  </r>
  <r>
    <d v="2026-05-16T00:00:00"/>
    <x v="3"/>
    <x v="5"/>
    <x v="0"/>
    <s v="25K-35K"/>
    <n v="271"/>
    <n v="52"/>
    <n v="9"/>
    <n v="314"/>
    <n v="14"/>
    <n v="5"/>
    <s v="Correct"/>
    <n v="64.285714285714292"/>
    <n v="20.84375"/>
    <n v="15.064467766116941"/>
    <x v="1"/>
  </r>
  <r>
    <d v="2026-05-16T00:00:00"/>
    <x v="3"/>
    <x v="5"/>
    <x v="1"/>
    <s v="20K-25K"/>
    <n v="297"/>
    <n v="36"/>
    <n v="17"/>
    <n v="316"/>
    <n v="32"/>
    <n v="2"/>
    <s v="Correct"/>
    <n v="53.125"/>
    <n v="21.46875"/>
    <n v="14.719068413391557"/>
    <x v="0"/>
  </r>
  <r>
    <d v="2026-05-16T00:00:00"/>
    <x v="3"/>
    <x v="5"/>
    <x v="2"/>
    <s v="10K-15K"/>
    <n v="104"/>
    <n v="5"/>
    <n v="21"/>
    <n v="88"/>
    <n v="25"/>
    <n v="5"/>
    <s v="Correct"/>
    <n v="84"/>
    <n v="30.586206896551722"/>
    <n v="2.8771138669673055"/>
    <x v="0"/>
  </r>
  <r>
    <d v="2026-05-16T00:00:00"/>
    <x v="3"/>
    <x v="5"/>
    <x v="3"/>
    <s v="Below 10K"/>
    <n v="124"/>
    <n v="59"/>
    <n v="45"/>
    <n v="138"/>
    <n v="49"/>
    <n v="2"/>
    <s v="Correct"/>
    <n v="91.83673469387756"/>
    <n v="32.299999999999997"/>
    <n v="4.272445820433437"/>
    <x v="0"/>
  </r>
  <r>
    <d v="2026-05-16T00:00:00"/>
    <x v="3"/>
    <x v="5"/>
    <x v="4"/>
    <s v="35K+"/>
    <n v="622"/>
    <n v="42"/>
    <n v="12"/>
    <n v="652"/>
    <n v="17"/>
    <n v="2"/>
    <s v="Correct"/>
    <n v="70.588235294117652"/>
    <n v="10.413793103448276"/>
    <n v="62.609271523178805"/>
    <x v="2"/>
  </r>
  <r>
    <d v="2026-05-16T00:00:00"/>
    <x v="4"/>
    <x v="6"/>
    <x v="0"/>
    <s v="25K-35K"/>
    <n v="188"/>
    <n v="33"/>
    <n v="12"/>
    <n v="209"/>
    <n v="23"/>
    <n v="3"/>
    <s v="Correct"/>
    <n v="52.173913043478258"/>
    <n v="20.70967741935484"/>
    <n v="10.09190031152648"/>
    <x v="0"/>
  </r>
  <r>
    <d v="2026-05-16T00:00:00"/>
    <x v="4"/>
    <x v="6"/>
    <x v="1"/>
    <s v="20K-25K"/>
    <n v="267"/>
    <n v="7"/>
    <n v="15"/>
    <n v="259"/>
    <n v="18"/>
    <n v="1"/>
    <s v="Correct"/>
    <n v="83.333333333333343"/>
    <n v="22.142857142857142"/>
    <n v="11.696774193548388"/>
    <x v="0"/>
  </r>
  <r>
    <d v="2026-05-16T00:00:00"/>
    <x v="4"/>
    <x v="6"/>
    <x v="2"/>
    <s v="10K-15K"/>
    <n v="183"/>
    <n v="53"/>
    <n v="35"/>
    <n v="201"/>
    <n v="40"/>
    <n v="4"/>
    <s v="Correct"/>
    <n v="87.5"/>
    <n v="30.275862068965516"/>
    <n v="6.6389521640091118"/>
    <x v="0"/>
  </r>
  <r>
    <d v="2026-05-16T00:00:00"/>
    <x v="4"/>
    <x v="6"/>
    <x v="3"/>
    <s v="Below 10K"/>
    <n v="311"/>
    <n v="52"/>
    <n v="29"/>
    <n v="334"/>
    <n v="34"/>
    <n v="5"/>
    <s v="Correct"/>
    <n v="85.294117647058826"/>
    <n v="30.931034482758619"/>
    <n v="10.798216276477147"/>
    <x v="0"/>
  </r>
  <r>
    <d v="2026-05-16T00:00:00"/>
    <x v="4"/>
    <x v="6"/>
    <x v="4"/>
    <s v="35K+"/>
    <n v="400"/>
    <n v="42"/>
    <n v="18"/>
    <n v="424"/>
    <n v="18"/>
    <n v="1"/>
    <s v="Correct"/>
    <n v="100"/>
    <n v="10.25"/>
    <n v="41.365853658536587"/>
    <x v="2"/>
  </r>
  <r>
    <d v="2026-05-17T00:00:00"/>
    <x v="0"/>
    <x v="0"/>
    <x v="0"/>
    <s v="25K-35K"/>
    <n v="399"/>
    <n v="58"/>
    <n v="21"/>
    <n v="436"/>
    <n v="28"/>
    <n v="5"/>
    <s v="Correct"/>
    <n v="75"/>
    <n v="21.666666666666668"/>
    <n v="20.123076923076923"/>
    <x v="1"/>
  </r>
  <r>
    <d v="2026-05-17T00:00:00"/>
    <x v="0"/>
    <x v="0"/>
    <x v="1"/>
    <s v="20K-25K"/>
    <n v="296"/>
    <n v="13"/>
    <n v="19"/>
    <n v="290"/>
    <n v="20"/>
    <n v="3"/>
    <s v="Correct"/>
    <n v="95"/>
    <n v="20.030303030303031"/>
    <n v="14.478063540090771"/>
    <x v="0"/>
  </r>
  <r>
    <d v="2026-05-17T00:00:00"/>
    <x v="0"/>
    <x v="0"/>
    <x v="2"/>
    <s v="10K-15K"/>
    <n v="188"/>
    <n v="26"/>
    <n v="15"/>
    <n v="199"/>
    <n v="16"/>
    <n v="4"/>
    <s v="Correct"/>
    <n v="93.75"/>
    <n v="33.34375"/>
    <n v="5.9681349578256793"/>
    <x v="0"/>
  </r>
  <r>
    <d v="2026-05-17T00:00:00"/>
    <x v="0"/>
    <x v="0"/>
    <x v="3"/>
    <s v="Below 10K"/>
    <n v="68"/>
    <n v="1"/>
    <n v="29"/>
    <n v="40"/>
    <n v="36"/>
    <n v="5"/>
    <s v="Correct"/>
    <n v="80.555555555555557"/>
    <n v="34.515151515151516"/>
    <n v="1.1589113257243195"/>
    <x v="0"/>
  </r>
  <r>
    <d v="2026-05-17T00:00:00"/>
    <x v="0"/>
    <x v="0"/>
    <x v="4"/>
    <s v="35K+"/>
    <n v="314"/>
    <n v="33"/>
    <n v="15"/>
    <n v="332"/>
    <n v="26"/>
    <n v="1"/>
    <s v="Correct"/>
    <n v="57.692307692307686"/>
    <n v="9.9032258064516121"/>
    <n v="33.524429967426713"/>
    <x v="2"/>
  </r>
  <r>
    <d v="2026-05-17T00:00:00"/>
    <x v="0"/>
    <x v="1"/>
    <x v="0"/>
    <s v="25K-35K"/>
    <n v="238"/>
    <n v="20"/>
    <n v="24"/>
    <n v="234"/>
    <n v="26"/>
    <n v="5"/>
    <s v="Correct"/>
    <n v="92.307692307692307"/>
    <n v="21.35483870967742"/>
    <n v="10.957703927492448"/>
    <x v="0"/>
  </r>
  <r>
    <d v="2026-05-17T00:00:00"/>
    <x v="0"/>
    <x v="1"/>
    <x v="1"/>
    <s v="20K-25K"/>
    <n v="188"/>
    <n v="59"/>
    <n v="23"/>
    <n v="224"/>
    <n v="30"/>
    <n v="5"/>
    <s v="Correct"/>
    <n v="76.666666666666671"/>
    <n v="21.9"/>
    <n v="10.228310502283106"/>
    <x v="0"/>
  </r>
  <r>
    <d v="2026-05-17T00:00:00"/>
    <x v="0"/>
    <x v="1"/>
    <x v="2"/>
    <s v="10K-15K"/>
    <n v="121"/>
    <n v="28"/>
    <n v="36"/>
    <n v="113"/>
    <n v="37"/>
    <n v="5"/>
    <s v="Correct"/>
    <n v="97.297297297297305"/>
    <n v="31.586206896551722"/>
    <n v="3.5775109170305677"/>
    <x v="0"/>
  </r>
  <r>
    <d v="2026-05-17T00:00:00"/>
    <x v="0"/>
    <x v="1"/>
    <x v="3"/>
    <s v="Below 10K"/>
    <n v="19"/>
    <n v="21"/>
    <n v="45"/>
    <n v="-5"/>
    <n v="48"/>
    <n v="1"/>
    <s v="Need verification"/>
    <n v="93.75"/>
    <n v="34.200000000000003"/>
    <n v="-0.14619883040935672"/>
    <x v="0"/>
  </r>
  <r>
    <d v="2026-05-17T00:00:00"/>
    <x v="0"/>
    <x v="1"/>
    <x v="4"/>
    <s v="35K+"/>
    <n v="405"/>
    <n v="49"/>
    <n v="17"/>
    <n v="437"/>
    <n v="25"/>
    <n v="3"/>
    <s v="Correct"/>
    <n v="68"/>
    <n v="10.96551724137931"/>
    <n v="39.852201257861637"/>
    <x v="2"/>
  </r>
  <r>
    <d v="2026-05-17T00:00:00"/>
    <x v="0"/>
    <x v="2"/>
    <x v="0"/>
    <s v="25K-35K"/>
    <n v="255"/>
    <n v="2"/>
    <n v="24"/>
    <n v="233"/>
    <n v="30"/>
    <n v="2"/>
    <s v="Correct"/>
    <n v="80"/>
    <n v="20.7"/>
    <n v="11.256038647342995"/>
    <x v="0"/>
  </r>
  <r>
    <d v="2026-05-17T00:00:00"/>
    <x v="3"/>
    <x v="5"/>
    <x v="1"/>
    <s v="20K-25K"/>
    <n v="274"/>
    <n v="45"/>
    <n v="13"/>
    <n v="306"/>
    <n v="17"/>
    <n v="5"/>
    <s v="Correct"/>
    <n v="76.470588235294116"/>
    <n v="21.46875"/>
    <n v="14.253275109170305"/>
    <x v="0"/>
  </r>
  <r>
    <d v="2026-05-17T00:00:00"/>
    <x v="0"/>
    <x v="2"/>
    <x v="2"/>
    <s v="10K-15K"/>
    <n v="165"/>
    <n v="30"/>
    <n v="26"/>
    <n v="169"/>
    <n v="38"/>
    <n v="3"/>
    <s v="Correct"/>
    <n v="68.421052631578945"/>
    <n v="31.142857142857142"/>
    <n v="5.4266055045871564"/>
    <x v="0"/>
  </r>
  <r>
    <d v="2026-05-17T00:00:00"/>
    <x v="0"/>
    <x v="2"/>
    <x v="3"/>
    <s v="Below 10K"/>
    <n v="191"/>
    <n v="60"/>
    <n v="43"/>
    <n v="208"/>
    <n v="58"/>
    <n v="3"/>
    <s v="Correct"/>
    <n v="74.137931034482762"/>
    <n v="31.137931034482758"/>
    <n v="6.6799557032115171"/>
    <x v="0"/>
  </r>
  <r>
    <d v="2026-05-17T00:00:00"/>
    <x v="0"/>
    <x v="2"/>
    <x v="4"/>
    <s v="35K+"/>
    <n v="449"/>
    <n v="49"/>
    <n v="10"/>
    <n v="488"/>
    <n v="12"/>
    <n v="1"/>
    <s v="Correct"/>
    <n v="83.333333333333343"/>
    <n v="11.3"/>
    <n v="43.185840707964601"/>
    <x v="2"/>
  </r>
  <r>
    <d v="2026-05-17T00:00:00"/>
    <x v="1"/>
    <x v="3"/>
    <x v="0"/>
    <s v="25K-35K"/>
    <n v="421"/>
    <n v="51"/>
    <n v="28"/>
    <n v="444"/>
    <n v="35"/>
    <n v="3"/>
    <s v="Correct"/>
    <n v="80"/>
    <n v="22.258064516129032"/>
    <n v="19.947826086956521"/>
    <x v="1"/>
  </r>
  <r>
    <d v="2026-05-17T00:00:00"/>
    <x v="1"/>
    <x v="3"/>
    <x v="1"/>
    <s v="20K-25K"/>
    <n v="252"/>
    <n v="55"/>
    <n v="17"/>
    <n v="290"/>
    <n v="23"/>
    <n v="2"/>
    <s v="Correct"/>
    <n v="73.91304347826086"/>
    <n v="20.172413793103448"/>
    <n v="14.376068376068377"/>
    <x v="0"/>
  </r>
  <r>
    <d v="2026-05-17T00:00:00"/>
    <x v="1"/>
    <x v="3"/>
    <x v="2"/>
    <s v="10K-15K"/>
    <n v="159"/>
    <n v="60"/>
    <n v="15"/>
    <n v="204"/>
    <n v="24"/>
    <n v="5"/>
    <s v="Correct"/>
    <n v="62.5"/>
    <n v="29.733333333333334"/>
    <n v="6.8609865470852016"/>
    <x v="0"/>
  </r>
  <r>
    <d v="2026-05-17T00:00:00"/>
    <x v="1"/>
    <x v="3"/>
    <x v="3"/>
    <s v="Below 10K"/>
    <n v="315"/>
    <n v="27"/>
    <n v="35"/>
    <n v="307"/>
    <n v="43"/>
    <n v="1"/>
    <s v="Correct"/>
    <n v="81.395348837209298"/>
    <n v="30.724137931034484"/>
    <n v="9.9921436588103258"/>
    <x v="0"/>
  </r>
  <r>
    <d v="2026-05-17T00:00:00"/>
    <x v="1"/>
    <x v="3"/>
    <x v="4"/>
    <s v="35K+"/>
    <n v="335"/>
    <n v="10"/>
    <n v="13"/>
    <n v="332"/>
    <n v="22"/>
    <n v="4"/>
    <s v="Correct"/>
    <n v="59.090909090909093"/>
    <n v="11.566666666666666"/>
    <n v="28.703170028818445"/>
    <x v="1"/>
  </r>
  <r>
    <d v="2026-05-17T00:00:00"/>
    <x v="2"/>
    <x v="4"/>
    <x v="0"/>
    <s v="25K-35K"/>
    <n v="298"/>
    <n v="14"/>
    <n v="25"/>
    <n v="287"/>
    <n v="40"/>
    <n v="3"/>
    <s v="Correct"/>
    <n v="62.5"/>
    <n v="22.25"/>
    <n v="12.898876404494382"/>
    <x v="0"/>
  </r>
  <r>
    <d v="2026-05-17T00:00:00"/>
    <x v="2"/>
    <x v="4"/>
    <x v="1"/>
    <s v="20K-25K"/>
    <n v="294"/>
    <n v="60"/>
    <n v="30"/>
    <n v="324"/>
    <n v="33"/>
    <n v="5"/>
    <s v="Correct"/>
    <n v="90.909090909090907"/>
    <n v="19.96551724137931"/>
    <n v="16.2279792746114"/>
    <x v="1"/>
  </r>
  <r>
    <d v="2026-05-17T00:00:00"/>
    <x v="2"/>
    <x v="4"/>
    <x v="2"/>
    <s v="10K-15K"/>
    <n v="98"/>
    <n v="6"/>
    <n v="15"/>
    <n v="89"/>
    <n v="30"/>
    <n v="2"/>
    <s v="Correct"/>
    <n v="50"/>
    <n v="31.206896551724139"/>
    <n v="2.8519337016574586"/>
    <x v="0"/>
  </r>
  <r>
    <d v="2026-05-17T00:00:00"/>
    <x v="2"/>
    <x v="4"/>
    <x v="3"/>
    <s v="Below 10K"/>
    <n v="37"/>
    <n v="12"/>
    <n v="50"/>
    <n v="-1"/>
    <n v="52"/>
    <n v="2"/>
    <s v="Need verification"/>
    <n v="96.15384615384616"/>
    <n v="32.620689655172413"/>
    <n v="-3.06553911205074E-2"/>
    <x v="0"/>
  </r>
  <r>
    <d v="2026-05-17T00:00:00"/>
    <x v="2"/>
    <x v="4"/>
    <x v="4"/>
    <s v="35K+"/>
    <n v="581"/>
    <n v="22"/>
    <n v="15"/>
    <n v="588"/>
    <n v="15"/>
    <n v="4"/>
    <s v="Correct"/>
    <n v="100"/>
    <n v="11.678571428571429"/>
    <n v="50.348623853211009"/>
    <x v="2"/>
  </r>
  <r>
    <d v="2026-05-17T00:00:00"/>
    <x v="3"/>
    <x v="5"/>
    <x v="0"/>
    <s v="25K-35K"/>
    <n v="314"/>
    <n v="14"/>
    <n v="30"/>
    <n v="298"/>
    <n v="32"/>
    <n v="5"/>
    <s v="Correct"/>
    <n v="93.75"/>
    <n v="20.84375"/>
    <n v="14.296851574212894"/>
    <x v="0"/>
  </r>
  <r>
    <d v="2026-05-17T00:00:00"/>
    <x v="3"/>
    <x v="5"/>
    <x v="1"/>
    <s v="20K-25K"/>
    <n v="316"/>
    <n v="60"/>
    <n v="29"/>
    <n v="347"/>
    <n v="30"/>
    <n v="4"/>
    <s v="Correct"/>
    <n v="96.666666666666671"/>
    <n v="21.46875"/>
    <n v="16.163027656477439"/>
    <x v="1"/>
  </r>
  <r>
    <d v="2026-05-17T00:00:00"/>
    <x v="3"/>
    <x v="5"/>
    <x v="2"/>
    <s v="10K-15K"/>
    <n v="88"/>
    <n v="43"/>
    <n v="24"/>
    <n v="107"/>
    <n v="32"/>
    <n v="2"/>
    <s v="Correct"/>
    <n v="75"/>
    <n v="30.586206896551722"/>
    <n v="3.4983089064261557"/>
    <x v="0"/>
  </r>
  <r>
    <d v="2026-05-17T00:00:00"/>
    <x v="3"/>
    <x v="5"/>
    <x v="3"/>
    <s v="Below 10K"/>
    <n v="138"/>
    <n v="38"/>
    <n v="49"/>
    <n v="127"/>
    <n v="53"/>
    <n v="1"/>
    <s v="Correct"/>
    <n v="92.452830188679243"/>
    <n v="32.299999999999997"/>
    <n v="3.9318885448916414"/>
    <x v="0"/>
  </r>
  <r>
    <d v="2026-05-17T00:00:00"/>
    <x v="3"/>
    <x v="5"/>
    <x v="4"/>
    <s v="35K+"/>
    <n v="652"/>
    <n v="54"/>
    <n v="15"/>
    <n v="691"/>
    <n v="22"/>
    <n v="1"/>
    <s v="Correct"/>
    <n v="68.181818181818173"/>
    <n v="10.413793103448276"/>
    <n v="66.354304635761594"/>
    <x v="2"/>
  </r>
  <r>
    <d v="2026-05-17T00:00:00"/>
    <x v="4"/>
    <x v="6"/>
    <x v="0"/>
    <s v="25K-35K"/>
    <n v="209"/>
    <n v="8"/>
    <n v="34"/>
    <n v="183"/>
    <n v="49"/>
    <n v="2"/>
    <s v="Correct"/>
    <n v="69.387755102040813"/>
    <n v="20.70967741935484"/>
    <n v="8.8364485981308398"/>
    <x v="0"/>
  </r>
  <r>
    <d v="2026-05-17T00:00:00"/>
    <x v="4"/>
    <x v="6"/>
    <x v="1"/>
    <s v="20K-25K"/>
    <n v="259"/>
    <n v="15"/>
    <n v="27"/>
    <n v="247"/>
    <n v="31"/>
    <n v="3"/>
    <s v="Correct"/>
    <n v="87.096774193548384"/>
    <n v="22.142857142857142"/>
    <n v="11.154838709677419"/>
    <x v="0"/>
  </r>
  <r>
    <d v="2026-05-17T00:00:00"/>
    <x v="4"/>
    <x v="6"/>
    <x v="2"/>
    <s v="10K-15K"/>
    <n v="201"/>
    <n v="5"/>
    <n v="21"/>
    <n v="185"/>
    <n v="27"/>
    <n v="3"/>
    <s v="Correct"/>
    <n v="77.777777777777786"/>
    <n v="30.275862068965516"/>
    <n v="6.1104783599088837"/>
    <x v="0"/>
  </r>
  <r>
    <d v="2026-05-17T00:00:00"/>
    <x v="4"/>
    <x v="6"/>
    <x v="3"/>
    <s v="Below 10K"/>
    <n v="334"/>
    <n v="22"/>
    <n v="35"/>
    <n v="321"/>
    <n v="36"/>
    <n v="3"/>
    <s v="Correct"/>
    <n v="97.222222222222214"/>
    <n v="30.931034482758619"/>
    <n v="10.377926421404682"/>
    <x v="0"/>
  </r>
  <r>
    <d v="2026-05-17T00:00:00"/>
    <x v="4"/>
    <x v="6"/>
    <x v="4"/>
    <s v="35K+"/>
    <n v="424"/>
    <n v="0"/>
    <n v="9"/>
    <n v="415"/>
    <n v="17"/>
    <n v="4"/>
    <s v="Correct"/>
    <n v="52.941176470588239"/>
    <n v="10.25"/>
    <n v="40.487804878048777"/>
    <x v="2"/>
  </r>
  <r>
    <d v="2026-05-18T00:00:00"/>
    <x v="0"/>
    <x v="0"/>
    <x v="0"/>
    <s v="25K-35K"/>
    <n v="436"/>
    <n v="33"/>
    <n v="19"/>
    <n v="450"/>
    <n v="34"/>
    <n v="1"/>
    <s v="Correct"/>
    <n v="55.882352941176471"/>
    <n v="21.666666666666668"/>
    <n v="20.769230769230766"/>
    <x v="1"/>
  </r>
  <r>
    <d v="2026-05-18T00:00:00"/>
    <x v="0"/>
    <x v="0"/>
    <x v="1"/>
    <s v="20K-25K"/>
    <n v="290"/>
    <n v="51"/>
    <n v="24"/>
    <n v="317"/>
    <n v="33"/>
    <n v="2"/>
    <s v="Correct"/>
    <n v="72.727272727272734"/>
    <n v="20.030303030303031"/>
    <n v="15.826021180030256"/>
    <x v="1"/>
  </r>
  <r>
    <d v="2026-05-18T00:00:00"/>
    <x v="0"/>
    <x v="0"/>
    <x v="2"/>
    <s v="10K-15K"/>
    <n v="199"/>
    <n v="59"/>
    <n v="40"/>
    <n v="218"/>
    <n v="48"/>
    <n v="5"/>
    <s v="Correct"/>
    <n v="83.333333333333343"/>
    <n v="33.34375"/>
    <n v="6.537956888472352"/>
    <x v="0"/>
  </r>
  <r>
    <d v="2026-05-18T00:00:00"/>
    <x v="0"/>
    <x v="0"/>
    <x v="3"/>
    <s v="Below 10K"/>
    <n v="40"/>
    <n v="44"/>
    <n v="36"/>
    <n v="48"/>
    <n v="39"/>
    <n v="4"/>
    <s v="Correct"/>
    <n v="92.307692307692307"/>
    <n v="34.515151515151516"/>
    <n v="1.3906935908691835"/>
    <x v="0"/>
  </r>
  <r>
    <d v="2026-05-18T00:00:00"/>
    <x v="0"/>
    <x v="0"/>
    <x v="4"/>
    <s v="35K+"/>
    <n v="332"/>
    <n v="28"/>
    <n v="15"/>
    <n v="345"/>
    <n v="27"/>
    <n v="3"/>
    <s v="Correct"/>
    <n v="55.555555555555557"/>
    <n v="9.9032258064516121"/>
    <n v="34.837133550488602"/>
    <x v="2"/>
  </r>
  <r>
    <d v="2026-05-18T00:00:00"/>
    <x v="0"/>
    <x v="1"/>
    <x v="0"/>
    <s v="25K-35K"/>
    <n v="234"/>
    <n v="54"/>
    <n v="15"/>
    <n v="273"/>
    <n v="26"/>
    <n v="1"/>
    <s v="Correct"/>
    <n v="57.692307692307686"/>
    <n v="21.35483870967742"/>
    <n v="12.783987915407854"/>
    <x v="0"/>
  </r>
  <r>
    <d v="2026-05-18T00:00:00"/>
    <x v="0"/>
    <x v="1"/>
    <x v="1"/>
    <s v="20K-25K"/>
    <n v="224"/>
    <n v="15"/>
    <n v="32"/>
    <n v="207"/>
    <n v="37"/>
    <n v="4"/>
    <s v="Correct"/>
    <n v="86.486486486486484"/>
    <n v="21.9"/>
    <n v="9.4520547945205493"/>
    <x v="0"/>
  </r>
  <r>
    <d v="2026-05-18T00:00:00"/>
    <x v="0"/>
    <x v="1"/>
    <x v="2"/>
    <s v="10K-15K"/>
    <n v="113"/>
    <n v="35"/>
    <n v="37"/>
    <n v="111"/>
    <n v="48"/>
    <n v="5"/>
    <s v="Correct"/>
    <n v="77.083333333333343"/>
    <n v="31.586206896551722"/>
    <n v="3.5141921397379914"/>
    <x v="0"/>
  </r>
  <r>
    <d v="2026-05-29T00:00:00"/>
    <x v="0"/>
    <x v="1"/>
    <x v="3"/>
    <s v="Below 10K"/>
    <n v="20"/>
    <n v="60"/>
    <n v="31"/>
    <n v="49"/>
    <n v="44"/>
    <n v="5"/>
    <s v="Correct"/>
    <n v="70.454545454545453"/>
    <n v="34.200000000000003"/>
    <n v="1.4327485380116958"/>
    <x v="0"/>
  </r>
  <r>
    <d v="2026-05-18T00:00:00"/>
    <x v="0"/>
    <x v="1"/>
    <x v="4"/>
    <s v="35K+"/>
    <n v="437"/>
    <n v="26"/>
    <n v="7"/>
    <n v="456"/>
    <n v="12"/>
    <n v="4"/>
    <s v="Correct"/>
    <n v="58.333333333333336"/>
    <n v="10.96551724137931"/>
    <n v="41.584905660377359"/>
    <x v="2"/>
  </r>
  <r>
    <d v="2026-05-18T00:00:00"/>
    <x v="0"/>
    <x v="2"/>
    <x v="0"/>
    <s v="25K-35K"/>
    <n v="233"/>
    <n v="19"/>
    <n v="11"/>
    <n v="241"/>
    <n v="20"/>
    <n v="1"/>
    <s v="Correct"/>
    <n v="55.000000000000007"/>
    <n v="20.7"/>
    <n v="11.642512077294686"/>
    <x v="0"/>
  </r>
  <r>
    <d v="2026-05-18T00:00:00"/>
    <x v="0"/>
    <x v="2"/>
    <x v="1"/>
    <s v="20K-25K"/>
    <n v="306"/>
    <n v="31"/>
    <n v="11"/>
    <n v="326"/>
    <n v="25"/>
    <n v="5"/>
    <s v="Correct"/>
    <n v="44"/>
    <n v="23.758620689655171"/>
    <n v="13.721335268505081"/>
    <x v="0"/>
  </r>
  <r>
    <d v="2026-05-18T00:00:00"/>
    <x v="0"/>
    <x v="2"/>
    <x v="2"/>
    <s v="10K-15K"/>
    <n v="169"/>
    <n v="9"/>
    <n v="48"/>
    <n v="130"/>
    <n v="62"/>
    <n v="3"/>
    <s v="Correct"/>
    <n v="77.41935483870968"/>
    <n v="31.142857142857142"/>
    <n v="4.1743119266055047"/>
    <x v="0"/>
  </r>
  <r>
    <d v="2026-05-18T00:00:00"/>
    <x v="0"/>
    <x v="2"/>
    <x v="3"/>
    <s v="Below 10K"/>
    <n v="208"/>
    <n v="3"/>
    <n v="34"/>
    <n v="177"/>
    <n v="35"/>
    <n v="1"/>
    <s v="Correct"/>
    <n v="97.142857142857139"/>
    <n v="31.137931034482758"/>
    <n v="5.6843853820598005"/>
    <x v="0"/>
  </r>
  <r>
    <d v="2026-05-18T00:00:00"/>
    <x v="0"/>
    <x v="2"/>
    <x v="4"/>
    <s v="35K+"/>
    <n v="488"/>
    <n v="48"/>
    <n v="11"/>
    <n v="525"/>
    <n v="20"/>
    <n v="5"/>
    <s v="Correct"/>
    <n v="55.000000000000007"/>
    <n v="11.3"/>
    <n v="46.460176991150441"/>
    <x v="2"/>
  </r>
  <r>
    <d v="2026-05-18T00:00:00"/>
    <x v="1"/>
    <x v="3"/>
    <x v="0"/>
    <s v="25K-35K"/>
    <n v="444"/>
    <n v="57"/>
    <n v="10"/>
    <n v="491"/>
    <n v="21"/>
    <n v="3"/>
    <s v="Correct"/>
    <n v="47.619047619047613"/>
    <n v="22.258064516129032"/>
    <n v="22.059420289855073"/>
    <x v="1"/>
  </r>
  <r>
    <d v="2026-05-18T00:00:00"/>
    <x v="1"/>
    <x v="3"/>
    <x v="1"/>
    <s v="20K-25K"/>
    <n v="290"/>
    <n v="29"/>
    <n v="27"/>
    <n v="292"/>
    <n v="35"/>
    <n v="3"/>
    <s v="Correct"/>
    <n v="77.142857142857153"/>
    <n v="20.172413793103448"/>
    <n v="14.475213675213675"/>
    <x v="0"/>
  </r>
  <r>
    <d v="2026-05-18T00:00:00"/>
    <x v="1"/>
    <x v="3"/>
    <x v="2"/>
    <s v="10K-15K"/>
    <n v="204"/>
    <n v="43"/>
    <n v="41"/>
    <n v="206"/>
    <n v="47"/>
    <n v="2"/>
    <s v="Correct"/>
    <n v="87.2340425531915"/>
    <n v="29.733333333333334"/>
    <n v="6.928251121076233"/>
    <x v="0"/>
  </r>
  <r>
    <d v="2026-05-18T00:00:00"/>
    <x v="1"/>
    <x v="3"/>
    <x v="3"/>
    <s v="Below 10K"/>
    <n v="307"/>
    <n v="27"/>
    <n v="19"/>
    <n v="315"/>
    <n v="23"/>
    <n v="3"/>
    <s v="Correct"/>
    <n v="82.608695652173907"/>
    <n v="30.724137931034484"/>
    <n v="10.252525252525253"/>
    <x v="0"/>
  </r>
  <r>
    <d v="2026-05-18T00:00:00"/>
    <x v="1"/>
    <x v="3"/>
    <x v="4"/>
    <s v="35K+"/>
    <n v="332"/>
    <n v="27"/>
    <n v="6"/>
    <n v="353"/>
    <n v="7"/>
    <n v="3"/>
    <s v="Correct"/>
    <n v="85.714285714285708"/>
    <n v="11.566666666666666"/>
    <n v="30.518731988472624"/>
    <x v="2"/>
  </r>
  <r>
    <d v="2026-05-18T00:00:00"/>
    <x v="0"/>
    <x v="0"/>
    <x v="0"/>
    <s v="25K-35K"/>
    <n v="287"/>
    <n v="57"/>
    <n v="23"/>
    <n v="321"/>
    <n v="28"/>
    <n v="2"/>
    <s v="Correct"/>
    <n v="82.142857142857139"/>
    <n v="21.666666666666668"/>
    <n v="14.815384615384614"/>
    <x v="0"/>
  </r>
  <r>
    <d v="2026-05-18T00:00:00"/>
    <x v="2"/>
    <x v="4"/>
    <x v="1"/>
    <s v="20K-25K"/>
    <n v="327"/>
    <n v="12"/>
    <n v="25"/>
    <n v="314"/>
    <n v="25"/>
    <n v="3"/>
    <s v="Correct"/>
    <n v="100"/>
    <n v="19.96551724137931"/>
    <n v="15.727115716753023"/>
    <x v="1"/>
  </r>
  <r>
    <d v="2026-05-18T00:00:00"/>
    <x v="2"/>
    <x v="4"/>
    <x v="2"/>
    <s v="10K-15K"/>
    <n v="89"/>
    <n v="57"/>
    <n v="23"/>
    <n v="123"/>
    <n v="37"/>
    <n v="4"/>
    <s v="Correct"/>
    <n v="62.162162162162161"/>
    <n v="31.206896551724139"/>
    <n v="3.9414364640883979"/>
    <x v="0"/>
  </r>
  <r>
    <d v="2026-05-18T00:00:00"/>
    <x v="2"/>
    <x v="4"/>
    <x v="3"/>
    <s v="Below 10K"/>
    <n v="20"/>
    <n v="57"/>
    <n v="45"/>
    <n v="32"/>
    <n v="45"/>
    <n v="5"/>
    <s v="Correct"/>
    <n v="100"/>
    <n v="32.620689655172413"/>
    <n v="0.98097251585623679"/>
    <x v="0"/>
  </r>
  <r>
    <d v="2026-05-18T00:00:00"/>
    <x v="2"/>
    <x v="4"/>
    <x v="0"/>
    <s v="35K+"/>
    <n v="588"/>
    <n v="7"/>
    <n v="8"/>
    <n v="587"/>
    <n v="8"/>
    <n v="1"/>
    <s v="Correct"/>
    <n v="100"/>
    <n v="22.25"/>
    <n v="26.382022471910112"/>
    <x v="1"/>
  </r>
  <r>
    <d v="2026-05-18T00:00:00"/>
    <x v="3"/>
    <x v="5"/>
    <x v="0"/>
    <s v="25K-35K"/>
    <n v="298"/>
    <n v="46"/>
    <n v="28"/>
    <n v="316"/>
    <n v="43"/>
    <n v="4"/>
    <s v="Correct"/>
    <n v="65.116279069767444"/>
    <n v="20.84375"/>
    <n v="15.160419790104948"/>
    <x v="1"/>
  </r>
  <r>
    <d v="2026-05-18T00:00:00"/>
    <x v="3"/>
    <x v="5"/>
    <x v="1"/>
    <s v="20K-25K"/>
    <n v="347"/>
    <n v="54"/>
    <n v="8"/>
    <n v="393"/>
    <n v="23"/>
    <n v="1"/>
    <s v="Correct"/>
    <n v="34.782608695652172"/>
    <n v="21.46875"/>
    <n v="18.305676855895197"/>
    <x v="1"/>
  </r>
  <r>
    <d v="2026-05-18T00:00:00"/>
    <x v="3"/>
    <x v="5"/>
    <x v="2"/>
    <s v="10K-15K"/>
    <n v="107"/>
    <n v="23"/>
    <n v="16"/>
    <n v="114"/>
    <n v="0"/>
    <n v="4"/>
    <s v="Correct"/>
    <n v="0"/>
    <n v="30.586206896551722"/>
    <n v="3.7271702367531003"/>
    <x v="0"/>
  </r>
  <r>
    <d v="2026-05-18T00:00:00"/>
    <x v="3"/>
    <x v="5"/>
    <x v="3"/>
    <s v="Below 10K"/>
    <n v="127"/>
    <n v="8"/>
    <n v="32"/>
    <n v="103"/>
    <n v="37"/>
    <n v="2"/>
    <s v="Correct"/>
    <n v="86.486486486486484"/>
    <n v="32.299999999999997"/>
    <n v="3.1888544891640871"/>
    <x v="0"/>
  </r>
  <r>
    <d v="2026-05-18T00:00:00"/>
    <x v="3"/>
    <x v="5"/>
    <x v="4"/>
    <s v="35K+"/>
    <n v="691"/>
    <n v="12"/>
    <n v="4"/>
    <n v="699"/>
    <n v="11"/>
    <n v="4"/>
    <s v="Correct"/>
    <n v="36.363636363636367"/>
    <n v="10.413793103448276"/>
    <n v="67.122516556291387"/>
    <x v="2"/>
  </r>
  <r>
    <d v="2026-05-18T00:00:00"/>
    <x v="4"/>
    <x v="6"/>
    <x v="0"/>
    <s v="25K-35K"/>
    <n v="183"/>
    <n v="50"/>
    <n v="16"/>
    <n v="217"/>
    <n v="31"/>
    <n v="1"/>
    <s v="Correct"/>
    <n v="51.612903225806448"/>
    <n v="20.70967741935484"/>
    <n v="10.478193146417444"/>
    <x v="0"/>
  </r>
  <r>
    <d v="2026-05-18T00:00:00"/>
    <x v="3"/>
    <x v="5"/>
    <x v="1"/>
    <s v="20K-25K"/>
    <n v="247"/>
    <n v="45"/>
    <n v="24"/>
    <n v="268"/>
    <n v="29"/>
    <n v="2"/>
    <s v="Correct"/>
    <n v="82.758620689655174"/>
    <n v="21.46875"/>
    <n v="12.483260553129549"/>
    <x v="0"/>
  </r>
  <r>
    <d v="2026-05-18T00:00:00"/>
    <x v="4"/>
    <x v="6"/>
    <x v="2"/>
    <s v="10K-15K"/>
    <n v="185"/>
    <n v="12"/>
    <n v="23"/>
    <n v="174"/>
    <n v="37"/>
    <n v="5"/>
    <s v="Correct"/>
    <n v="62.162162162162161"/>
    <n v="30.275862068965516"/>
    <n v="5.7471526195899774"/>
    <x v="0"/>
  </r>
  <r>
    <d v="2026-05-18T00:00:00"/>
    <x v="4"/>
    <x v="6"/>
    <x v="3"/>
    <s v="Below 10K"/>
    <n v="321"/>
    <n v="55"/>
    <n v="29"/>
    <n v="347"/>
    <n v="39"/>
    <n v="1"/>
    <s v="Correct"/>
    <n v="74.358974358974365"/>
    <n v="30.931034482758619"/>
    <n v="11.21850613154961"/>
    <x v="0"/>
  </r>
  <r>
    <d v="2026-05-18T00:00:00"/>
    <x v="4"/>
    <x v="6"/>
    <x v="4"/>
    <s v="35K+"/>
    <n v="415"/>
    <n v="37"/>
    <n v="11"/>
    <n v="441"/>
    <n v="17"/>
    <n v="5"/>
    <s v="Correct"/>
    <n v="64.705882352941174"/>
    <n v="10.25"/>
    <n v="43.024390243902438"/>
    <x v="2"/>
  </r>
  <r>
    <d v="2026-05-19T00:00:00"/>
    <x v="0"/>
    <x v="0"/>
    <x v="0"/>
    <s v="25K-35K"/>
    <n v="450"/>
    <n v="48"/>
    <n v="25"/>
    <n v="473"/>
    <n v="28"/>
    <n v="1"/>
    <s v="Correct"/>
    <n v="89.285714285714292"/>
    <n v="21.666666666666668"/>
    <n v="21.830769230769228"/>
    <x v="1"/>
  </r>
  <r>
    <d v="2026-05-19T00:00:00"/>
    <x v="0"/>
    <x v="0"/>
    <x v="1"/>
    <s v="20K-25K"/>
    <n v="317"/>
    <n v="5"/>
    <n v="17"/>
    <n v="305"/>
    <n v="23"/>
    <n v="1"/>
    <s v="Correct"/>
    <n v="73.91304347826086"/>
    <n v="20.030303030303031"/>
    <n v="15.226928895612707"/>
    <x v="1"/>
  </r>
  <r>
    <d v="2026-05-19T00:00:00"/>
    <x v="0"/>
    <x v="0"/>
    <x v="2"/>
    <s v="10K-15K"/>
    <n v="218"/>
    <n v="25"/>
    <n v="50"/>
    <n v="193"/>
    <n v="55"/>
    <n v="2"/>
    <s v="Correct"/>
    <n v="90.909090909090907"/>
    <n v="33.34375"/>
    <n v="5.7881911902530456"/>
    <x v="0"/>
  </r>
  <r>
    <d v="2026-05-19T00:00:00"/>
    <x v="0"/>
    <x v="0"/>
    <x v="3"/>
    <s v="Below 10K"/>
    <n v="48"/>
    <n v="51"/>
    <n v="38"/>
    <n v="61"/>
    <n v="42"/>
    <n v="4"/>
    <s v="Correct"/>
    <n v="90.476190476190482"/>
    <n v="34.515151515151516"/>
    <n v="1.7673397717295873"/>
    <x v="0"/>
  </r>
  <r>
    <d v="2026-05-19T00:00:00"/>
    <x v="0"/>
    <x v="0"/>
    <x v="4"/>
    <s v="35K+"/>
    <n v="345"/>
    <n v="41"/>
    <n v="9"/>
    <n v="377"/>
    <n v="24"/>
    <n v="5"/>
    <s v="Correct"/>
    <n v="37.5"/>
    <n v="9.9032258064516121"/>
    <n v="38.068403908794792"/>
    <x v="2"/>
  </r>
  <r>
    <d v="2026-05-19T00:00:00"/>
    <x v="0"/>
    <x v="0"/>
    <x v="0"/>
    <s v="25K-35K"/>
    <n v="273"/>
    <n v="33"/>
    <n v="35"/>
    <n v="271"/>
    <n v="44"/>
    <n v="5"/>
    <s v="Correct"/>
    <n v="79.545454545454547"/>
    <n v="21.666666666666668"/>
    <n v="12.507692307692308"/>
    <x v="0"/>
  </r>
  <r>
    <d v="2026-05-19T00:00:00"/>
    <x v="0"/>
    <x v="1"/>
    <x v="1"/>
    <s v="20K-25K"/>
    <n v="207"/>
    <n v="28"/>
    <n v="22"/>
    <n v="213"/>
    <n v="37"/>
    <n v="1"/>
    <s v="Correct"/>
    <n v="59.45945945945946"/>
    <n v="21.9"/>
    <n v="9.7260273972602747"/>
    <x v="0"/>
  </r>
  <r>
    <d v="2026-05-19T00:00:00"/>
    <x v="0"/>
    <x v="1"/>
    <x v="2"/>
    <s v="10K-15K"/>
    <n v="111"/>
    <n v="60"/>
    <n v="22"/>
    <n v="149"/>
    <n v="28"/>
    <n v="3"/>
    <s v="Correct"/>
    <n v="78.571428571428569"/>
    <n v="31.586206896551722"/>
    <n v="4.7172489082969431"/>
    <x v="0"/>
  </r>
  <r>
    <d v="2026-05-19T00:00:00"/>
    <x v="0"/>
    <x v="1"/>
    <x v="3"/>
    <s v="Below 10K"/>
    <n v="49"/>
    <n v="16"/>
    <n v="50"/>
    <n v="15"/>
    <n v="61"/>
    <n v="3"/>
    <s v="Correct"/>
    <n v="81.967213114754102"/>
    <n v="34.200000000000003"/>
    <n v="0.43859649122807015"/>
    <x v="0"/>
  </r>
  <r>
    <d v="2026-05-19T00:00:00"/>
    <x v="0"/>
    <x v="1"/>
    <x v="4"/>
    <s v="35K+"/>
    <n v="456"/>
    <n v="6"/>
    <n v="11"/>
    <n v="451"/>
    <n v="26"/>
    <n v="3"/>
    <s v="Correct"/>
    <n v="42.307692307692307"/>
    <n v="10.96551724137931"/>
    <n v="41.128930817610069"/>
    <x v="2"/>
  </r>
  <r>
    <d v="2026-05-19T00:00:00"/>
    <x v="0"/>
    <x v="2"/>
    <x v="0"/>
    <s v="25K-35K"/>
    <n v="241"/>
    <n v="51"/>
    <n v="31"/>
    <n v="261"/>
    <n v="42"/>
    <n v="4"/>
    <s v="Correct"/>
    <n v="73.80952380952381"/>
    <n v="20.7"/>
    <n v="12.608695652173914"/>
    <x v="0"/>
  </r>
  <r>
    <d v="2026-05-19T00:00:00"/>
    <x v="0"/>
    <x v="2"/>
    <x v="1"/>
    <s v="20K-25K"/>
    <n v="326"/>
    <n v="20"/>
    <n v="25"/>
    <n v="321"/>
    <n v="40"/>
    <n v="2"/>
    <s v="Correct"/>
    <n v="62.5"/>
    <n v="23.758620689655171"/>
    <n v="13.510885341074021"/>
    <x v="0"/>
  </r>
  <r>
    <d v="2026-05-19T00:00:00"/>
    <x v="0"/>
    <x v="2"/>
    <x v="2"/>
    <s v="10K-15K"/>
    <n v="130"/>
    <n v="10"/>
    <n v="23"/>
    <n v="117"/>
    <n v="26"/>
    <n v="5"/>
    <s v="Correct"/>
    <n v="88.461538461538453"/>
    <n v="31.142857142857142"/>
    <n v="3.7568807339449544"/>
    <x v="0"/>
  </r>
  <r>
    <d v="2026-05-19T00:00:00"/>
    <x v="0"/>
    <x v="2"/>
    <x v="3"/>
    <s v="Below 10K"/>
    <n v="177"/>
    <n v="22"/>
    <n v="18"/>
    <n v="181"/>
    <n v="28"/>
    <n v="3"/>
    <s v="Correct"/>
    <n v="64.285714285714292"/>
    <n v="31.137931034482758"/>
    <n v="5.8128460686600221"/>
    <x v="0"/>
  </r>
  <r>
    <d v="2026-05-19T00:00:00"/>
    <x v="0"/>
    <x v="2"/>
    <x v="4"/>
    <s v="35K+"/>
    <n v="525"/>
    <n v="31"/>
    <n v="8"/>
    <n v="548"/>
    <n v="8"/>
    <n v="3"/>
    <s v="Correct"/>
    <n v="100"/>
    <n v="11.3"/>
    <n v="48.495575221238937"/>
    <x v="2"/>
  </r>
  <r>
    <d v="2026-05-19T00:00:00"/>
    <x v="1"/>
    <x v="3"/>
    <x v="0"/>
    <s v="25K-35K"/>
    <n v="491"/>
    <n v="55"/>
    <n v="33"/>
    <n v="513"/>
    <n v="35"/>
    <n v="2"/>
    <s v="Correct"/>
    <n v="94.285714285714278"/>
    <n v="22.258064516129032"/>
    <n v="23.047826086956523"/>
    <x v="1"/>
  </r>
  <r>
    <d v="2026-05-19T00:00:00"/>
    <x v="1"/>
    <x v="3"/>
    <x v="1"/>
    <s v="20K-25K"/>
    <n v="292"/>
    <n v="34"/>
    <n v="9"/>
    <n v="317"/>
    <n v="20"/>
    <n v="1"/>
    <s v="Correct"/>
    <n v="45"/>
    <n v="20.172413793103448"/>
    <n v="15.714529914529914"/>
    <x v="1"/>
  </r>
  <r>
    <d v="2026-05-19T00:00:00"/>
    <x v="1"/>
    <x v="3"/>
    <x v="2"/>
    <s v="10K-15K"/>
    <n v="206"/>
    <n v="0"/>
    <n v="43"/>
    <n v="163"/>
    <n v="57"/>
    <n v="2"/>
    <s v="Correct"/>
    <n v="75.438596491228068"/>
    <n v="29.733333333333334"/>
    <n v="5.4820627802690582"/>
    <x v="0"/>
  </r>
  <r>
    <d v="2026-05-19T00:00:00"/>
    <x v="1"/>
    <x v="3"/>
    <x v="3"/>
    <s v="Below 10K"/>
    <n v="315"/>
    <n v="9"/>
    <n v="19"/>
    <n v="305"/>
    <n v="20"/>
    <n v="3"/>
    <s v="Correct"/>
    <n v="95"/>
    <n v="30.724137931034484"/>
    <n v="9.9270482603815928"/>
    <x v="0"/>
  </r>
  <r>
    <d v="2026-05-19T00:00:00"/>
    <x v="1"/>
    <x v="3"/>
    <x v="4"/>
    <s v="35K+"/>
    <n v="353"/>
    <n v="29"/>
    <n v="17"/>
    <n v="365"/>
    <n v="22"/>
    <n v="3"/>
    <s v="Correct"/>
    <n v="77.272727272727266"/>
    <n v="11.566666666666666"/>
    <n v="31.556195965417867"/>
    <x v="2"/>
  </r>
  <r>
    <d v="2026-05-19T00:00:00"/>
    <x v="2"/>
    <x v="4"/>
    <x v="0"/>
    <s v="25K-35K"/>
    <n v="321"/>
    <n v="51"/>
    <n v="25"/>
    <n v="347"/>
    <n v="34"/>
    <n v="1"/>
    <s v="Correct"/>
    <n v="73.529411764705884"/>
    <n v="22.25"/>
    <n v="15.595505617977528"/>
    <x v="1"/>
  </r>
  <r>
    <d v="2026-05-19T00:00:00"/>
    <x v="2"/>
    <x v="4"/>
    <x v="1"/>
    <s v="20K-25K"/>
    <n v="314"/>
    <n v="56"/>
    <n v="18"/>
    <n v="352"/>
    <n v="30"/>
    <n v="3"/>
    <s v="Correct"/>
    <n v="60"/>
    <n v="19.96551724137931"/>
    <n v="17.630397236614854"/>
    <x v="1"/>
  </r>
  <r>
    <d v="2026-05-19T00:00:00"/>
    <x v="2"/>
    <x v="4"/>
    <x v="2"/>
    <s v="10K-15K"/>
    <n v="123"/>
    <n v="45"/>
    <n v="41"/>
    <n v="127"/>
    <n v="50"/>
    <n v="4"/>
    <s v="Correct"/>
    <n v="82"/>
    <n v="31.206896551724139"/>
    <n v="4.0696132596685084"/>
    <x v="0"/>
  </r>
  <r>
    <d v="2026-05-19T00:00:00"/>
    <x v="2"/>
    <x v="4"/>
    <x v="3"/>
    <s v="Below 10K"/>
    <n v="32"/>
    <n v="41"/>
    <n v="19"/>
    <n v="54"/>
    <n v="29"/>
    <n v="3"/>
    <s v="Correct"/>
    <n v="65.517241379310349"/>
    <n v="32.620689655172413"/>
    <n v="1.6553911205073997"/>
    <x v="0"/>
  </r>
  <r>
    <d v="2026-05-19T00:00:00"/>
    <x v="2"/>
    <x v="4"/>
    <x v="4"/>
    <s v="35K+"/>
    <n v="587"/>
    <n v="45"/>
    <n v="3"/>
    <n v="629"/>
    <n v="4"/>
    <n v="5"/>
    <s v="Correct"/>
    <n v="75"/>
    <n v="11.678571428571429"/>
    <n v="53.859327217125383"/>
    <x v="2"/>
  </r>
  <r>
    <d v="2026-05-19T00:00:00"/>
    <x v="3"/>
    <x v="5"/>
    <x v="0"/>
    <s v="25K-35K"/>
    <n v="316"/>
    <n v="39"/>
    <n v="23"/>
    <n v="332"/>
    <n v="25"/>
    <n v="1"/>
    <s v="Correct"/>
    <n v="92"/>
    <n v="20.84375"/>
    <n v="15.928035982008996"/>
    <x v="1"/>
  </r>
  <r>
    <d v="2026-05-19T00:00:00"/>
    <x v="3"/>
    <x v="5"/>
    <x v="1"/>
    <s v="20K-25K"/>
    <n v="393"/>
    <n v="13"/>
    <n v="24"/>
    <n v="382"/>
    <n v="37"/>
    <n v="4"/>
    <s v="Correct"/>
    <n v="64.86486486486487"/>
    <n v="21.46875"/>
    <n v="17.79330422125182"/>
    <x v="1"/>
  </r>
  <r>
    <d v="2026-05-20T00:00:00"/>
    <x v="3"/>
    <x v="5"/>
    <x v="2"/>
    <s v="10K-15K"/>
    <n v="114"/>
    <n v="48"/>
    <n v="22"/>
    <n v="140"/>
    <n v="31"/>
    <n v="3"/>
    <s v="Correct"/>
    <n v="70.967741935483872"/>
    <n v="30.586206896551722"/>
    <n v="4.5772266065388951"/>
    <x v="0"/>
  </r>
  <r>
    <d v="2026-05-19T00:00:00"/>
    <x v="3"/>
    <x v="5"/>
    <x v="3"/>
    <s v="Below 10K"/>
    <n v="103"/>
    <n v="32"/>
    <n v="25"/>
    <n v="110"/>
    <n v="40"/>
    <n v="3"/>
    <s v="Correct"/>
    <n v="62.5"/>
    <n v="32.299999999999997"/>
    <n v="3.4055727554179569"/>
    <x v="0"/>
  </r>
  <r>
    <d v="2026-05-19T00:00:00"/>
    <x v="3"/>
    <x v="5"/>
    <x v="4"/>
    <s v="35K+"/>
    <n v="699"/>
    <n v="4"/>
    <n v="15"/>
    <n v="688"/>
    <n v="28"/>
    <n v="1"/>
    <s v="Correct"/>
    <n v="53.571428571428569"/>
    <n v="10.413793103448276"/>
    <n v="66.066225165562912"/>
    <x v="2"/>
  </r>
  <r>
    <d v="2026-05-19T00:00:00"/>
    <x v="4"/>
    <x v="6"/>
    <x v="0"/>
    <s v="25K-35K"/>
    <n v="217"/>
    <n v="21"/>
    <n v="13"/>
    <n v="225"/>
    <n v="26"/>
    <n v="4"/>
    <s v="Correct"/>
    <n v="50"/>
    <n v="20.70967741935484"/>
    <n v="10.864485981308411"/>
    <x v="0"/>
  </r>
  <r>
    <d v="2026-05-19T00:00:00"/>
    <x v="4"/>
    <x v="6"/>
    <x v="1"/>
    <s v="20K-25K"/>
    <n v="268"/>
    <n v="1"/>
    <n v="34"/>
    <n v="235"/>
    <n v="39"/>
    <n v="4"/>
    <s v="Correct"/>
    <n v="87.179487179487182"/>
    <n v="22.142857142857142"/>
    <n v="10.612903225806452"/>
    <x v="0"/>
  </r>
  <r>
    <d v="2026-05-19T00:00:00"/>
    <x v="4"/>
    <x v="6"/>
    <x v="2"/>
    <s v="10K-15K"/>
    <n v="174"/>
    <n v="3"/>
    <n v="48"/>
    <n v="129"/>
    <n v="51"/>
    <n v="4"/>
    <s v="Correct"/>
    <n v="94.117647058823522"/>
    <n v="30.275862068965516"/>
    <n v="4.2608200455580869"/>
    <x v="0"/>
  </r>
  <r>
    <d v="2026-05-19T00:00:00"/>
    <x v="3"/>
    <x v="5"/>
    <x v="3"/>
    <s v="Below 10K"/>
    <n v="347"/>
    <n v="2"/>
    <n v="27"/>
    <n v="322"/>
    <n v="42"/>
    <n v="2"/>
    <s v="Correct"/>
    <n v="64.285714285714292"/>
    <n v="32.299999999999997"/>
    <n v="9.96904024767802"/>
    <x v="0"/>
  </r>
  <r>
    <d v="2026-05-19T00:00:00"/>
    <x v="4"/>
    <x v="6"/>
    <x v="4"/>
    <s v="35K+"/>
    <n v="441"/>
    <n v="35"/>
    <n v="10"/>
    <n v="466"/>
    <n v="25"/>
    <n v="5"/>
    <s v="Correct"/>
    <n v="40"/>
    <n v="10.25"/>
    <n v="45.463414634146339"/>
    <x v="2"/>
  </r>
  <r>
    <d v="2026-05-20T00:00:00"/>
    <x v="0"/>
    <x v="0"/>
    <x v="0"/>
    <s v="25K-35K"/>
    <n v="473"/>
    <n v="18"/>
    <n v="17"/>
    <n v="474"/>
    <n v="26"/>
    <n v="3"/>
    <s v="Correct"/>
    <n v="65.384615384615387"/>
    <n v="21.666666666666668"/>
    <n v="21.876923076923077"/>
    <x v="1"/>
  </r>
  <r>
    <d v="2026-05-20T00:00:00"/>
    <x v="0"/>
    <x v="0"/>
    <x v="1"/>
    <s v="20K-25K"/>
    <n v="305"/>
    <n v="43"/>
    <n v="20"/>
    <n v="328"/>
    <n v="23"/>
    <n v="2"/>
    <s v="Correct"/>
    <n v="86.956521739130437"/>
    <n v="20.030303030303031"/>
    <n v="16.375189107413011"/>
    <x v="1"/>
  </r>
  <r>
    <d v="2026-05-20T00:00:00"/>
    <x v="0"/>
    <x v="0"/>
    <x v="2"/>
    <s v="10K-15K"/>
    <n v="193"/>
    <n v="2"/>
    <n v="44"/>
    <n v="151"/>
    <n v="57"/>
    <n v="3"/>
    <s v="Correct"/>
    <n v="77.192982456140342"/>
    <n v="33.34375"/>
    <n v="4.528584817244611"/>
    <x v="0"/>
  </r>
  <r>
    <d v="2026-05-20T00:00:00"/>
    <x v="0"/>
    <x v="0"/>
    <x v="3"/>
    <s v="Below 10K"/>
    <n v="61"/>
    <n v="17"/>
    <n v="35"/>
    <n v="43"/>
    <n v="37"/>
    <n v="3"/>
    <s v="Correct"/>
    <n v="94.594594594594597"/>
    <n v="34.515151515151516"/>
    <n v="1.2458296751536435"/>
    <x v="0"/>
  </r>
  <r>
    <d v="2026-05-20T00:00:00"/>
    <x v="0"/>
    <x v="0"/>
    <x v="4"/>
    <s v="35K+"/>
    <n v="377"/>
    <n v="42"/>
    <n v="6"/>
    <n v="413"/>
    <n v="17"/>
    <n v="3"/>
    <s v="Correct"/>
    <n v="35.294117647058826"/>
    <n v="9.9032258064516121"/>
    <n v="41.703583061889255"/>
    <x v="2"/>
  </r>
  <r>
    <d v="2026-05-20T00:00:00"/>
    <x v="0"/>
    <x v="1"/>
    <x v="0"/>
    <s v="25K-35K"/>
    <n v="271"/>
    <n v="17"/>
    <n v="21"/>
    <n v="267"/>
    <n v="21"/>
    <n v="1"/>
    <s v="Correct"/>
    <n v="100"/>
    <n v="21.35483870967742"/>
    <n v="12.503021148036254"/>
    <x v="0"/>
  </r>
  <r>
    <d v="2026-05-20T00:00:00"/>
    <x v="0"/>
    <x v="1"/>
    <x v="1"/>
    <s v="20K-25K"/>
    <n v="213"/>
    <n v="31"/>
    <n v="31"/>
    <n v="213"/>
    <n v="39"/>
    <n v="2"/>
    <s v="Correct"/>
    <n v="79.487179487179489"/>
    <n v="21.9"/>
    <n v="9.7260273972602747"/>
    <x v="0"/>
  </r>
  <r>
    <d v="2026-05-20T00:00:00"/>
    <x v="0"/>
    <x v="1"/>
    <x v="2"/>
    <s v="10K-15K"/>
    <n v="149"/>
    <n v="58"/>
    <n v="27"/>
    <n v="180"/>
    <n v="31"/>
    <n v="1"/>
    <s v="Correct"/>
    <n v="87.096774193548384"/>
    <n v="31.586206896551722"/>
    <n v="5.6986899563318785"/>
    <x v="0"/>
  </r>
  <r>
    <d v="2026-05-20T00:00:00"/>
    <x v="0"/>
    <x v="1"/>
    <x v="3"/>
    <s v="Below 10K"/>
    <n v="15"/>
    <n v="24"/>
    <n v="39"/>
    <n v="0"/>
    <n v="45"/>
    <n v="5"/>
    <s v="Correct"/>
    <n v="86.666666666666671"/>
    <n v="34.200000000000003"/>
    <n v="0"/>
    <x v="0"/>
  </r>
  <r>
    <d v="2026-05-20T00:00:00"/>
    <x v="0"/>
    <x v="1"/>
    <x v="4"/>
    <s v="35K+"/>
    <n v="451"/>
    <n v="18"/>
    <n v="14"/>
    <n v="455"/>
    <n v="17"/>
    <n v="2"/>
    <s v="Correct"/>
    <n v="82.35294117647058"/>
    <n v="10.96551724137931"/>
    <n v="41.4937106918239"/>
    <x v="2"/>
  </r>
  <r>
    <d v="2026-05-20T00:00:00"/>
    <x v="0"/>
    <x v="2"/>
    <x v="0"/>
    <s v="25K-35K"/>
    <n v="261"/>
    <n v="27"/>
    <n v="35"/>
    <n v="253"/>
    <n v="37"/>
    <n v="3"/>
    <s v="Correct"/>
    <n v="94.594594594594597"/>
    <n v="20.7"/>
    <n v="12.222222222222223"/>
    <x v="0"/>
  </r>
  <r>
    <d v="2026-05-20T00:00:00"/>
    <x v="0"/>
    <x v="2"/>
    <x v="1"/>
    <s v="20K-25K"/>
    <n v="321"/>
    <n v="6"/>
    <n v="35"/>
    <n v="292"/>
    <n v="48"/>
    <n v="3"/>
    <s v="Correct"/>
    <n v="72.916666666666657"/>
    <n v="23.758620689655171"/>
    <n v="12.290275761973875"/>
    <x v="0"/>
  </r>
  <r>
    <d v="2026-05-20T00:00:00"/>
    <x v="0"/>
    <x v="2"/>
    <x v="2"/>
    <s v="10K-15K"/>
    <n v="117"/>
    <n v="6"/>
    <n v="50"/>
    <n v="73"/>
    <n v="63"/>
    <n v="4"/>
    <s v="Correct"/>
    <n v="79.365079365079367"/>
    <n v="31.142857142857142"/>
    <n v="2.3440366972477062"/>
    <x v="0"/>
  </r>
  <r>
    <d v="2026-05-20T00:00:00"/>
    <x v="0"/>
    <x v="2"/>
    <x v="3"/>
    <s v="Below 10K"/>
    <n v="181"/>
    <n v="40"/>
    <n v="37"/>
    <n v="184"/>
    <n v="46"/>
    <n v="3"/>
    <s v="Correct"/>
    <n v="80.434782608695656"/>
    <n v="31.137931034482758"/>
    <n v="5.9091915836101885"/>
    <x v="0"/>
  </r>
  <r>
    <d v="2026-05-20T00:00:00"/>
    <x v="0"/>
    <x v="2"/>
    <x v="4"/>
    <s v="35K+"/>
    <n v="548"/>
    <n v="56"/>
    <n v="9"/>
    <n v="595"/>
    <n v="15"/>
    <n v="5"/>
    <s v="Correct"/>
    <n v="60"/>
    <n v="11.3"/>
    <n v="52.654867256637168"/>
    <x v="2"/>
  </r>
  <r>
    <d v="2026-05-20T00:00:00"/>
    <x v="1"/>
    <x v="3"/>
    <x v="0"/>
    <s v="25K-35K"/>
    <n v="513"/>
    <n v="49"/>
    <n v="35"/>
    <n v="527"/>
    <n v="42"/>
    <n v="1"/>
    <s v="Correct"/>
    <n v="83.333333333333343"/>
    <n v="22.258064516129032"/>
    <n v="23.676811594202899"/>
    <x v="1"/>
  </r>
  <r>
    <d v="2026-05-20T00:00:00"/>
    <x v="1"/>
    <x v="3"/>
    <x v="1"/>
    <s v="20K-25K"/>
    <n v="317"/>
    <n v="50"/>
    <n v="14"/>
    <n v="353"/>
    <n v="25"/>
    <n v="3"/>
    <s v="Correct"/>
    <n v="56.000000000000007"/>
    <n v="20.172413793103448"/>
    <n v="17.499145299145297"/>
    <x v="1"/>
  </r>
  <r>
    <d v="2026-05-20T00:00:00"/>
    <x v="1"/>
    <x v="3"/>
    <x v="2"/>
    <s v="10K-15K"/>
    <n v="163"/>
    <n v="18"/>
    <n v="27"/>
    <n v="154"/>
    <n v="34"/>
    <n v="3"/>
    <s v="Correct"/>
    <n v="79.411764705882348"/>
    <n v="29.733333333333334"/>
    <n v="5.1793721973094167"/>
    <x v="0"/>
  </r>
  <r>
    <d v="2026-05-20T00:00:00"/>
    <x v="1"/>
    <x v="3"/>
    <x v="3"/>
    <s v="Below 10K"/>
    <n v="305"/>
    <n v="34"/>
    <n v="43"/>
    <n v="296"/>
    <n v="57"/>
    <n v="3"/>
    <s v="Correct"/>
    <n v="75.438596491228068"/>
    <n v="30.724137931034484"/>
    <n v="9.6341189674523005"/>
    <x v="0"/>
  </r>
  <r>
    <d v="2026-05-20T00:00:00"/>
    <x v="1"/>
    <x v="3"/>
    <x v="4"/>
    <s v="35K+"/>
    <n v="365"/>
    <n v="19"/>
    <n v="14"/>
    <n v="370"/>
    <n v="14"/>
    <n v="4"/>
    <s v="Correct"/>
    <n v="100"/>
    <n v="11.566666666666666"/>
    <n v="31.988472622478387"/>
    <x v="2"/>
  </r>
  <r>
    <d v="2026-05-20T00:00:00"/>
    <x v="2"/>
    <x v="4"/>
    <x v="0"/>
    <s v="25K-35K"/>
    <n v="347"/>
    <n v="20"/>
    <n v="23"/>
    <n v="344"/>
    <n v="38"/>
    <n v="1"/>
    <s v="Correct"/>
    <n v="60.526315789473685"/>
    <n v="22.25"/>
    <n v="15.460674157303371"/>
    <x v="1"/>
  </r>
  <r>
    <d v="2026-05-20T00:00:00"/>
    <x v="2"/>
    <x v="4"/>
    <x v="1"/>
    <s v="20K-25K"/>
    <n v="352"/>
    <n v="21"/>
    <n v="18"/>
    <n v="355"/>
    <n v="30"/>
    <n v="5"/>
    <s v="Correct"/>
    <n v="60"/>
    <n v="19.96551724137931"/>
    <n v="17.780656303972368"/>
    <x v="1"/>
  </r>
  <r>
    <d v="2026-05-20T00:00:00"/>
    <x v="2"/>
    <x v="4"/>
    <x v="2"/>
    <s v="10K-15K"/>
    <n v="127"/>
    <n v="5"/>
    <n v="36"/>
    <n v="96"/>
    <n v="42"/>
    <n v="2"/>
    <s v="Correct"/>
    <n v="85.714285714285708"/>
    <n v="31.206896551724139"/>
    <n v="3.0762430939226517"/>
    <x v="0"/>
  </r>
  <r>
    <d v="2026-05-20T00:00:00"/>
    <x v="2"/>
    <x v="4"/>
    <x v="3"/>
    <s v="Below 10K"/>
    <n v="54"/>
    <n v="41"/>
    <n v="30"/>
    <n v="65"/>
    <n v="39"/>
    <n v="1"/>
    <s v="Correct"/>
    <n v="76.923076923076934"/>
    <n v="32.620689655172413"/>
    <n v="1.992600422832981"/>
    <x v="0"/>
  </r>
  <r>
    <d v="2026-05-20T00:00:00"/>
    <x v="2"/>
    <x v="4"/>
    <x v="4"/>
    <s v="35K+"/>
    <n v="629"/>
    <n v="60"/>
    <n v="8"/>
    <n v="681"/>
    <n v="15"/>
    <n v="4"/>
    <s v="Correct"/>
    <n v="53.333333333333336"/>
    <n v="11.678571428571429"/>
    <n v="58.311926605504588"/>
    <x v="2"/>
  </r>
  <r>
    <d v="2026-05-20T00:00:00"/>
    <x v="3"/>
    <x v="5"/>
    <x v="0"/>
    <s v="25K-35K"/>
    <n v="332"/>
    <n v="33"/>
    <n v="9"/>
    <n v="356"/>
    <n v="10"/>
    <n v="2"/>
    <s v="Correct"/>
    <n v="90"/>
    <n v="20.84375"/>
    <n v="17.079460269865066"/>
    <x v="1"/>
  </r>
  <r>
    <d v="2026-05-20T00:00:00"/>
    <x v="3"/>
    <x v="5"/>
    <x v="1"/>
    <s v="20K-25K"/>
    <n v="382"/>
    <n v="0"/>
    <n v="18"/>
    <n v="364"/>
    <n v="26"/>
    <n v="1"/>
    <s v="Correct"/>
    <n v="69.230769230769226"/>
    <n v="21.46875"/>
    <n v="16.954876273653568"/>
    <x v="1"/>
  </r>
  <r>
    <d v="2026-05-20T00:00:00"/>
    <x v="3"/>
    <x v="5"/>
    <x v="2"/>
    <s v="10K-15K"/>
    <n v="140"/>
    <n v="7"/>
    <n v="19"/>
    <n v="128"/>
    <n v="31"/>
    <n v="3"/>
    <s v="Correct"/>
    <n v="61.29032258064516"/>
    <n v="30.586206896551722"/>
    <n v="4.1848928974069901"/>
    <x v="0"/>
  </r>
  <r>
    <d v="2026-05-20T00:00:00"/>
    <x v="3"/>
    <x v="5"/>
    <x v="3"/>
    <s v="Below 10K"/>
    <n v="110"/>
    <n v="22"/>
    <n v="39"/>
    <n v="93"/>
    <n v="44"/>
    <n v="5"/>
    <s v="Correct"/>
    <n v="88.63636363636364"/>
    <n v="32.299999999999997"/>
    <n v="2.8792569659442728"/>
    <x v="0"/>
  </r>
  <r>
    <d v="2026-05-20T00:00:00"/>
    <x v="3"/>
    <x v="5"/>
    <x v="4"/>
    <s v="35K+"/>
    <n v="688"/>
    <n v="24"/>
    <n v="3"/>
    <n v="709"/>
    <n v="18"/>
    <n v="5"/>
    <s v="Correct"/>
    <n v="16.666666666666664"/>
    <n v="10.413793103448276"/>
    <n v="68.08278145695364"/>
    <x v="2"/>
  </r>
  <r>
    <d v="2026-05-20T00:00:00"/>
    <x v="4"/>
    <x v="6"/>
    <x v="0"/>
    <s v="25K-35K"/>
    <n v="225"/>
    <n v="33"/>
    <n v="35"/>
    <n v="223"/>
    <n v="35"/>
    <n v="4"/>
    <s v="Correct"/>
    <n v="100"/>
    <n v="20.70967741935484"/>
    <n v="10.767912772585669"/>
    <x v="0"/>
  </r>
  <r>
    <d v="2026-05-20T00:00:00"/>
    <x v="4"/>
    <x v="6"/>
    <x v="1"/>
    <s v="20K-25K"/>
    <n v="235"/>
    <n v="4"/>
    <n v="30"/>
    <n v="209"/>
    <n v="31"/>
    <n v="3"/>
    <s v="Correct"/>
    <n v="96.774193548387103"/>
    <n v="22.142857142857142"/>
    <n v="9.4387096774193555"/>
    <x v="0"/>
  </r>
  <r>
    <d v="2026-05-20T00:00:00"/>
    <x v="4"/>
    <x v="6"/>
    <x v="2"/>
    <s v="10K-15K"/>
    <n v="129"/>
    <n v="6"/>
    <n v="19"/>
    <n v="116"/>
    <n v="27"/>
    <n v="4"/>
    <s v="Correct"/>
    <n v="70.370370370370367"/>
    <n v="30.275862068965516"/>
    <n v="3.8314350797266514"/>
    <x v="0"/>
  </r>
  <r>
    <d v="2026-05-20T00:00:00"/>
    <x v="4"/>
    <x v="6"/>
    <x v="3"/>
    <s v="Below 10K"/>
    <n v="322"/>
    <n v="43"/>
    <n v="24"/>
    <n v="341"/>
    <n v="0"/>
    <n v="4"/>
    <s v="Correct"/>
    <n v="0"/>
    <n v="30.931034482758619"/>
    <n v="11.024526198439242"/>
    <x v="0"/>
  </r>
  <r>
    <d v="2026-05-20T00:00:00"/>
    <x v="4"/>
    <x v="6"/>
    <x v="4"/>
    <s v="35K+"/>
    <n v="466"/>
    <n v="25"/>
    <n v="17"/>
    <n v="474"/>
    <n v="25"/>
    <n v="3"/>
    <s v="Correct"/>
    <n v="68"/>
    <n v="10.25"/>
    <n v="46.243902439024389"/>
    <x v="2"/>
  </r>
  <r>
    <d v="2026-05-21T00:00:00"/>
    <x v="0"/>
    <x v="0"/>
    <x v="0"/>
    <s v="25K-35K"/>
    <n v="474"/>
    <n v="60"/>
    <n v="10"/>
    <n v="524"/>
    <n v="13"/>
    <n v="4"/>
    <s v="Correct"/>
    <n v="76.923076923076934"/>
    <n v="21.666666666666668"/>
    <n v="24.184615384615384"/>
    <x v="1"/>
  </r>
  <r>
    <d v="2026-05-21T00:00:00"/>
    <x v="0"/>
    <x v="0"/>
    <x v="1"/>
    <s v="20K-25K"/>
    <n v="328"/>
    <n v="44"/>
    <n v="31"/>
    <n v="341"/>
    <n v="44"/>
    <n v="3"/>
    <s v="Correct"/>
    <n v="70.454545454545453"/>
    <n v="20.030303030303031"/>
    <n v="17.024205748865356"/>
    <x v="1"/>
  </r>
  <r>
    <d v="2026-05-21T00:00:00"/>
    <x v="0"/>
    <x v="0"/>
    <x v="2"/>
    <s v="10K-15K"/>
    <n v="151"/>
    <n v="33"/>
    <n v="32"/>
    <n v="152"/>
    <n v="34"/>
    <n v="2"/>
    <s v="Correct"/>
    <n v="94.117647058823522"/>
    <n v="33.34375"/>
    <n v="4.5585754451733838"/>
    <x v="0"/>
  </r>
  <r>
    <d v="2026-05-21T00:00:00"/>
    <x v="0"/>
    <x v="0"/>
    <x v="3"/>
    <s v="Below 10K"/>
    <n v="43"/>
    <n v="23"/>
    <n v="25"/>
    <n v="41"/>
    <n v="33"/>
    <n v="4"/>
    <s v="Correct"/>
    <n v="75.757575757575751"/>
    <n v="34.515151515151516"/>
    <n v="1.1878841088674275"/>
    <x v="0"/>
  </r>
  <r>
    <d v="2026-05-21T00:00:00"/>
    <x v="0"/>
    <x v="0"/>
    <x v="4"/>
    <s v="35K+"/>
    <n v="413"/>
    <n v="49"/>
    <n v="13"/>
    <n v="449"/>
    <n v="28"/>
    <n v="5"/>
    <s v="Correct"/>
    <n v="46.428571428571431"/>
    <n v="9.9032258064516121"/>
    <n v="45.338762214983717"/>
    <x v="2"/>
  </r>
  <r>
    <d v="2026-05-21T00:00:00"/>
    <x v="0"/>
    <x v="1"/>
    <x v="0"/>
    <s v="25K-35K"/>
    <n v="267"/>
    <n v="57"/>
    <n v="24"/>
    <n v="300"/>
    <n v="27"/>
    <n v="3"/>
    <s v="Correct"/>
    <n v="88.888888888888886"/>
    <n v="21.35483870967742"/>
    <n v="14.04833836858006"/>
    <x v="0"/>
  </r>
  <r>
    <d v="2026-05-21T00:00:00"/>
    <x v="0"/>
    <x v="1"/>
    <x v="1"/>
    <s v="20K-25K"/>
    <n v="213"/>
    <n v="10"/>
    <n v="34"/>
    <n v="189"/>
    <n v="42"/>
    <n v="1"/>
    <s v="Correct"/>
    <n v="80.952380952380949"/>
    <n v="21.9"/>
    <n v="8.6301369863013697"/>
    <x v="0"/>
  </r>
  <r>
    <d v="2026-05-21T00:00:00"/>
    <x v="0"/>
    <x v="1"/>
    <x v="2"/>
    <s v="10K-15K"/>
    <n v="180"/>
    <n v="15"/>
    <n v="18"/>
    <n v="177"/>
    <n v="23"/>
    <n v="2"/>
    <s v="Correct"/>
    <n v="78.260869565217391"/>
    <n v="31.586206896551722"/>
    <n v="5.6037117903930138"/>
    <x v="0"/>
  </r>
  <r>
    <d v="2026-05-21T00:00:00"/>
    <x v="0"/>
    <x v="1"/>
    <x v="3"/>
    <s v="Below 10K"/>
    <n v="0"/>
    <n v="40"/>
    <n v="21"/>
    <n v="19"/>
    <n v="22"/>
    <n v="1"/>
    <s v="Correct"/>
    <n v="95.454545454545453"/>
    <n v="34.200000000000003"/>
    <n v="0.55555555555555547"/>
    <x v="0"/>
  </r>
  <r>
    <d v="2026-05-21T00:00:00"/>
    <x v="0"/>
    <x v="1"/>
    <x v="4"/>
    <s v="35K+"/>
    <n v="455"/>
    <n v="5"/>
    <n v="13"/>
    <n v="447"/>
    <n v="16"/>
    <n v="5"/>
    <s v="Correct"/>
    <n v="81.25"/>
    <n v="10.96551724137931"/>
    <n v="40.764150943396231"/>
    <x v="2"/>
  </r>
  <r>
    <d v="2026-05-21T00:00:00"/>
    <x v="0"/>
    <x v="2"/>
    <x v="0"/>
    <s v="25K-35K"/>
    <n v="253"/>
    <n v="12"/>
    <n v="29"/>
    <n v="236"/>
    <n v="38"/>
    <n v="4"/>
    <s v="Correct"/>
    <n v="76.31578947368422"/>
    <n v="20.7"/>
    <n v="11.40096618357488"/>
    <x v="0"/>
  </r>
  <r>
    <d v="2026-05-21T00:00:00"/>
    <x v="0"/>
    <x v="2"/>
    <x v="1"/>
    <s v="20K-25K"/>
    <n v="292"/>
    <n v="14"/>
    <n v="8"/>
    <n v="298"/>
    <n v="13"/>
    <n v="2"/>
    <s v="Correct"/>
    <n v="61.53846153846154"/>
    <n v="23.758620689655171"/>
    <n v="12.542815674891147"/>
    <x v="0"/>
  </r>
  <r>
    <d v="2026-05-21T00:00:00"/>
    <x v="0"/>
    <x v="2"/>
    <x v="2"/>
    <s v="10K-15K"/>
    <n v="73"/>
    <n v="24"/>
    <n v="25"/>
    <n v="72"/>
    <n v="38"/>
    <n v="2"/>
    <s v="Correct"/>
    <n v="65.789473684210535"/>
    <n v="31.142857142857142"/>
    <n v="2.3119266055045871"/>
    <x v="0"/>
  </r>
  <r>
    <d v="2026-05-21T00:00:00"/>
    <x v="0"/>
    <x v="2"/>
    <x v="3"/>
    <s v="Below 10K"/>
    <n v="184"/>
    <n v="40"/>
    <n v="48"/>
    <n v="176"/>
    <n v="59"/>
    <n v="5"/>
    <s v="Correct"/>
    <n v="81.355932203389841"/>
    <n v="31.137931034482758"/>
    <n v="5.6522702104097453"/>
    <x v="0"/>
  </r>
  <r>
    <d v="2026-05-21T00:00:00"/>
    <x v="0"/>
    <x v="2"/>
    <x v="4"/>
    <s v="35K+"/>
    <n v="595"/>
    <n v="44"/>
    <n v="16"/>
    <n v="623"/>
    <n v="21"/>
    <n v="5"/>
    <s v="Correct"/>
    <n v="76.19047619047619"/>
    <n v="11.3"/>
    <n v="55.132743362831853"/>
    <x v="2"/>
  </r>
  <r>
    <d v="2026-05-21T00:00:00"/>
    <x v="1"/>
    <x v="3"/>
    <x v="0"/>
    <s v="25K-35K"/>
    <n v="527"/>
    <n v="58"/>
    <n v="14"/>
    <n v="571"/>
    <n v="20"/>
    <n v="4"/>
    <s v="Correct"/>
    <n v="70"/>
    <n v="22.258064516129032"/>
    <n v="25.653623188405799"/>
    <x v="1"/>
  </r>
  <r>
    <d v="2026-05-21T00:00:00"/>
    <x v="1"/>
    <x v="3"/>
    <x v="1"/>
    <s v="20K-25K"/>
    <n v="353"/>
    <n v="44"/>
    <n v="34"/>
    <n v="363"/>
    <n v="42"/>
    <n v="4"/>
    <s v="Correct"/>
    <n v="80.952380952380949"/>
    <n v="20.172413793103448"/>
    <n v="17.994871794871795"/>
    <x v="1"/>
  </r>
  <r>
    <d v="2026-05-21T00:00:00"/>
    <x v="1"/>
    <x v="3"/>
    <x v="2"/>
    <s v="10K-15K"/>
    <n v="154"/>
    <n v="2"/>
    <n v="48"/>
    <n v="108"/>
    <n v="49"/>
    <n v="3"/>
    <s v="Correct"/>
    <n v="97.959183673469383"/>
    <n v="29.733333333333334"/>
    <n v="3.6322869955156949"/>
    <x v="0"/>
  </r>
  <r>
    <d v="2026-05-21T00:00:00"/>
    <x v="1"/>
    <x v="3"/>
    <x v="3"/>
    <s v="Below 10K"/>
    <n v="296"/>
    <n v="19"/>
    <n v="24"/>
    <n v="291"/>
    <n v="37"/>
    <n v="2"/>
    <s v="Correct"/>
    <n v="64.86486486486487"/>
    <n v="30.724137931034484"/>
    <n v="9.4713804713804706"/>
    <x v="0"/>
  </r>
  <r>
    <d v="2026-05-21T00:00:00"/>
    <x v="1"/>
    <x v="3"/>
    <x v="4"/>
    <s v="35K+"/>
    <n v="370"/>
    <n v="1"/>
    <n v="18"/>
    <n v="353"/>
    <n v="19"/>
    <n v="3"/>
    <s v="Correct"/>
    <n v="94.73684210526315"/>
    <n v="11.566666666666666"/>
    <n v="30.518731988472624"/>
    <x v="2"/>
  </r>
  <r>
    <d v="2026-05-21T00:00:00"/>
    <x v="2"/>
    <x v="4"/>
    <x v="0"/>
    <s v="25K-35K"/>
    <n v="344"/>
    <n v="51"/>
    <n v="17"/>
    <n v="378"/>
    <n v="22"/>
    <n v="5"/>
    <s v="Correct"/>
    <n v="77.272727272727266"/>
    <n v="22.25"/>
    <n v="16.988764044943821"/>
    <x v="1"/>
  </r>
  <r>
    <d v="2026-05-21T00:00:00"/>
    <x v="2"/>
    <x v="4"/>
    <x v="1"/>
    <s v="20K-25K"/>
    <n v="355"/>
    <n v="57"/>
    <n v="10"/>
    <n v="402"/>
    <n v="23"/>
    <n v="3"/>
    <s v="Correct"/>
    <n v="43.478260869565219"/>
    <n v="19.96551724137931"/>
    <n v="20.134715025906736"/>
    <x v="1"/>
  </r>
  <r>
    <d v="2026-05-21T00:00:00"/>
    <x v="2"/>
    <x v="4"/>
    <x v="2"/>
    <s v="10K-15K"/>
    <n v="96"/>
    <n v="21"/>
    <n v="16"/>
    <n v="101"/>
    <n v="17"/>
    <n v="1"/>
    <s v="Correct"/>
    <n v="94.117647058823522"/>
    <n v="31.206896551724139"/>
    <n v="3.2364640883977898"/>
    <x v="0"/>
  </r>
  <r>
    <d v="2026-05-21T00:00:00"/>
    <x v="2"/>
    <x v="4"/>
    <x v="3"/>
    <s v="Below 10K"/>
    <n v="65"/>
    <n v="2"/>
    <n v="30"/>
    <n v="37"/>
    <n v="33"/>
    <n v="3"/>
    <s v="Correct"/>
    <n v="90.909090909090907"/>
    <n v="32.620689655172413"/>
    <n v="1.1342494714587739"/>
    <x v="0"/>
  </r>
  <r>
    <d v="2026-05-21T00:00:00"/>
    <x v="2"/>
    <x v="4"/>
    <x v="4"/>
    <s v="35K+"/>
    <n v="681"/>
    <n v="37"/>
    <n v="15"/>
    <n v="703"/>
    <n v="25"/>
    <n v="3"/>
    <s v="Correct"/>
    <n v="60"/>
    <n v="11.678571428571429"/>
    <n v="60.195718654434252"/>
    <x v="2"/>
  </r>
  <r>
    <d v="2026-05-21T00:00:00"/>
    <x v="3"/>
    <x v="5"/>
    <x v="0"/>
    <s v="25K-35K"/>
    <n v="356"/>
    <n v="6"/>
    <n v="35"/>
    <n v="327"/>
    <n v="35"/>
    <n v="4"/>
    <s v="Correct"/>
    <n v="100"/>
    <n v="20.84375"/>
    <n v="15.68815592203898"/>
    <x v="1"/>
  </r>
  <r>
    <d v="2026-05-21T00:00:00"/>
    <x v="3"/>
    <x v="5"/>
    <x v="1"/>
    <s v="20K-25K"/>
    <n v="364"/>
    <n v="52"/>
    <n v="32"/>
    <n v="384"/>
    <n v="37"/>
    <n v="5"/>
    <s v="Correct"/>
    <n v="86.486486486486484"/>
    <n v="21.46875"/>
    <n v="17.886462882096069"/>
    <x v="1"/>
  </r>
  <r>
    <d v="2026-05-21T00:00:00"/>
    <x v="3"/>
    <x v="5"/>
    <x v="2"/>
    <s v="10K-15K"/>
    <n v="128"/>
    <n v="52"/>
    <n v="31"/>
    <n v="149"/>
    <n v="32"/>
    <n v="4"/>
    <s v="Correct"/>
    <n v="96.875"/>
    <n v="30.586206896551722"/>
    <n v="4.8714768883878241"/>
    <x v="0"/>
  </r>
  <r>
    <d v="2026-05-21T00:00:00"/>
    <x v="3"/>
    <x v="5"/>
    <x v="3"/>
    <s v="Below 10K"/>
    <n v="93"/>
    <n v="36"/>
    <n v="39"/>
    <n v="90"/>
    <n v="52"/>
    <n v="2"/>
    <s v="Correct"/>
    <n v="75"/>
    <n v="32.299999999999997"/>
    <n v="2.7863777089783284"/>
    <x v="0"/>
  </r>
  <r>
    <d v="2026-05-21T00:00:00"/>
    <x v="3"/>
    <x v="5"/>
    <x v="4"/>
    <s v="35K+"/>
    <n v="709"/>
    <n v="58"/>
    <n v="18"/>
    <n v="749"/>
    <n v="23"/>
    <n v="3"/>
    <s v="Correct"/>
    <n v="78.260869565217391"/>
    <n v="10.413793103448276"/>
    <n v="71.923841059602651"/>
    <x v="2"/>
  </r>
  <r>
    <d v="2026-05-21T00:00:00"/>
    <x v="4"/>
    <x v="6"/>
    <x v="0"/>
    <s v="25K-35K"/>
    <n v="223"/>
    <n v="37"/>
    <n v="11"/>
    <n v="249"/>
    <n v="22"/>
    <n v="5"/>
    <s v="Correct"/>
    <n v="50"/>
    <n v="20.70967741935484"/>
    <n v="12.023364485981308"/>
    <x v="0"/>
  </r>
  <r>
    <d v="2026-05-21T00:00:00"/>
    <x v="4"/>
    <x v="6"/>
    <x v="1"/>
    <s v="20K-25K"/>
    <n v="219"/>
    <n v="14"/>
    <n v="18"/>
    <n v="215"/>
    <n v="25"/>
    <n v="2"/>
    <s v="Correct"/>
    <n v="72"/>
    <n v="22.142857142857142"/>
    <n v="9.7096774193548381"/>
    <x v="0"/>
  </r>
  <r>
    <d v="2026-05-21T00:00:00"/>
    <x v="4"/>
    <x v="6"/>
    <x v="2"/>
    <s v="10K-15K"/>
    <n v="116"/>
    <n v="20"/>
    <n v="24"/>
    <n v="112"/>
    <n v="33"/>
    <n v="2"/>
    <s v="Correct"/>
    <n v="72.727272727272734"/>
    <n v="30.275862068965516"/>
    <n v="3.6993166287015948"/>
    <x v="0"/>
  </r>
  <r>
    <d v="2026-05-21T00:00:00"/>
    <x v="4"/>
    <x v="6"/>
    <x v="3"/>
    <s v="Below 10K"/>
    <n v="341"/>
    <n v="5"/>
    <n v="48"/>
    <n v="298"/>
    <n v="57"/>
    <n v="1"/>
    <s v="Correct"/>
    <n v="84.210526315789465"/>
    <n v="30.931034482758619"/>
    <n v="9.6343366778149395"/>
    <x v="0"/>
  </r>
  <r>
    <d v="2026-05-21T00:00:00"/>
    <x v="4"/>
    <x v="6"/>
    <x v="4"/>
    <s v="35K+"/>
    <n v="474"/>
    <n v="44"/>
    <n v="17"/>
    <n v="501"/>
    <n v="20"/>
    <n v="1"/>
    <s v="Correct"/>
    <n v="85"/>
    <n v="10.25"/>
    <n v="48.878048780487802"/>
    <x v="2"/>
  </r>
  <r>
    <d v="2026-05-22T00:00:00"/>
    <x v="0"/>
    <x v="0"/>
    <x v="0"/>
    <s v="25K-35K"/>
    <n v="524"/>
    <n v="30"/>
    <n v="18"/>
    <n v="536"/>
    <n v="22"/>
    <n v="5"/>
    <s v="Correct"/>
    <n v="81.818181818181827"/>
    <n v="21.666666666666668"/>
    <n v="24.738461538461536"/>
    <x v="1"/>
  </r>
  <r>
    <d v="2026-05-22T00:00:00"/>
    <x v="0"/>
    <x v="0"/>
    <x v="1"/>
    <s v="20K-25K"/>
    <n v="341"/>
    <n v="8"/>
    <n v="10"/>
    <n v="339"/>
    <n v="23"/>
    <n v="2"/>
    <s v="Correct"/>
    <n v="43.478260869565219"/>
    <n v="20.030303030303031"/>
    <n v="16.924357034795765"/>
    <x v="1"/>
  </r>
  <r>
    <d v="2026-05-22T00:00:00"/>
    <x v="0"/>
    <x v="0"/>
    <x v="2"/>
    <s v="10K-15K"/>
    <n v="152"/>
    <n v="25"/>
    <n v="18"/>
    <n v="159"/>
    <n v="19"/>
    <n v="1"/>
    <s v="Correct"/>
    <n v="94.73684210526315"/>
    <n v="33.34375"/>
    <n v="4.7685098406747892"/>
    <x v="0"/>
  </r>
  <r>
    <d v="2026-05-22T00:00:00"/>
    <x v="0"/>
    <x v="0"/>
    <x v="3"/>
    <s v="Below 10K"/>
    <n v="41"/>
    <n v="12"/>
    <n v="47"/>
    <n v="6"/>
    <n v="52"/>
    <n v="4"/>
    <s v="Correct"/>
    <n v="90.384615384615387"/>
    <n v="34.515151515151516"/>
    <n v="0.17383669885864794"/>
    <x v="0"/>
  </r>
  <r>
    <d v="2026-05-22T00:00:00"/>
    <x v="0"/>
    <x v="0"/>
    <x v="4"/>
    <s v="35K+"/>
    <n v="449"/>
    <n v="13"/>
    <n v="15"/>
    <n v="447"/>
    <n v="18"/>
    <n v="1"/>
    <s v="Correct"/>
    <n v="83.333333333333343"/>
    <n v="9.9032258064516121"/>
    <n v="45.136807817589577"/>
    <x v="2"/>
  </r>
  <r>
    <d v="2026-05-22T00:00:00"/>
    <x v="0"/>
    <x v="1"/>
    <x v="0"/>
    <s v="25K-35K"/>
    <n v="300"/>
    <n v="13"/>
    <n v="20"/>
    <n v="293"/>
    <n v="21"/>
    <n v="3"/>
    <s v="Correct"/>
    <n v="95.238095238095227"/>
    <n v="21.35483870967742"/>
    <n v="13.720543806646525"/>
    <x v="0"/>
  </r>
  <r>
    <d v="2026-05-22T00:00:00"/>
    <x v="0"/>
    <x v="1"/>
    <x v="1"/>
    <s v="20K-25K"/>
    <n v="189"/>
    <n v="50"/>
    <n v="20"/>
    <n v="219"/>
    <n v="28"/>
    <n v="5"/>
    <s v="Correct"/>
    <n v="71.428571428571431"/>
    <n v="21.9"/>
    <n v="10"/>
    <x v="0"/>
  </r>
  <r>
    <d v="2026-05-22T00:00:00"/>
    <x v="0"/>
    <x v="1"/>
    <x v="2"/>
    <s v="10K-15K"/>
    <n v="177"/>
    <n v="6"/>
    <n v="16"/>
    <n v="167"/>
    <n v="30"/>
    <n v="2"/>
    <s v="Correct"/>
    <n v="53.333333333333336"/>
    <n v="31.586206896551722"/>
    <n v="5.287117903930131"/>
    <x v="0"/>
  </r>
  <r>
    <d v="2026-05-22T00:00:00"/>
    <x v="0"/>
    <x v="1"/>
    <x v="3"/>
    <s v="Below 10K"/>
    <n v="19"/>
    <n v="49"/>
    <n v="39"/>
    <n v="29"/>
    <n v="47"/>
    <n v="4"/>
    <s v="Correct"/>
    <n v="82.978723404255319"/>
    <n v="34.200000000000003"/>
    <n v="0.8479532163742689"/>
    <x v="0"/>
  </r>
  <r>
    <d v="2026-05-22T00:00:00"/>
    <x v="0"/>
    <x v="1"/>
    <x v="4"/>
    <s v="35K+"/>
    <n v="447"/>
    <n v="32"/>
    <n v="4"/>
    <n v="475"/>
    <n v="7"/>
    <n v="3"/>
    <s v="Correct"/>
    <n v="57.142857142857139"/>
    <n v="10.96551724137931"/>
    <n v="43.317610062893081"/>
    <x v="2"/>
  </r>
  <r>
    <d v="2026-05-22T00:00:00"/>
    <x v="0"/>
    <x v="2"/>
    <x v="0"/>
    <s v="25K-35K"/>
    <n v="236"/>
    <n v="56"/>
    <n v="24"/>
    <n v="268"/>
    <n v="28"/>
    <n v="4"/>
    <s v="Correct"/>
    <n v="85.714285714285708"/>
    <n v="20.7"/>
    <n v="12.946859903381643"/>
    <x v="0"/>
  </r>
  <r>
    <d v="2026-05-22T00:00:00"/>
    <x v="0"/>
    <x v="2"/>
    <x v="1"/>
    <s v="20K-25K"/>
    <n v="298"/>
    <n v="1"/>
    <n v="28"/>
    <n v="271"/>
    <n v="35"/>
    <n v="4"/>
    <s v="Correct"/>
    <n v="80"/>
    <n v="23.758620689655171"/>
    <n v="11.406386066763426"/>
    <x v="0"/>
  </r>
  <r>
    <d v="2026-05-22T00:00:00"/>
    <x v="0"/>
    <x v="2"/>
    <x v="2"/>
    <s v="10K-15K"/>
    <n v="72"/>
    <n v="38"/>
    <n v="21"/>
    <n v="89"/>
    <n v="26"/>
    <n v="4"/>
    <s v="Correct"/>
    <n v="80.769230769230774"/>
    <n v="31.142857142857142"/>
    <n v="2.8577981651376145"/>
    <x v="0"/>
  </r>
  <r>
    <d v="2026-05-22T00:00:00"/>
    <x v="0"/>
    <x v="2"/>
    <x v="3"/>
    <s v="Below 10K"/>
    <n v="176"/>
    <n v="16"/>
    <n v="37"/>
    <n v="155"/>
    <n v="45"/>
    <n v="1"/>
    <s v="Correct"/>
    <n v="82.222222222222214"/>
    <n v="31.137931034482758"/>
    <n v="4.9778516057585822"/>
    <x v="0"/>
  </r>
  <r>
    <d v="2026-05-22T00:00:00"/>
    <x v="0"/>
    <x v="2"/>
    <x v="4"/>
    <s v="35K+"/>
    <n v="623"/>
    <n v="13"/>
    <n v="17"/>
    <n v="619"/>
    <n v="27"/>
    <n v="3"/>
    <s v="Correct"/>
    <n v="62.962962962962962"/>
    <n v="11.3"/>
    <n v="54.778761061946902"/>
    <x v="2"/>
  </r>
  <r>
    <d v="2026-05-22T00:00:00"/>
    <x v="1"/>
    <x v="3"/>
    <x v="0"/>
    <s v="25K-35K"/>
    <n v="571"/>
    <n v="14"/>
    <n v="28"/>
    <n v="557"/>
    <n v="30"/>
    <n v="1"/>
    <s v="Correct"/>
    <n v="93.333333333333329"/>
    <n v="22.258064516129032"/>
    <n v="25.024637681159419"/>
    <x v="1"/>
  </r>
  <r>
    <d v="2026-05-22T00:00:00"/>
    <x v="1"/>
    <x v="3"/>
    <x v="1"/>
    <s v="20K-25K"/>
    <n v="363"/>
    <n v="30"/>
    <n v="14"/>
    <n v="379"/>
    <n v="14"/>
    <n v="1"/>
    <s v="Correct"/>
    <n v="100"/>
    <n v="20.172413793103448"/>
    <n v="18.788034188034189"/>
    <x v="1"/>
  </r>
  <r>
    <d v="2026-05-22T00:00:00"/>
    <x v="1"/>
    <x v="3"/>
    <x v="2"/>
    <s v="10K-15K"/>
    <n v="108"/>
    <n v="6"/>
    <n v="50"/>
    <n v="64"/>
    <n v="54"/>
    <n v="2"/>
    <s v="Correct"/>
    <n v="92.592592592592595"/>
    <n v="29.733333333333334"/>
    <n v="2.1524663677130045"/>
    <x v="0"/>
  </r>
  <r>
    <d v="2026-05-22T00:00:00"/>
    <x v="1"/>
    <x v="3"/>
    <x v="3"/>
    <s v="Below 10K"/>
    <n v="291"/>
    <n v="22"/>
    <n v="31"/>
    <n v="282"/>
    <n v="36"/>
    <n v="4"/>
    <s v="Correct"/>
    <n v="86.111111111111114"/>
    <n v="30.724137931034484"/>
    <n v="9.1784511784511782"/>
    <x v="0"/>
  </r>
  <r>
    <d v="2026-05-22T00:00:00"/>
    <x v="1"/>
    <x v="3"/>
    <x v="4"/>
    <s v="35K+"/>
    <n v="353"/>
    <n v="16"/>
    <n v="12"/>
    <n v="357"/>
    <n v="26"/>
    <n v="2"/>
    <s v="Correct"/>
    <n v="46.153846153846153"/>
    <n v="11.566666666666666"/>
    <n v="30.864553314121039"/>
    <x v="2"/>
  </r>
  <r>
    <d v="2026-05-22T00:00:00"/>
    <x v="2"/>
    <x v="4"/>
    <x v="0"/>
    <s v="25K-35K"/>
    <n v="378"/>
    <n v="7"/>
    <n v="29"/>
    <n v="356"/>
    <n v="42"/>
    <n v="4"/>
    <s v="Correct"/>
    <n v="69.047619047619051"/>
    <n v="22.25"/>
    <n v="16"/>
    <x v="1"/>
  </r>
  <r>
    <d v="2026-05-22T00:00:00"/>
    <x v="2"/>
    <x v="4"/>
    <x v="1"/>
    <s v="20K-25K"/>
    <n v="402"/>
    <n v="51"/>
    <n v="34"/>
    <n v="419"/>
    <n v="39"/>
    <n v="1"/>
    <s v="Correct"/>
    <n v="87.179487179487182"/>
    <n v="19.96551724137931"/>
    <n v="20.986183074265977"/>
    <x v="1"/>
  </r>
  <r>
    <d v="2026-05-22T00:00:00"/>
    <x v="2"/>
    <x v="4"/>
    <x v="2"/>
    <s v="10K-15K"/>
    <n v="101"/>
    <n v="13"/>
    <n v="17"/>
    <n v="97"/>
    <n v="17"/>
    <n v="4"/>
    <s v="Correct"/>
    <n v="100"/>
    <n v="31.206896551724139"/>
    <n v="3.1082872928176797"/>
    <x v="0"/>
  </r>
  <r>
    <d v="2026-05-22T00:00:00"/>
    <x v="2"/>
    <x v="4"/>
    <x v="3"/>
    <s v="Below 10K"/>
    <n v="37"/>
    <n v="11"/>
    <n v="43"/>
    <n v="5"/>
    <n v="56"/>
    <n v="4"/>
    <s v="Correct"/>
    <n v="76.785714285714292"/>
    <n v="32.620689655172413"/>
    <n v="0.15327695560253701"/>
    <x v="0"/>
  </r>
  <r>
    <d v="2026-05-22T00:00:00"/>
    <x v="2"/>
    <x v="4"/>
    <x v="4"/>
    <s v="35K+"/>
    <n v="703"/>
    <n v="32"/>
    <n v="16"/>
    <n v="719"/>
    <n v="16"/>
    <n v="1"/>
    <s v="Correct"/>
    <n v="100"/>
    <n v="11.678571428571429"/>
    <n v="61.565749235474001"/>
    <x v="2"/>
  </r>
  <r>
    <d v="2026-05-22T00:00:00"/>
    <x v="3"/>
    <x v="5"/>
    <x v="0"/>
    <s v="25K-35K"/>
    <n v="327"/>
    <n v="33"/>
    <n v="31"/>
    <n v="329"/>
    <n v="34"/>
    <n v="4"/>
    <s v="Correct"/>
    <n v="91.17647058823529"/>
    <n v="20.84375"/>
    <n v="15.784107946026987"/>
    <x v="1"/>
  </r>
  <r>
    <d v="2026-05-22T00:00:00"/>
    <x v="3"/>
    <x v="5"/>
    <x v="1"/>
    <s v="20K-25K"/>
    <n v="384"/>
    <n v="32"/>
    <n v="15"/>
    <n v="401"/>
    <n v="30"/>
    <n v="2"/>
    <s v="Correct"/>
    <n v="50"/>
    <n v="21.46875"/>
    <n v="18.678311499272198"/>
    <x v="1"/>
  </r>
  <r>
    <d v="2026-05-22T00:00:00"/>
    <x v="3"/>
    <x v="5"/>
    <x v="2"/>
    <s v="10K-15K"/>
    <n v="149"/>
    <n v="49"/>
    <n v="42"/>
    <n v="156"/>
    <n v="45"/>
    <n v="4"/>
    <s v="Correct"/>
    <n v="93.333333333333329"/>
    <n v="30.586206896551722"/>
    <n v="5.1003382187147688"/>
    <x v="0"/>
  </r>
  <r>
    <d v="2026-05-22T00:00:00"/>
    <x v="3"/>
    <x v="5"/>
    <x v="3"/>
    <s v="Below 10K"/>
    <n v="90"/>
    <n v="17"/>
    <n v="38"/>
    <n v="69"/>
    <n v="50"/>
    <n v="3"/>
    <s v="Correct"/>
    <n v="76"/>
    <n v="32.299999999999997"/>
    <n v="2.1362229102167185"/>
    <x v="0"/>
  </r>
  <r>
    <d v="2026-05-22T00:00:00"/>
    <x v="3"/>
    <x v="5"/>
    <x v="4"/>
    <s v="35K+"/>
    <n v="749"/>
    <n v="14"/>
    <n v="4"/>
    <n v="759"/>
    <n v="9"/>
    <n v="4"/>
    <s v="Correct"/>
    <n v="44.444444444444443"/>
    <n v="10.413793103448276"/>
    <n v="72.884105960264904"/>
    <x v="2"/>
  </r>
  <r>
    <d v="2026-05-22T00:00:00"/>
    <x v="4"/>
    <x v="6"/>
    <x v="0"/>
    <s v="25K-35K"/>
    <n v="249"/>
    <n v="9"/>
    <n v="32"/>
    <n v="226"/>
    <n v="36"/>
    <n v="2"/>
    <s v="Correct"/>
    <n v="88.888888888888886"/>
    <n v="20.70967741935484"/>
    <n v="10.912772585669781"/>
    <x v="0"/>
  </r>
  <r>
    <d v="2026-05-22T00:00:00"/>
    <x v="4"/>
    <x v="6"/>
    <x v="1"/>
    <s v="20K-25K"/>
    <n v="215"/>
    <n v="9"/>
    <n v="24"/>
    <n v="200"/>
    <n v="37"/>
    <n v="3"/>
    <s v="Correct"/>
    <n v="64.86486486486487"/>
    <n v="22.142857142857142"/>
    <n v="9.0322580645161299"/>
    <x v="0"/>
  </r>
  <r>
    <d v="2026-05-22T00:00:00"/>
    <x v="4"/>
    <x v="6"/>
    <x v="2"/>
    <s v="10K-15K"/>
    <n v="112"/>
    <n v="48"/>
    <n v="34"/>
    <n v="126"/>
    <n v="49"/>
    <n v="2"/>
    <s v="Correct"/>
    <n v="69.387755102040813"/>
    <n v="30.275862068965516"/>
    <n v="4.1617312072892938"/>
    <x v="0"/>
  </r>
  <r>
    <d v="2026-05-22T00:00:00"/>
    <x v="4"/>
    <x v="6"/>
    <x v="3"/>
    <s v="Below 10K"/>
    <n v="298"/>
    <n v="49"/>
    <n v="38"/>
    <n v="309"/>
    <n v="40"/>
    <n v="4"/>
    <s v="Correct"/>
    <n v="95"/>
    <n v="30.931034482758619"/>
    <n v="9.9899665551839476"/>
    <x v="0"/>
  </r>
  <r>
    <d v="2026-05-22T00:00:00"/>
    <x v="4"/>
    <x v="6"/>
    <x v="4"/>
    <s v="35K+"/>
    <n v="501"/>
    <n v="6"/>
    <n v="5"/>
    <n v="502"/>
    <n v="19"/>
    <n v="5"/>
    <s v="Correct"/>
    <n v="26.315789473684209"/>
    <n v="10.25"/>
    <n v="48.975609756097562"/>
    <x v="2"/>
  </r>
  <r>
    <d v="2026-05-23T00:00:00"/>
    <x v="0"/>
    <x v="0"/>
    <x v="0"/>
    <s v="25K-35K"/>
    <n v="536"/>
    <n v="50"/>
    <n v="18"/>
    <n v="568"/>
    <n v="28"/>
    <n v="2"/>
    <s v="Correct"/>
    <n v="64.285714285714292"/>
    <n v="21.666666666666668"/>
    <n v="26.215384615384615"/>
    <x v="1"/>
  </r>
  <r>
    <d v="2026-05-23T00:00:00"/>
    <x v="0"/>
    <x v="0"/>
    <x v="1"/>
    <s v="20K-25K"/>
    <n v="339"/>
    <n v="17"/>
    <n v="28"/>
    <n v="328"/>
    <n v="41"/>
    <n v="1"/>
    <s v="Correct"/>
    <n v="68.292682926829272"/>
    <n v="20.030303030303031"/>
    <n v="16.375189107413011"/>
    <x v="1"/>
  </r>
  <r>
    <d v="2026-05-23T00:00:00"/>
    <x v="0"/>
    <x v="0"/>
    <x v="2"/>
    <s v="10K-15K"/>
    <n v="159"/>
    <n v="16"/>
    <n v="43"/>
    <n v="132"/>
    <n v="48"/>
    <n v="1"/>
    <s v="Correct"/>
    <n v="89.583333333333343"/>
    <n v="33.34375"/>
    <n v="3.9587628865979383"/>
    <x v="0"/>
  </r>
  <r>
    <d v="2026-05-23T00:00:00"/>
    <x v="0"/>
    <x v="0"/>
    <x v="3"/>
    <s v="Below 10K"/>
    <n v="6"/>
    <n v="52"/>
    <n v="26"/>
    <n v="32"/>
    <n v="32"/>
    <n v="4"/>
    <s v="Correct"/>
    <n v="81.25"/>
    <n v="34.515151515151516"/>
    <n v="0.92712906057945565"/>
    <x v="0"/>
  </r>
  <r>
    <d v="2026-05-23T00:00:00"/>
    <x v="0"/>
    <x v="0"/>
    <x v="4"/>
    <s v="35K+"/>
    <n v="447"/>
    <n v="51"/>
    <n v="6"/>
    <n v="492"/>
    <n v="0"/>
    <n v="4"/>
    <s v="Correct"/>
    <n v="0"/>
    <n v="9.9032258064516121"/>
    <n v="49.680781758957657"/>
    <x v="2"/>
  </r>
  <r>
    <d v="2026-05-23T00:00:00"/>
    <x v="0"/>
    <x v="1"/>
    <x v="0"/>
    <s v="25K-35K"/>
    <n v="293"/>
    <n v="21"/>
    <n v="17"/>
    <n v="297"/>
    <n v="19"/>
    <n v="1"/>
    <s v="Correct"/>
    <n v="89.473684210526315"/>
    <n v="21.35483870967742"/>
    <n v="13.907854984894259"/>
    <x v="0"/>
  </r>
  <r>
    <d v="2026-05-23T00:00:00"/>
    <x v="0"/>
    <x v="1"/>
    <x v="1"/>
    <s v="20K-25K"/>
    <n v="219"/>
    <n v="9"/>
    <n v="12"/>
    <n v="216"/>
    <n v="24"/>
    <n v="3"/>
    <s v="Correct"/>
    <n v="50"/>
    <n v="21.9"/>
    <n v="9.8630136986301373"/>
    <x v="0"/>
  </r>
  <r>
    <d v="2026-05-23T00:00:00"/>
    <x v="0"/>
    <x v="1"/>
    <x v="2"/>
    <s v="10K-15K"/>
    <n v="167"/>
    <n v="8"/>
    <n v="37"/>
    <n v="138"/>
    <n v="41"/>
    <n v="1"/>
    <s v="Correct"/>
    <n v="90.243902439024396"/>
    <n v="31.586206896551722"/>
    <n v="4.3689956331877733"/>
    <x v="0"/>
  </r>
  <r>
    <d v="2026-05-23T00:00:00"/>
    <x v="0"/>
    <x v="1"/>
    <x v="3"/>
    <s v="Below 10K"/>
    <n v="29"/>
    <n v="30"/>
    <n v="37"/>
    <n v="22"/>
    <n v="37"/>
    <n v="2"/>
    <s v="Correct"/>
    <n v="100"/>
    <n v="34.200000000000003"/>
    <n v="0.64327485380116955"/>
    <x v="0"/>
  </r>
  <r>
    <d v="2026-05-23T00:00:00"/>
    <x v="0"/>
    <x v="1"/>
    <x v="4"/>
    <s v="35K+"/>
    <n v="475"/>
    <n v="43"/>
    <n v="6"/>
    <n v="512"/>
    <n v="15"/>
    <n v="4"/>
    <s v="Correct"/>
    <n v="40"/>
    <n v="10.96551724137931"/>
    <n v="46.691823899371073"/>
    <x v="2"/>
  </r>
  <r>
    <d v="2026-05-23T00:00:00"/>
    <x v="0"/>
    <x v="2"/>
    <x v="0"/>
    <s v="25K-35K"/>
    <n v="268"/>
    <n v="36"/>
    <n v="19"/>
    <n v="285"/>
    <n v="32"/>
    <n v="4"/>
    <s v="Correct"/>
    <n v="59.375"/>
    <n v="20.7"/>
    <n v="13.768115942028986"/>
    <x v="0"/>
  </r>
  <r>
    <d v="2026-05-23T00:00:00"/>
    <x v="0"/>
    <x v="2"/>
    <x v="1"/>
    <s v="20K-25K"/>
    <n v="271"/>
    <n v="5"/>
    <n v="30"/>
    <n v="246"/>
    <n v="34"/>
    <n v="2"/>
    <s v="Correct"/>
    <n v="88.235294117647058"/>
    <n v="23.758620689655171"/>
    <n v="10.354136429608129"/>
    <x v="0"/>
  </r>
  <r>
    <d v="2026-05-23T00:00:00"/>
    <x v="0"/>
    <x v="2"/>
    <x v="2"/>
    <s v="10K-15K"/>
    <n v="89"/>
    <n v="11"/>
    <n v="18"/>
    <n v="82"/>
    <n v="26"/>
    <n v="3"/>
    <s v="Correct"/>
    <n v="69.230769230769226"/>
    <n v="31.142857142857142"/>
    <n v="2.6330275229357798"/>
    <x v="0"/>
  </r>
  <r>
    <d v="2026-05-23T00:00:00"/>
    <x v="0"/>
    <x v="2"/>
    <x v="3"/>
    <s v="Below 10K"/>
    <n v="155"/>
    <n v="32"/>
    <n v="47"/>
    <n v="140"/>
    <n v="62"/>
    <n v="1"/>
    <s v="Correct"/>
    <n v="75.806451612903231"/>
    <n v="31.137931034482758"/>
    <n v="4.4961240310077519"/>
    <x v="0"/>
  </r>
  <r>
    <d v="2026-05-23T00:00:00"/>
    <x v="0"/>
    <x v="2"/>
    <x v="4"/>
    <s v="35K+"/>
    <n v="619"/>
    <n v="9"/>
    <n v="16"/>
    <n v="612"/>
    <n v="28"/>
    <n v="4"/>
    <s v="Correct"/>
    <n v="57.142857142857139"/>
    <n v="11.3"/>
    <n v="54.159292035398224"/>
    <x v="2"/>
  </r>
  <r>
    <d v="2026-05-23T00:00:00"/>
    <x v="1"/>
    <x v="3"/>
    <x v="0"/>
    <s v="25K-35K"/>
    <n v="557"/>
    <n v="40"/>
    <n v="30"/>
    <n v="567"/>
    <n v="33"/>
    <n v="2"/>
    <s v="Correct"/>
    <n v="90.909090909090907"/>
    <n v="22.258064516129032"/>
    <n v="25.473913043478262"/>
    <x v="1"/>
  </r>
  <r>
    <d v="2026-05-23T00:00:00"/>
    <x v="1"/>
    <x v="3"/>
    <x v="1"/>
    <s v="20K-25K"/>
    <n v="379"/>
    <n v="49"/>
    <n v="18"/>
    <n v="410"/>
    <n v="27"/>
    <n v="3"/>
    <s v="Correct"/>
    <n v="66.666666666666657"/>
    <n v="20.172413793103448"/>
    <n v="20.324786324786324"/>
    <x v="1"/>
  </r>
  <r>
    <d v="2026-05-23T00:00:00"/>
    <x v="1"/>
    <x v="3"/>
    <x v="2"/>
    <s v="10K-15K"/>
    <n v="64"/>
    <n v="60"/>
    <n v="43"/>
    <n v="81"/>
    <n v="53"/>
    <n v="2"/>
    <s v="Correct"/>
    <n v="81.132075471698116"/>
    <n v="29.733333333333334"/>
    <n v="2.7242152466367711"/>
    <x v="0"/>
  </r>
  <r>
    <d v="2026-05-23T00:00:00"/>
    <x v="1"/>
    <x v="3"/>
    <x v="3"/>
    <s v="Below 10K"/>
    <n v="282"/>
    <n v="44"/>
    <n v="44"/>
    <n v="282"/>
    <n v="46"/>
    <n v="4"/>
    <s v="Correct"/>
    <n v="95.652173913043484"/>
    <n v="30.724137931034484"/>
    <n v="9.1784511784511782"/>
    <x v="0"/>
  </r>
  <r>
    <d v="2026-05-23T00:00:00"/>
    <x v="1"/>
    <x v="3"/>
    <x v="4"/>
    <s v="35K+"/>
    <n v="357"/>
    <n v="59"/>
    <n v="11"/>
    <n v="405"/>
    <n v="20"/>
    <n v="4"/>
    <s v="Correct"/>
    <n v="55.000000000000007"/>
    <n v="11.566666666666666"/>
    <n v="35.014409221902021"/>
    <x v="2"/>
  </r>
  <r>
    <d v="2026-05-23T00:00:00"/>
    <x v="2"/>
    <x v="4"/>
    <x v="0"/>
    <s v="25K-35K"/>
    <n v="356"/>
    <n v="23"/>
    <n v="14"/>
    <n v="365"/>
    <n v="28"/>
    <n v="2"/>
    <s v="Correct"/>
    <n v="50"/>
    <n v="22.25"/>
    <n v="16.40449438202247"/>
    <x v="1"/>
  </r>
  <r>
    <d v="2026-05-23T00:00:00"/>
    <x v="2"/>
    <x v="4"/>
    <x v="1"/>
    <s v="20K-25K"/>
    <n v="419"/>
    <n v="49"/>
    <n v="11"/>
    <n v="457"/>
    <n v="26"/>
    <n v="1"/>
    <s v="Correct"/>
    <n v="42.307692307692307"/>
    <n v="19.96551724137931"/>
    <n v="22.889464594127809"/>
    <x v="1"/>
  </r>
  <r>
    <d v="2026-05-23T00:00:00"/>
    <x v="2"/>
    <x v="4"/>
    <x v="2"/>
    <s v="10K-15K"/>
    <n v="97"/>
    <n v="38"/>
    <n v="47"/>
    <n v="88"/>
    <n v="54"/>
    <n v="5"/>
    <s v="Correct"/>
    <n v="87.037037037037038"/>
    <n v="31.206896551724139"/>
    <n v="2.8198895027624307"/>
    <x v="0"/>
  </r>
  <r>
    <d v="2026-05-23T00:00:00"/>
    <x v="0"/>
    <x v="0"/>
    <x v="3"/>
    <s v="Below 10K"/>
    <n v="5"/>
    <n v="25"/>
    <n v="47"/>
    <n v="-17"/>
    <n v="58"/>
    <n v="4"/>
    <s v="Need verification"/>
    <n v="81.034482758620683"/>
    <n v="34.515151515151516"/>
    <n v="-0.4925373134328358"/>
    <x v="0"/>
  </r>
  <r>
    <d v="2026-05-23T00:00:00"/>
    <x v="2"/>
    <x v="4"/>
    <x v="4"/>
    <s v="35K+"/>
    <n v="719"/>
    <n v="13"/>
    <n v="18"/>
    <n v="714"/>
    <n v="32"/>
    <n v="5"/>
    <s v="Correct"/>
    <n v="56.25"/>
    <n v="11.678571428571429"/>
    <n v="61.137614678899084"/>
    <x v="2"/>
  </r>
  <r>
    <d v="2026-05-23T00:00:00"/>
    <x v="3"/>
    <x v="5"/>
    <x v="0"/>
    <s v="25K-35K"/>
    <n v="329"/>
    <n v="38"/>
    <n v="15"/>
    <n v="352"/>
    <n v="20"/>
    <n v="4"/>
    <s v="Correct"/>
    <n v="75"/>
    <n v="20.84375"/>
    <n v="16.887556221889056"/>
    <x v="1"/>
  </r>
  <r>
    <d v="2026-05-23T00:00:00"/>
    <x v="3"/>
    <x v="5"/>
    <x v="1"/>
    <s v="20K-25K"/>
    <n v="401"/>
    <n v="13"/>
    <n v="18"/>
    <n v="396"/>
    <n v="32"/>
    <n v="3"/>
    <s v="Correct"/>
    <n v="56.25"/>
    <n v="21.46875"/>
    <n v="18.445414847161572"/>
    <x v="1"/>
  </r>
  <r>
    <d v="2026-05-23T00:00:00"/>
    <x v="3"/>
    <x v="5"/>
    <x v="2"/>
    <s v="10K-15K"/>
    <n v="156"/>
    <n v="49"/>
    <n v="24"/>
    <n v="181"/>
    <n v="25"/>
    <n v="1"/>
    <s v="Correct"/>
    <n v="96"/>
    <n v="30.586206896551722"/>
    <n v="5.9177001127395723"/>
    <x v="0"/>
  </r>
  <r>
    <d v="2026-05-23T00:00:00"/>
    <x v="3"/>
    <x v="5"/>
    <x v="3"/>
    <s v="Below 10K"/>
    <n v="69"/>
    <n v="54"/>
    <n v="50"/>
    <n v="73"/>
    <n v="55"/>
    <n v="1"/>
    <s v="Correct"/>
    <n v="90.909090909090907"/>
    <n v="32.299999999999997"/>
    <n v="2.2600619195046443"/>
    <x v="0"/>
  </r>
  <r>
    <d v="2026-05-23T00:00:00"/>
    <x v="3"/>
    <x v="5"/>
    <x v="4"/>
    <s v="35K+"/>
    <n v="759"/>
    <n v="15"/>
    <n v="12"/>
    <n v="762"/>
    <n v="15"/>
    <n v="4"/>
    <s v="Correct"/>
    <n v="80"/>
    <n v="10.413793103448276"/>
    <n v="73.172185430463571"/>
    <x v="2"/>
  </r>
  <r>
    <d v="2026-05-23T00:00:00"/>
    <x v="4"/>
    <x v="6"/>
    <x v="0"/>
    <s v="25K-35K"/>
    <n v="226"/>
    <n v="19"/>
    <n v="13"/>
    <n v="232"/>
    <n v="13"/>
    <n v="1"/>
    <s v="Correct"/>
    <n v="100"/>
    <n v="20.70967741935484"/>
    <n v="11.202492211838006"/>
    <x v="0"/>
  </r>
  <r>
    <d v="2026-05-23T00:00:00"/>
    <x v="4"/>
    <x v="6"/>
    <x v="1"/>
    <s v="20K-25K"/>
    <n v="200"/>
    <n v="40"/>
    <n v="33"/>
    <n v="207"/>
    <n v="36"/>
    <n v="4"/>
    <s v="Correct"/>
    <n v="91.666666666666657"/>
    <n v="22.142857142857142"/>
    <n v="9.3483870967741929"/>
    <x v="0"/>
  </r>
  <r>
    <d v="2026-05-23T00:00:00"/>
    <x v="4"/>
    <x v="6"/>
    <x v="2"/>
    <s v="10K-15K"/>
    <n v="126"/>
    <n v="25"/>
    <n v="34"/>
    <n v="117"/>
    <n v="0"/>
    <n v="3"/>
    <s v="Correct"/>
    <n v="0"/>
    <n v="30.275862068965516"/>
    <n v="3.8644646924829158"/>
    <x v="0"/>
  </r>
  <r>
    <d v="2026-05-23T00:00:00"/>
    <x v="4"/>
    <x v="6"/>
    <x v="3"/>
    <s v="Below 10K"/>
    <n v="309"/>
    <n v="27"/>
    <n v="40"/>
    <n v="296"/>
    <n v="49"/>
    <n v="4"/>
    <s v="Correct"/>
    <n v="81.632653061224488"/>
    <n v="30.931034482758619"/>
    <n v="9.5696767001114829"/>
    <x v="0"/>
  </r>
  <r>
    <d v="2026-05-23T00:00:00"/>
    <x v="4"/>
    <x v="6"/>
    <x v="4"/>
    <s v="35K+"/>
    <n v="502"/>
    <n v="39"/>
    <n v="15"/>
    <n v="526"/>
    <n v="22"/>
    <n v="1"/>
    <s v="Correct"/>
    <n v="68.181818181818173"/>
    <n v="10.25"/>
    <n v="51.31707317073171"/>
    <x v="2"/>
  </r>
  <r>
    <d v="2026-05-24T00:00:00"/>
    <x v="0"/>
    <x v="0"/>
    <x v="0"/>
    <s v="25K-35K"/>
    <n v="568"/>
    <n v="7"/>
    <n v="19"/>
    <n v="556"/>
    <n v="20"/>
    <n v="5"/>
    <s v="Correct"/>
    <n v="95"/>
    <n v="21.666666666666668"/>
    <n v="25.661538461538459"/>
    <x v="1"/>
  </r>
  <r>
    <d v="2026-05-24T00:00:00"/>
    <x v="0"/>
    <x v="0"/>
    <x v="1"/>
    <s v="20K-25K"/>
    <n v="328"/>
    <n v="7"/>
    <n v="25"/>
    <n v="310"/>
    <n v="30"/>
    <n v="5"/>
    <s v="Correct"/>
    <n v="83.333333333333343"/>
    <n v="20.030303030303031"/>
    <n v="15.476550680786687"/>
    <x v="1"/>
  </r>
  <r>
    <d v="2026-05-24T00:00:00"/>
    <x v="0"/>
    <x v="0"/>
    <x v="2"/>
    <s v="10K-15K"/>
    <n v="132"/>
    <n v="26"/>
    <n v="18"/>
    <n v="140"/>
    <n v="32"/>
    <n v="3"/>
    <s v="Correct"/>
    <n v="56.25"/>
    <n v="33.34375"/>
    <n v="4.1986879100281165"/>
    <x v="0"/>
  </r>
  <r>
    <d v="2026-05-24T00:00:00"/>
    <x v="0"/>
    <x v="0"/>
    <x v="3"/>
    <s v="Below 10K"/>
    <n v="32"/>
    <n v="2"/>
    <n v="17"/>
    <n v="17"/>
    <n v="23"/>
    <n v="2"/>
    <s v="Correct"/>
    <n v="73.91304347826086"/>
    <n v="34.515151515151516"/>
    <n v="0.4925373134328358"/>
    <x v="0"/>
  </r>
  <r>
    <d v="2026-05-24T00:00:00"/>
    <x v="0"/>
    <x v="0"/>
    <x v="4"/>
    <s v="35K+"/>
    <n v="492"/>
    <n v="35"/>
    <n v="4"/>
    <n v="523"/>
    <n v="8"/>
    <n v="3"/>
    <s v="Correct"/>
    <n v="50"/>
    <n v="9.9032258064516121"/>
    <n v="52.811074918566781"/>
    <x v="2"/>
  </r>
  <r>
    <d v="2026-05-24T00:00:00"/>
    <x v="0"/>
    <x v="1"/>
    <x v="0"/>
    <s v="25K-35K"/>
    <n v="297"/>
    <n v="40"/>
    <n v="28"/>
    <n v="309"/>
    <n v="30"/>
    <n v="2"/>
    <s v="Correct"/>
    <n v="93.333333333333329"/>
    <n v="21.35483870967742"/>
    <n v="14.469788519637461"/>
    <x v="0"/>
  </r>
  <r>
    <d v="2026-05-24T00:00:00"/>
    <x v="0"/>
    <x v="1"/>
    <x v="1"/>
    <s v="20K-25K"/>
    <n v="216"/>
    <n v="35"/>
    <n v="16"/>
    <n v="235"/>
    <n v="20"/>
    <n v="4"/>
    <s v="Correct"/>
    <n v="80"/>
    <n v="21.9"/>
    <n v="10.730593607305936"/>
    <x v="0"/>
  </r>
  <r>
    <d v="2026-05-24T00:00:00"/>
    <x v="0"/>
    <x v="1"/>
    <x v="0"/>
    <s v="10K-15K"/>
    <n v="138"/>
    <n v="47"/>
    <n v="20"/>
    <n v="165"/>
    <n v="35"/>
    <n v="1"/>
    <s v="Correct"/>
    <n v="57.142857142857139"/>
    <n v="21.35483870967742"/>
    <n v="7.7265861027190335"/>
    <x v="0"/>
  </r>
  <r>
    <d v="2026-05-24T00:00:00"/>
    <x v="0"/>
    <x v="1"/>
    <x v="3"/>
    <s v="Below 10K"/>
    <n v="22"/>
    <n v="36"/>
    <n v="47"/>
    <n v="11"/>
    <n v="54"/>
    <n v="1"/>
    <s v="Correct"/>
    <n v="87.037037037037038"/>
    <n v="34.200000000000003"/>
    <n v="0.32163742690058478"/>
    <x v="0"/>
  </r>
  <r>
    <d v="2026-05-24T00:00:00"/>
    <x v="0"/>
    <x v="1"/>
    <x v="4"/>
    <s v="35K+"/>
    <n v="512"/>
    <n v="32"/>
    <n v="6"/>
    <n v="538"/>
    <n v="13"/>
    <n v="1"/>
    <s v="Correct"/>
    <n v="46.153846153846153"/>
    <n v="10.96551724137931"/>
    <n v="49.062893081761011"/>
    <x v="2"/>
  </r>
  <r>
    <d v="2026-05-24T00:00:00"/>
    <x v="0"/>
    <x v="2"/>
    <x v="0"/>
    <s v="25K-35K"/>
    <n v="285"/>
    <n v="13"/>
    <n v="10"/>
    <n v="288"/>
    <n v="22"/>
    <n v="4"/>
    <s v="Correct"/>
    <n v="45.454545454545453"/>
    <n v="20.7"/>
    <n v="13.913043478260869"/>
    <x v="0"/>
  </r>
  <r>
    <d v="2026-05-24T00:00:00"/>
    <x v="0"/>
    <x v="2"/>
    <x v="1"/>
    <s v="20K-25K"/>
    <n v="246"/>
    <n v="21"/>
    <n v="30"/>
    <n v="237"/>
    <n v="28"/>
    <n v="3"/>
    <s v="Correct"/>
    <n v="107.14285714285714"/>
    <n v="23.758620689655171"/>
    <n v="9.9753265602322205"/>
    <x v="0"/>
  </r>
  <r>
    <d v="2026-05-24T00:00:00"/>
    <x v="0"/>
    <x v="2"/>
    <x v="2"/>
    <s v="10K-15K"/>
    <n v="82"/>
    <n v="33"/>
    <n v="49"/>
    <n v="66"/>
    <n v="57"/>
    <n v="1"/>
    <s v="Correct"/>
    <n v="85.964912280701753"/>
    <n v="31.142857142857142"/>
    <n v="2.1192660550458715"/>
    <x v="0"/>
  </r>
  <r>
    <d v="2026-05-24T00:00:00"/>
    <x v="0"/>
    <x v="2"/>
    <x v="3"/>
    <s v="Below 10K"/>
    <n v="140"/>
    <n v="21"/>
    <n v="17"/>
    <n v="144"/>
    <n v="31"/>
    <n v="5"/>
    <s v="Correct"/>
    <n v="54.838709677419352"/>
    <n v="31.137931034482758"/>
    <n v="4.6245847176079735"/>
    <x v="0"/>
  </r>
  <r>
    <d v="2026-05-24T00:00:00"/>
    <x v="0"/>
    <x v="2"/>
    <x v="4"/>
    <s v="35K+"/>
    <n v="612"/>
    <n v="36"/>
    <n v="9"/>
    <n v="639"/>
    <n v="24"/>
    <n v="4"/>
    <s v="Correct"/>
    <n v="37.5"/>
    <n v="11.3"/>
    <n v="56.548672566371678"/>
    <x v="2"/>
  </r>
  <r>
    <d v="2026-05-24T00:00:00"/>
    <x v="1"/>
    <x v="3"/>
    <x v="0"/>
    <s v="25K-35K"/>
    <n v="567"/>
    <n v="26"/>
    <n v="21"/>
    <n v="572"/>
    <n v="31"/>
    <n v="4"/>
    <s v="Correct"/>
    <n v="67.741935483870961"/>
    <n v="22.258064516129032"/>
    <n v="25.698550724637681"/>
    <x v="1"/>
  </r>
  <r>
    <d v="2026-05-24T00:00:00"/>
    <x v="1"/>
    <x v="3"/>
    <x v="1"/>
    <s v="20K-25K"/>
    <n v="410"/>
    <n v="20"/>
    <n v="9"/>
    <n v="421"/>
    <n v="18"/>
    <n v="1"/>
    <s v="Correct"/>
    <n v="50"/>
    <n v="20.172413793103448"/>
    <n v="20.870085470085471"/>
    <x v="1"/>
  </r>
  <r>
    <d v="2026-05-24T00:00:00"/>
    <x v="1"/>
    <x v="3"/>
    <x v="2"/>
    <s v="10K-15K"/>
    <n v="81"/>
    <n v="4"/>
    <n v="16"/>
    <n v="69"/>
    <n v="30"/>
    <n v="5"/>
    <s v="Correct"/>
    <n v="53.333333333333336"/>
    <n v="29.733333333333334"/>
    <n v="2.3206278026905829"/>
    <x v="0"/>
  </r>
  <r>
    <d v="2026-05-24T00:00:00"/>
    <x v="1"/>
    <x v="3"/>
    <x v="3"/>
    <s v="Below 10K"/>
    <n v="282"/>
    <n v="6"/>
    <n v="18"/>
    <n v="270"/>
    <n v="19"/>
    <n v="4"/>
    <s v="Correct"/>
    <n v="94.73684210526315"/>
    <n v="30.724137931034484"/>
    <n v="8.7878787878787872"/>
    <x v="0"/>
  </r>
  <r>
    <d v="2026-05-24T00:00:00"/>
    <x v="1"/>
    <x v="3"/>
    <x v="4"/>
    <s v="35K+"/>
    <n v="405"/>
    <n v="28"/>
    <n v="4"/>
    <n v="429"/>
    <n v="13"/>
    <n v="3"/>
    <s v="Correct"/>
    <n v="30.76923076923077"/>
    <n v="11.566666666666666"/>
    <n v="37.089337175792508"/>
    <x v="2"/>
  </r>
  <r>
    <d v="2026-05-24T00:00:00"/>
    <x v="2"/>
    <x v="4"/>
    <x v="0"/>
    <s v="25K-35K"/>
    <n v="365"/>
    <n v="52"/>
    <n v="30"/>
    <n v="387"/>
    <n v="31"/>
    <n v="2"/>
    <s v="Correct"/>
    <n v="96.774193548387103"/>
    <n v="22.25"/>
    <n v="17.393258426966291"/>
    <x v="1"/>
  </r>
  <r>
    <d v="2026-05-24T00:00:00"/>
    <x v="2"/>
    <x v="4"/>
    <x v="1"/>
    <s v="20K-25K"/>
    <n v="457"/>
    <n v="12"/>
    <n v="24"/>
    <n v="445"/>
    <n v="29"/>
    <n v="1"/>
    <s v="Correct"/>
    <n v="82.758620689655174"/>
    <n v="19.96551724137931"/>
    <n v="22.288428324697755"/>
    <x v="1"/>
  </r>
  <r>
    <d v="2026-05-24T00:00:00"/>
    <x v="2"/>
    <x v="4"/>
    <x v="2"/>
    <s v="10K-15K"/>
    <n v="88"/>
    <n v="5"/>
    <n v="15"/>
    <n v="78"/>
    <n v="28"/>
    <n v="1"/>
    <s v="Correct"/>
    <n v="53.571428571428569"/>
    <n v="31.206896551724139"/>
    <n v="2.4994475138121546"/>
    <x v="0"/>
  </r>
  <r>
    <d v="2026-05-24T00:00:00"/>
    <x v="2"/>
    <x v="4"/>
    <x v="3"/>
    <s v="Below 10K"/>
    <n v="15"/>
    <n v="53"/>
    <n v="46"/>
    <n v="22"/>
    <n v="47"/>
    <n v="5"/>
    <s v="Correct"/>
    <n v="97.872340425531917"/>
    <n v="32.620689655172413"/>
    <n v="0.67441860465116277"/>
    <x v="0"/>
  </r>
  <r>
    <d v="2026-05-24T00:00:00"/>
    <x v="2"/>
    <x v="4"/>
    <x v="4"/>
    <s v="35K+"/>
    <n v="714"/>
    <n v="53"/>
    <n v="11"/>
    <n v="756"/>
    <n v="19"/>
    <n v="3"/>
    <s v="Correct"/>
    <n v="57.894736842105267"/>
    <n v="11.678571428571429"/>
    <n v="64.733944954128432"/>
    <x v="2"/>
  </r>
  <r>
    <d v="2026-05-24T00:00:00"/>
    <x v="3"/>
    <x v="5"/>
    <x v="0"/>
    <s v="25K-35K"/>
    <n v="352"/>
    <n v="41"/>
    <n v="19"/>
    <n v="374"/>
    <n v="33"/>
    <n v="2"/>
    <s v="Correct"/>
    <n v="57.575757575757578"/>
    <n v="20.84375"/>
    <n v="17.943028485757122"/>
    <x v="1"/>
  </r>
  <r>
    <d v="2026-05-24T00:00:00"/>
    <x v="3"/>
    <x v="5"/>
    <x v="1"/>
    <s v="20K-25K"/>
    <n v="396"/>
    <n v="34"/>
    <n v="26"/>
    <n v="404"/>
    <n v="27"/>
    <n v="1"/>
    <s v="Correct"/>
    <n v="96.296296296296291"/>
    <n v="21.46875"/>
    <n v="18.818049490538574"/>
    <x v="1"/>
  </r>
  <r>
    <d v="2026-05-24T00:00:00"/>
    <x v="3"/>
    <x v="5"/>
    <x v="2"/>
    <s v="10K-15K"/>
    <n v="181"/>
    <n v="23"/>
    <n v="22"/>
    <n v="182"/>
    <n v="31"/>
    <n v="4"/>
    <s v="Correct"/>
    <n v="70.967741935483872"/>
    <n v="30.586206896551722"/>
    <n v="5.950394588500564"/>
    <x v="0"/>
  </r>
  <r>
    <d v="2026-05-24T00:00:00"/>
    <x v="3"/>
    <x v="5"/>
    <x v="3"/>
    <s v="Below 10K"/>
    <n v="73"/>
    <n v="57"/>
    <n v="37"/>
    <n v="93"/>
    <n v="37"/>
    <n v="5"/>
    <s v="Correct"/>
    <n v="100"/>
    <n v="32.299999999999997"/>
    <n v="2.8792569659442728"/>
    <x v="0"/>
  </r>
  <r>
    <d v="2026-05-24T00:00:00"/>
    <x v="3"/>
    <x v="5"/>
    <x v="4"/>
    <s v="35K+"/>
    <n v="762"/>
    <n v="24"/>
    <n v="11"/>
    <n v="775"/>
    <n v="12"/>
    <n v="1"/>
    <s v="Correct"/>
    <n v="91.666666666666657"/>
    <n v="10.413793103448276"/>
    <n v="74.420529801324506"/>
    <x v="2"/>
  </r>
  <r>
    <d v="2026-05-24T00:00:00"/>
    <x v="4"/>
    <x v="6"/>
    <x v="0"/>
    <s v="25K-35K"/>
    <n v="232"/>
    <n v="28"/>
    <n v="18"/>
    <n v="242"/>
    <n v="32"/>
    <n v="5"/>
    <s v="Correct"/>
    <n v="56.25"/>
    <n v="20.70967741935484"/>
    <n v="11.685358255451712"/>
    <x v="0"/>
  </r>
  <r>
    <d v="2026-05-24T00:00:00"/>
    <x v="4"/>
    <x v="6"/>
    <x v="1"/>
    <s v="20K-25K"/>
    <n v="207"/>
    <n v="40"/>
    <n v="23"/>
    <n v="224"/>
    <n v="33"/>
    <n v="5"/>
    <s v="Correct"/>
    <n v="69.696969696969703"/>
    <n v="22.142857142857142"/>
    <n v="10.116129032258065"/>
    <x v="0"/>
  </r>
  <r>
    <d v="2026-05-24T00:00:00"/>
    <x v="4"/>
    <x v="6"/>
    <x v="2"/>
    <s v="10K-15K"/>
    <n v="117"/>
    <n v="29"/>
    <n v="33"/>
    <n v="113"/>
    <n v="39"/>
    <n v="3"/>
    <s v="Correct"/>
    <n v="84.615384615384613"/>
    <n v="30.275862068965516"/>
    <n v="3.7323462414578588"/>
    <x v="0"/>
  </r>
  <r>
    <d v="2026-05-24T00:00:00"/>
    <x v="4"/>
    <x v="6"/>
    <x v="3"/>
    <s v="Below 10K"/>
    <n v="296"/>
    <n v="47"/>
    <n v="19"/>
    <n v="324"/>
    <n v="21"/>
    <n v="4"/>
    <s v="Correct"/>
    <n v="90.476190476190482"/>
    <n v="30.931034482758619"/>
    <n v="10.474916387959867"/>
    <x v="0"/>
  </r>
  <r>
    <d v="2026-05-24T00:00:00"/>
    <x v="4"/>
    <x v="6"/>
    <x v="4"/>
    <s v="35K+"/>
    <n v="526"/>
    <n v="28"/>
    <n v="9"/>
    <n v="545"/>
    <n v="14"/>
    <n v="4"/>
    <s v="Correct"/>
    <n v="64.285714285714292"/>
    <n v="10.25"/>
    <n v="53.170731707317074"/>
    <x v="2"/>
  </r>
  <r>
    <d v="2026-05-25T00:00:00"/>
    <x v="0"/>
    <x v="0"/>
    <x v="0"/>
    <s v="25K-35K"/>
    <n v="556"/>
    <n v="39"/>
    <n v="30"/>
    <n v="565"/>
    <n v="40"/>
    <n v="2"/>
    <s v="Correct"/>
    <n v="75"/>
    <n v="21.666666666666668"/>
    <n v="26.076923076923077"/>
    <x v="1"/>
  </r>
  <r>
    <d v="2026-05-25T00:00:00"/>
    <x v="0"/>
    <x v="0"/>
    <x v="1"/>
    <s v="20K-25K"/>
    <n v="310"/>
    <n v="51"/>
    <n v="13"/>
    <n v="348"/>
    <n v="20"/>
    <n v="2"/>
    <s v="Correct"/>
    <n v="65"/>
    <n v="20.030303030303031"/>
    <n v="17.373676248108925"/>
    <x v="1"/>
  </r>
  <r>
    <d v="2026-05-25T00:00:00"/>
    <x v="0"/>
    <x v="0"/>
    <x v="2"/>
    <s v="10K-15K"/>
    <n v="140"/>
    <n v="47"/>
    <n v="31"/>
    <n v="156"/>
    <n v="33"/>
    <n v="5"/>
    <s v="Correct"/>
    <n v="93.939393939393938"/>
    <n v="33.34375"/>
    <n v="4.678537956888472"/>
    <x v="0"/>
  </r>
  <r>
    <d v="2026-05-25T00:00:00"/>
    <x v="0"/>
    <x v="0"/>
    <x v="3"/>
    <s v="Below 10K"/>
    <n v="17"/>
    <n v="53"/>
    <n v="40"/>
    <n v="30"/>
    <n v="52"/>
    <n v="2"/>
    <s v="Correct"/>
    <n v="76.923076923076934"/>
    <n v="34.515151515151516"/>
    <n v="0.86918349429323971"/>
    <x v="0"/>
  </r>
  <r>
    <d v="2026-05-25T00:00:00"/>
    <x v="0"/>
    <x v="0"/>
    <x v="4"/>
    <s v="35K+"/>
    <n v="523"/>
    <n v="47"/>
    <n v="5"/>
    <n v="565"/>
    <n v="8"/>
    <n v="2"/>
    <s v="Correct"/>
    <n v="62.5"/>
    <n v="9.9032258064516121"/>
    <n v="57.052117263843655"/>
    <x v="2"/>
  </r>
  <r>
    <d v="2026-05-25T00:00:00"/>
    <x v="0"/>
    <x v="1"/>
    <x v="0"/>
    <s v="25K-35K"/>
    <n v="309"/>
    <n v="53"/>
    <n v="30"/>
    <n v="332"/>
    <n v="32"/>
    <n v="3"/>
    <s v="Correct"/>
    <n v="93.75"/>
    <n v="21.35483870967742"/>
    <n v="15.546827794561933"/>
    <x v="1"/>
  </r>
  <r>
    <d v="2026-05-25T00:00:00"/>
    <x v="0"/>
    <x v="1"/>
    <x v="1"/>
    <s v="20K-25K"/>
    <n v="235"/>
    <n v="1"/>
    <n v="26"/>
    <n v="210"/>
    <n v="31"/>
    <n v="3"/>
    <s v="Correct"/>
    <n v="83.870967741935488"/>
    <n v="21.9"/>
    <n v="9.589041095890412"/>
    <x v="0"/>
  </r>
  <r>
    <d v="2026-05-25T00:00:00"/>
    <x v="0"/>
    <x v="1"/>
    <x v="2"/>
    <s v="10K-15K"/>
    <n v="165"/>
    <n v="7"/>
    <n v="23"/>
    <n v="149"/>
    <n v="38"/>
    <n v="3"/>
    <s v="Correct"/>
    <n v="60.526315789473685"/>
    <n v="31.586206896551722"/>
    <n v="4.7172489082969431"/>
    <x v="0"/>
  </r>
  <r>
    <d v="2026-05-25T00:00:00"/>
    <x v="0"/>
    <x v="1"/>
    <x v="3"/>
    <s v="Below 10K"/>
    <n v="11"/>
    <n v="31"/>
    <n v="18"/>
    <n v="24"/>
    <n v="33"/>
    <n v="3"/>
    <s v="Correct"/>
    <n v="54.54545454545454"/>
    <n v="34.200000000000003"/>
    <n v="0.70175438596491224"/>
    <x v="0"/>
  </r>
  <r>
    <d v="2026-05-25T00:00:00"/>
    <x v="0"/>
    <x v="1"/>
    <x v="4"/>
    <s v="35K+"/>
    <n v="538"/>
    <n v="26"/>
    <n v="10"/>
    <n v="554"/>
    <n v="17"/>
    <n v="2"/>
    <s v="Correct"/>
    <n v="58.82352941176471"/>
    <n v="10.96551724137931"/>
    <n v="50.522012578616355"/>
    <x v="2"/>
  </r>
  <r>
    <d v="2026-05-25T00:00:00"/>
    <x v="0"/>
    <x v="2"/>
    <x v="0"/>
    <s v="25K-35K"/>
    <n v="288"/>
    <n v="30"/>
    <n v="18"/>
    <n v="300"/>
    <n v="22"/>
    <n v="4"/>
    <s v="Correct"/>
    <n v="81.818181818181827"/>
    <n v="20.7"/>
    <n v="14.492753623188406"/>
    <x v="0"/>
  </r>
  <r>
    <d v="2026-05-25T00:00:00"/>
    <x v="0"/>
    <x v="2"/>
    <x v="1"/>
    <s v="20K-25K"/>
    <n v="253"/>
    <n v="26"/>
    <n v="25"/>
    <n v="254"/>
    <n v="33"/>
    <n v="2"/>
    <s v="Correct"/>
    <n v="75.757575757575751"/>
    <n v="23.758620689655171"/>
    <n v="10.690856313497823"/>
    <x v="0"/>
  </r>
  <r>
    <d v="2026-05-25T00:00:00"/>
    <x v="0"/>
    <x v="2"/>
    <x v="2"/>
    <s v="10K-15K"/>
    <n v="66"/>
    <n v="52"/>
    <n v="31"/>
    <n v="87"/>
    <n v="43"/>
    <n v="2"/>
    <s v="Correct"/>
    <n v="72.093023255813947"/>
    <n v="31.142857142857142"/>
    <n v="2.7935779816513762"/>
    <x v="0"/>
  </r>
  <r>
    <d v="2026-05-25T00:00:00"/>
    <x v="0"/>
    <x v="2"/>
    <x v="3"/>
    <s v="Below 10K"/>
    <n v="144"/>
    <n v="23"/>
    <n v="31"/>
    <n v="136"/>
    <n v="35"/>
    <n v="3"/>
    <s v="Correct"/>
    <n v="88.571428571428569"/>
    <n v="31.137931034482758"/>
    <n v="4.3676633444075303"/>
    <x v="0"/>
  </r>
  <r>
    <d v="2026-05-25T00:00:00"/>
    <x v="0"/>
    <x v="2"/>
    <x v="4"/>
    <s v="35K+"/>
    <n v="639"/>
    <n v="41"/>
    <n v="10"/>
    <n v="670"/>
    <n v="15"/>
    <n v="5"/>
    <s v="Correct"/>
    <n v="66.666666666666657"/>
    <n v="11.3"/>
    <n v="59.292035398230084"/>
    <x v="2"/>
  </r>
  <r>
    <d v="2026-05-25T00:00:00"/>
    <x v="1"/>
    <x v="3"/>
    <x v="0"/>
    <s v="25K-35K"/>
    <n v="572"/>
    <n v="33"/>
    <n v="20"/>
    <n v="585"/>
    <n v="31"/>
    <n v="4"/>
    <s v="Correct"/>
    <n v="64.516129032258064"/>
    <n v="22.258064516129032"/>
    <n v="26.282608695652176"/>
    <x v="1"/>
  </r>
  <r>
    <d v="2026-05-25T00:00:00"/>
    <x v="1"/>
    <x v="3"/>
    <x v="1"/>
    <s v="20K-25K"/>
    <n v="421"/>
    <n v="11"/>
    <n v="35"/>
    <n v="397"/>
    <n v="46"/>
    <n v="3"/>
    <s v="Correct"/>
    <n v="76.08695652173914"/>
    <n v="20.172413793103448"/>
    <n v="19.680341880341881"/>
    <x v="1"/>
  </r>
  <r>
    <d v="2026-05-25T00:00:00"/>
    <x v="1"/>
    <x v="3"/>
    <x v="2"/>
    <s v="10K-15K"/>
    <n v="69"/>
    <n v="2"/>
    <n v="35"/>
    <n v="36"/>
    <n v="42"/>
    <n v="2"/>
    <s v="Correct"/>
    <n v="83.333333333333343"/>
    <n v="29.733333333333334"/>
    <n v="1.210762331838565"/>
    <x v="0"/>
  </r>
  <r>
    <d v="2026-05-25T00:00:00"/>
    <x v="1"/>
    <x v="3"/>
    <x v="3"/>
    <s v="Below 10K"/>
    <n v="270"/>
    <n v="55"/>
    <n v="49"/>
    <n v="276"/>
    <n v="58"/>
    <n v="1"/>
    <s v="Correct"/>
    <n v="84.482758620689651"/>
    <n v="30.724137931034484"/>
    <n v="8.9831649831649827"/>
    <x v="0"/>
  </r>
  <r>
    <d v="2026-05-25T00:00:00"/>
    <x v="1"/>
    <x v="3"/>
    <x v="4"/>
    <s v="35K+"/>
    <n v="429"/>
    <n v="16"/>
    <n v="17"/>
    <n v="428"/>
    <n v="26"/>
    <n v="1"/>
    <s v="Correct"/>
    <n v="65.384615384615387"/>
    <n v="11.566666666666666"/>
    <n v="37.002881844380404"/>
    <x v="2"/>
  </r>
  <r>
    <d v="2026-05-25T00:00:00"/>
    <x v="2"/>
    <x v="4"/>
    <x v="0"/>
    <s v="25K-35K"/>
    <n v="387"/>
    <n v="39"/>
    <n v="29"/>
    <n v="397"/>
    <n v="32"/>
    <n v="3"/>
    <s v="Correct"/>
    <n v="90.625"/>
    <n v="22.25"/>
    <n v="17.842696629213481"/>
    <x v="1"/>
  </r>
  <r>
    <d v="2026-05-25T00:00:00"/>
    <x v="2"/>
    <x v="4"/>
    <x v="1"/>
    <s v="20K-25K"/>
    <n v="445"/>
    <n v="8"/>
    <n v="23"/>
    <n v="430"/>
    <n v="35"/>
    <n v="1"/>
    <s v="Correct"/>
    <n v="65.714285714285708"/>
    <n v="19.96551724137931"/>
    <n v="21.537132987910191"/>
    <x v="1"/>
  </r>
  <r>
    <d v="2026-05-25T00:00:00"/>
    <x v="2"/>
    <x v="4"/>
    <x v="2"/>
    <s v="10K-15K"/>
    <n v="78"/>
    <n v="51"/>
    <n v="17"/>
    <n v="112"/>
    <n v="22"/>
    <n v="2"/>
    <s v="Correct"/>
    <n v="77.272727272727266"/>
    <n v="31.206896551724139"/>
    <n v="3.5889502762430938"/>
    <x v="0"/>
  </r>
  <r>
    <d v="2026-05-25T00:00:00"/>
    <x v="2"/>
    <x v="4"/>
    <x v="3"/>
    <s v="Below 10K"/>
    <n v="22"/>
    <n v="23"/>
    <n v="19"/>
    <n v="26"/>
    <n v="21"/>
    <n v="4"/>
    <s v="Correct"/>
    <n v="90.476190476190482"/>
    <n v="32.620689655172413"/>
    <n v="0.79704016913319242"/>
    <x v="0"/>
  </r>
  <r>
    <d v="2026-05-25T00:00:00"/>
    <x v="2"/>
    <x v="4"/>
    <x v="4"/>
    <s v="35K+"/>
    <n v="756"/>
    <n v="53"/>
    <n v="13"/>
    <n v="796"/>
    <n v="26"/>
    <n v="3"/>
    <s v="Correct"/>
    <n v="50"/>
    <n v="11.678571428571429"/>
    <n v="68.159021406727831"/>
    <x v="2"/>
  </r>
  <r>
    <d v="2026-05-25T00:00:00"/>
    <x v="3"/>
    <x v="5"/>
    <x v="0"/>
    <s v="25K-35K"/>
    <n v="374"/>
    <n v="57"/>
    <n v="10"/>
    <n v="421"/>
    <n v="15"/>
    <n v="4"/>
    <s v="Correct"/>
    <n v="66.666666666666657"/>
    <n v="20.84375"/>
    <n v="20.197901049475263"/>
    <x v="1"/>
  </r>
  <r>
    <d v="2026-05-25T00:00:00"/>
    <x v="3"/>
    <x v="5"/>
    <x v="1"/>
    <s v="20K-25K"/>
    <n v="404"/>
    <n v="25"/>
    <n v="16"/>
    <n v="413"/>
    <n v="22"/>
    <n v="5"/>
    <s v="Correct"/>
    <n v="72.727272727272734"/>
    <n v="21.46875"/>
    <n v="19.237263464337701"/>
    <x v="1"/>
  </r>
  <r>
    <d v="2026-05-25T00:00:00"/>
    <x v="3"/>
    <x v="5"/>
    <x v="2"/>
    <s v="10K-15K"/>
    <n v="182"/>
    <n v="11"/>
    <n v="39"/>
    <n v="154"/>
    <n v="43"/>
    <n v="4"/>
    <s v="Correct"/>
    <n v="90.697674418604649"/>
    <n v="30.586206896551722"/>
    <n v="5.0349492671927853"/>
    <x v="0"/>
  </r>
  <r>
    <d v="2026-05-25T00:00:00"/>
    <x v="3"/>
    <x v="5"/>
    <x v="3"/>
    <s v="Below 10K"/>
    <n v="93"/>
    <n v="33"/>
    <n v="42"/>
    <n v="84"/>
    <n v="54"/>
    <n v="4"/>
    <s v="Correct"/>
    <n v="77.777777777777786"/>
    <n v="32.299999999999997"/>
    <n v="2.6006191950464399"/>
    <x v="0"/>
  </r>
  <r>
    <d v="2026-05-25T00:00:00"/>
    <x v="3"/>
    <x v="5"/>
    <x v="4"/>
    <s v="35K+"/>
    <n v="775"/>
    <n v="4"/>
    <n v="18"/>
    <n v="761"/>
    <n v="32"/>
    <n v="2"/>
    <s v="Correct"/>
    <n v="56.25"/>
    <n v="10.413793103448276"/>
    <n v="73.076158940397349"/>
    <x v="2"/>
  </r>
  <r>
    <d v="2026-05-25T00:00:00"/>
    <x v="4"/>
    <x v="6"/>
    <x v="0"/>
    <s v="25K-35K"/>
    <n v="242"/>
    <n v="44"/>
    <n v="33"/>
    <n v="253"/>
    <n v="37"/>
    <n v="4"/>
    <s v="Correct"/>
    <n v="89.189189189189193"/>
    <n v="20.70967741935484"/>
    <n v="12.216510903426791"/>
    <x v="0"/>
  </r>
  <r>
    <d v="2026-05-25T00:00:00"/>
    <x v="4"/>
    <x v="6"/>
    <x v="1"/>
    <s v="20K-25K"/>
    <n v="224"/>
    <n v="51"/>
    <n v="9"/>
    <n v="266"/>
    <n v="12"/>
    <n v="3"/>
    <s v="Correct"/>
    <n v="75"/>
    <n v="22.142857142857142"/>
    <n v="12.012903225806452"/>
    <x v="0"/>
  </r>
  <r>
    <d v="2026-05-25T00:00:00"/>
    <x v="4"/>
    <x v="6"/>
    <x v="2"/>
    <s v="10K-15K"/>
    <n v="113"/>
    <n v="6"/>
    <n v="36"/>
    <n v="83"/>
    <n v="46"/>
    <n v="4"/>
    <s v="Correct"/>
    <n v="78.260869565217391"/>
    <n v="30.275862068965516"/>
    <n v="2.7414578587699316"/>
    <x v="0"/>
  </r>
  <r>
    <d v="2026-05-25T00:00:00"/>
    <x v="4"/>
    <x v="6"/>
    <x v="3"/>
    <s v="Below 10K"/>
    <n v="324"/>
    <n v="45"/>
    <n v="32"/>
    <n v="337"/>
    <n v="35"/>
    <n v="2"/>
    <s v="Correct"/>
    <n v="91.428571428571431"/>
    <n v="30.931034482758619"/>
    <n v="10.89520624303233"/>
    <x v="0"/>
  </r>
  <r>
    <d v="2026-05-25T00:00:00"/>
    <x v="4"/>
    <x v="6"/>
    <x v="4"/>
    <s v="35K+"/>
    <n v="545"/>
    <n v="52"/>
    <n v="6"/>
    <n v="591"/>
    <n v="13"/>
    <n v="3"/>
    <s v="Correct"/>
    <n v="46.153846153846153"/>
    <n v="10.25"/>
    <n v="57.658536585365852"/>
    <x v="2"/>
  </r>
  <r>
    <d v="2026-05-26T00:00:00"/>
    <x v="0"/>
    <x v="0"/>
    <x v="0"/>
    <s v="25K-35K"/>
    <n v="565"/>
    <n v="3"/>
    <n v="18"/>
    <n v="550"/>
    <n v="27"/>
    <n v="3"/>
    <s v="Correct"/>
    <n v="66.666666666666657"/>
    <n v="21.666666666666668"/>
    <n v="25.384615384615383"/>
    <x v="1"/>
  </r>
  <r>
    <d v="2026-05-26T00:00:00"/>
    <x v="0"/>
    <x v="0"/>
    <x v="1"/>
    <s v="20K-25K"/>
    <n v="348"/>
    <n v="3"/>
    <n v="10"/>
    <n v="341"/>
    <n v="24"/>
    <n v="4"/>
    <s v="Correct"/>
    <n v="41.666666666666671"/>
    <n v="20.030303030303031"/>
    <n v="17.024205748865356"/>
    <x v="1"/>
  </r>
  <r>
    <d v="2026-05-26T00:00:00"/>
    <x v="0"/>
    <x v="0"/>
    <x v="2"/>
    <s v="10K-15K"/>
    <n v="156"/>
    <n v="48"/>
    <n v="23"/>
    <n v="181"/>
    <n v="24"/>
    <n v="4"/>
    <s v="Correct"/>
    <n v="95.833333333333343"/>
    <n v="33.34375"/>
    <n v="5.4283036551077792"/>
    <x v="0"/>
  </r>
  <r>
    <d v="2026-05-26T00:00:00"/>
    <x v="0"/>
    <x v="0"/>
    <x v="3"/>
    <s v="Below 10K"/>
    <n v="30"/>
    <n v="25"/>
    <n v="22"/>
    <n v="33"/>
    <n v="34"/>
    <n v="5"/>
    <s v="Correct"/>
    <n v="64.705882352941174"/>
    <n v="34.515151515151516"/>
    <n v="0.95610184372256368"/>
    <x v="0"/>
  </r>
  <r>
    <d v="2026-05-26T00:00:00"/>
    <x v="0"/>
    <x v="0"/>
    <x v="4"/>
    <s v="35K+"/>
    <n v="565"/>
    <n v="18"/>
    <n v="9"/>
    <n v="574"/>
    <n v="12"/>
    <n v="3"/>
    <s v="Correct"/>
    <n v="75"/>
    <n v="9.9032258064516121"/>
    <n v="57.960912052117266"/>
    <x v="2"/>
  </r>
  <r>
    <d v="2026-05-26T00:00:00"/>
    <x v="0"/>
    <x v="1"/>
    <x v="0"/>
    <s v="25K-35K"/>
    <n v="332"/>
    <n v="45"/>
    <n v="9"/>
    <n v="368"/>
    <n v="17"/>
    <n v="5"/>
    <s v="Correct"/>
    <n v="52.941176470588239"/>
    <n v="21.35483870967742"/>
    <n v="17.23262839879154"/>
    <x v="1"/>
  </r>
  <r>
    <d v="2026-05-26T00:00:00"/>
    <x v="0"/>
    <x v="1"/>
    <x v="1"/>
    <s v="20K-25K"/>
    <n v="210"/>
    <n v="42"/>
    <n v="9"/>
    <n v="243"/>
    <n v="14"/>
    <n v="5"/>
    <s v="Correct"/>
    <n v="64.285714285714292"/>
    <n v="21.9"/>
    <n v="11.095890410958905"/>
    <x v="0"/>
  </r>
  <r>
    <d v="2026-05-26T00:00:00"/>
    <x v="0"/>
    <x v="1"/>
    <x v="2"/>
    <s v="10K-15K"/>
    <n v="149"/>
    <n v="9"/>
    <n v="33"/>
    <n v="125"/>
    <n v="42"/>
    <n v="5"/>
    <s v="Correct"/>
    <n v="78.571428571428569"/>
    <n v="31.586206896551722"/>
    <n v="3.9574235807860263"/>
    <x v="0"/>
  </r>
  <r>
    <d v="2026-05-26T00:00:00"/>
    <x v="0"/>
    <x v="1"/>
    <x v="3"/>
    <s v="Below 10K"/>
    <n v="24"/>
    <n v="20"/>
    <n v="25"/>
    <n v="19"/>
    <n v="31"/>
    <n v="3"/>
    <s v="Correct"/>
    <n v="80.645161290322577"/>
    <n v="34.200000000000003"/>
    <n v="0.55555555555555547"/>
    <x v="0"/>
  </r>
  <r>
    <d v="2026-05-26T00:00:00"/>
    <x v="0"/>
    <x v="1"/>
    <x v="4"/>
    <s v="35K+"/>
    <n v="554"/>
    <n v="54"/>
    <n v="8"/>
    <n v="600"/>
    <n v="14"/>
    <n v="1"/>
    <s v="Correct"/>
    <n v="57.142857142857139"/>
    <n v="10.96551724137931"/>
    <n v="54.716981132075475"/>
    <x v="2"/>
  </r>
  <r>
    <d v="2026-05-26T00:00:00"/>
    <x v="0"/>
    <x v="2"/>
    <x v="0"/>
    <s v="25K-35K"/>
    <n v="300"/>
    <n v="37"/>
    <n v="10"/>
    <n v="327"/>
    <n v="24"/>
    <n v="3"/>
    <s v="Correct"/>
    <n v="41.666666666666671"/>
    <n v="20.7"/>
    <n v="15.797101449275363"/>
    <x v="1"/>
  </r>
  <r>
    <d v="2026-05-26T00:00:00"/>
    <x v="0"/>
    <x v="2"/>
    <x v="1"/>
    <s v="20K-25K"/>
    <n v="254"/>
    <n v="20"/>
    <n v="11"/>
    <n v="263"/>
    <n v="11"/>
    <n v="3"/>
    <s v="Correct"/>
    <n v="100"/>
    <n v="23.758620689655171"/>
    <n v="11.06966618287373"/>
    <x v="0"/>
  </r>
  <r>
    <d v="2026-05-26T00:00:00"/>
    <x v="0"/>
    <x v="2"/>
    <x v="2"/>
    <s v="10K-15K"/>
    <n v="87"/>
    <n v="11"/>
    <n v="21"/>
    <n v="77"/>
    <n v="36"/>
    <n v="1"/>
    <s v="Correct"/>
    <n v="58.333333333333336"/>
    <n v="31.142857142857142"/>
    <n v="2.4724770642201834"/>
    <x v="0"/>
  </r>
  <r>
    <d v="2026-05-26T00:00:00"/>
    <x v="0"/>
    <x v="2"/>
    <x v="3"/>
    <s v="Below 10K"/>
    <n v="136"/>
    <n v="45"/>
    <n v="46"/>
    <n v="135"/>
    <n v="48"/>
    <n v="3"/>
    <s v="Correct"/>
    <n v="95.833333333333343"/>
    <n v="31.137931034482758"/>
    <n v="4.3355481727574752"/>
    <x v="0"/>
  </r>
  <r>
    <d v="2026-05-26T00:00:00"/>
    <x v="0"/>
    <x v="2"/>
    <x v="4"/>
    <s v="35K+"/>
    <n v="670"/>
    <n v="27"/>
    <n v="9"/>
    <n v="688"/>
    <n v="21"/>
    <n v="2"/>
    <s v="Correct"/>
    <n v="42.857142857142854"/>
    <n v="11.3"/>
    <n v="60.884955752212385"/>
    <x v="2"/>
  </r>
  <r>
    <d v="2026-05-26T00:00:00"/>
    <x v="1"/>
    <x v="3"/>
    <x v="0"/>
    <s v="25K-35K"/>
    <n v="585"/>
    <n v="18"/>
    <n v="19"/>
    <n v="584"/>
    <n v="27"/>
    <n v="1"/>
    <s v="Correct"/>
    <n v="70.370370370370367"/>
    <n v="22.258064516129032"/>
    <n v="26.237681159420291"/>
    <x v="1"/>
  </r>
  <r>
    <d v="2026-05-26T00:00:00"/>
    <x v="1"/>
    <x v="3"/>
    <x v="1"/>
    <s v="20K-25K"/>
    <n v="397"/>
    <n v="30"/>
    <n v="16"/>
    <n v="411"/>
    <n v="30"/>
    <n v="3"/>
    <s v="Correct"/>
    <n v="53.333333333333336"/>
    <n v="20.172413793103448"/>
    <n v="20.374358974358973"/>
    <x v="1"/>
  </r>
  <r>
    <d v="2026-05-26T00:00:00"/>
    <x v="1"/>
    <x v="3"/>
    <x v="2"/>
    <s v="10K-15K"/>
    <n v="36"/>
    <n v="35"/>
    <n v="34"/>
    <n v="37"/>
    <n v="36"/>
    <n v="3"/>
    <s v="Correct"/>
    <n v="94.444444444444443"/>
    <n v="29.733333333333334"/>
    <n v="1.2443946188340806"/>
    <x v="0"/>
  </r>
  <r>
    <d v="2026-05-26T00:00:00"/>
    <x v="1"/>
    <x v="3"/>
    <x v="3"/>
    <s v="Below 10K"/>
    <n v="276"/>
    <n v="28"/>
    <n v="22"/>
    <n v="282"/>
    <n v="36"/>
    <n v="4"/>
    <s v="Correct"/>
    <n v="61.111111111111114"/>
    <n v="30.724137931034484"/>
    <n v="9.1784511784511782"/>
    <x v="0"/>
  </r>
  <r>
    <d v="2026-05-26T00:00:00"/>
    <x v="1"/>
    <x v="3"/>
    <x v="4"/>
    <s v="35K+"/>
    <n v="428"/>
    <n v="41"/>
    <n v="4"/>
    <n v="465"/>
    <n v="17"/>
    <n v="4"/>
    <s v="Correct"/>
    <n v="23.52941176470588"/>
    <n v="11.566666666666666"/>
    <n v="40.201729106628243"/>
    <x v="2"/>
  </r>
  <r>
    <d v="2026-05-26T00:00:00"/>
    <x v="2"/>
    <x v="4"/>
    <x v="0"/>
    <s v="25K-35K"/>
    <n v="397"/>
    <n v="45"/>
    <n v="13"/>
    <n v="429"/>
    <n v="27"/>
    <n v="5"/>
    <s v="Correct"/>
    <n v="48.148148148148145"/>
    <n v="22.25"/>
    <n v="19.280898876404493"/>
    <x v="1"/>
  </r>
  <r>
    <d v="2026-05-26T00:00:00"/>
    <x v="2"/>
    <x v="4"/>
    <x v="1"/>
    <s v="20K-25K"/>
    <n v="430"/>
    <n v="32"/>
    <n v="33"/>
    <n v="429"/>
    <n v="42"/>
    <n v="4"/>
    <s v="Correct"/>
    <n v="78.571428571428569"/>
    <n v="19.96551724137931"/>
    <n v="21.487046632124354"/>
    <x v="1"/>
  </r>
  <r>
    <d v="2026-05-26T00:00:00"/>
    <x v="2"/>
    <x v="4"/>
    <x v="2"/>
    <s v="10K-15K"/>
    <n v="112"/>
    <n v="39"/>
    <n v="27"/>
    <n v="124"/>
    <n v="40"/>
    <n v="2"/>
    <s v="Correct"/>
    <n v="67.5"/>
    <n v="31.206896551724139"/>
    <n v="3.9734806629834254"/>
    <x v="0"/>
  </r>
  <r>
    <d v="2026-05-26T00:00:00"/>
    <x v="2"/>
    <x v="4"/>
    <x v="3"/>
    <s v="Below 10K"/>
    <n v="26"/>
    <n v="46"/>
    <n v="18"/>
    <n v="54"/>
    <n v="18"/>
    <n v="1"/>
    <s v="Correct"/>
    <n v="100"/>
    <n v="32.620689655172413"/>
    <n v="1.6553911205073997"/>
    <x v="0"/>
  </r>
  <r>
    <d v="2026-05-26T00:00:00"/>
    <x v="2"/>
    <x v="4"/>
    <x v="4"/>
    <s v="35K+"/>
    <n v="796"/>
    <n v="1"/>
    <n v="15"/>
    <n v="782"/>
    <n v="25"/>
    <n v="4"/>
    <s v="Correct"/>
    <n v="60"/>
    <n v="11.678571428571429"/>
    <n v="66.960244648318039"/>
    <x v="2"/>
  </r>
  <r>
    <d v="2026-05-26T00:00:00"/>
    <x v="3"/>
    <x v="5"/>
    <x v="0"/>
    <s v="25K-35K"/>
    <n v="421"/>
    <n v="3"/>
    <n v="15"/>
    <n v="409"/>
    <n v="26"/>
    <n v="2"/>
    <s v="Correct"/>
    <n v="57.692307692307686"/>
    <n v="20.84375"/>
    <n v="19.622188905547226"/>
    <x v="1"/>
  </r>
  <r>
    <d v="2026-05-26T00:00:00"/>
    <x v="3"/>
    <x v="5"/>
    <x v="1"/>
    <s v="20K-25K"/>
    <n v="413"/>
    <n v="17"/>
    <n v="30"/>
    <n v="400"/>
    <n v="34"/>
    <n v="3"/>
    <s v="Correct"/>
    <n v="88.235294117647058"/>
    <n v="21.46875"/>
    <n v="18.631732168850071"/>
    <x v="1"/>
  </r>
  <r>
    <d v="2026-05-26T00:00:00"/>
    <x v="3"/>
    <x v="5"/>
    <x v="2"/>
    <s v="10K-15K"/>
    <n v="154"/>
    <n v="51"/>
    <n v="38"/>
    <n v="167"/>
    <n v="49"/>
    <n v="5"/>
    <s v="Correct"/>
    <n v="77.551020408163268"/>
    <n v="30.586206896551722"/>
    <n v="5.4599774520856821"/>
    <x v="0"/>
  </r>
  <r>
    <d v="2026-05-26T00:00:00"/>
    <x v="3"/>
    <x v="5"/>
    <x v="3"/>
    <s v="Below 10K"/>
    <n v="84"/>
    <n v="6"/>
    <n v="47"/>
    <n v="43"/>
    <n v="50"/>
    <n v="4"/>
    <s v="Correct"/>
    <n v="94"/>
    <n v="32.299999999999997"/>
    <n v="1.3312693498452013"/>
    <x v="0"/>
  </r>
  <r>
    <d v="2026-05-26T00:00:00"/>
    <x v="3"/>
    <x v="5"/>
    <x v="4"/>
    <s v="35K+"/>
    <n v="761"/>
    <n v="49"/>
    <n v="7"/>
    <n v="803"/>
    <n v="15"/>
    <n v="4"/>
    <s v="Correct"/>
    <n v="46.666666666666664"/>
    <n v="10.413793103448276"/>
    <n v="77.109271523178805"/>
    <x v="2"/>
  </r>
  <r>
    <d v="2026-05-26T00:00:00"/>
    <x v="4"/>
    <x v="6"/>
    <x v="0"/>
    <s v="25K-35K"/>
    <n v="253"/>
    <n v="8"/>
    <n v="23"/>
    <n v="238"/>
    <n v="25"/>
    <n v="5"/>
    <s v="Correct"/>
    <n v="92"/>
    <n v="20.70967741935484"/>
    <n v="11.492211838006229"/>
    <x v="0"/>
  </r>
  <r>
    <d v="2026-05-26T00:00:00"/>
    <x v="4"/>
    <x v="6"/>
    <x v="1"/>
    <s v="20K-25K"/>
    <n v="266"/>
    <n v="19"/>
    <n v="8"/>
    <n v="277"/>
    <n v="23"/>
    <n v="2"/>
    <s v="Correct"/>
    <n v="34.782608695652172"/>
    <n v="22.142857142857142"/>
    <n v="12.509677419354839"/>
    <x v="0"/>
  </r>
  <r>
    <d v="2026-05-26T00:00:00"/>
    <x v="4"/>
    <x v="6"/>
    <x v="2"/>
    <s v="10K-15K"/>
    <n v="83"/>
    <n v="42"/>
    <n v="20"/>
    <n v="105"/>
    <n v="23"/>
    <n v="2"/>
    <s v="Correct"/>
    <n v="86.956521739130437"/>
    <n v="30.275862068965516"/>
    <n v="3.4681093394077451"/>
    <x v="0"/>
  </r>
  <r>
    <d v="2026-05-26T00:00:00"/>
    <x v="4"/>
    <x v="6"/>
    <x v="3"/>
    <s v="Below 10K"/>
    <n v="337"/>
    <n v="36"/>
    <n v="34"/>
    <n v="339"/>
    <n v="36"/>
    <n v="1"/>
    <s v="Correct"/>
    <n v="94.444444444444443"/>
    <n v="30.931034482758619"/>
    <n v="10.959866220735787"/>
    <x v="0"/>
  </r>
  <r>
    <d v="2026-05-26T00:00:00"/>
    <x v="4"/>
    <x v="6"/>
    <x v="4"/>
    <s v="35K+"/>
    <n v="591"/>
    <n v="30"/>
    <n v="14"/>
    <n v="607"/>
    <n v="25"/>
    <n v="1"/>
    <s v="Correct"/>
    <n v="56.000000000000007"/>
    <n v="10.25"/>
    <n v="59.219512195121951"/>
    <x v="2"/>
  </r>
  <r>
    <d v="2026-05-27T00:00:00"/>
    <x v="0"/>
    <x v="0"/>
    <x v="0"/>
    <s v="25K-35K"/>
    <n v="550"/>
    <n v="23"/>
    <n v="13"/>
    <n v="560"/>
    <n v="28"/>
    <n v="5"/>
    <s v="Correct"/>
    <n v="46.428571428571431"/>
    <n v="21.666666666666668"/>
    <n v="25.846153846153843"/>
    <x v="1"/>
  </r>
  <r>
    <d v="2026-05-27T00:00:00"/>
    <x v="0"/>
    <x v="0"/>
    <x v="1"/>
    <s v="20K-25K"/>
    <n v="341"/>
    <n v="12"/>
    <n v="15"/>
    <n v="338"/>
    <n v="17"/>
    <n v="5"/>
    <s v="Correct"/>
    <n v="88.235294117647058"/>
    <n v="20.030303030303031"/>
    <n v="16.874432677760968"/>
    <x v="1"/>
  </r>
  <r>
    <d v="2026-05-27T00:00:00"/>
    <x v="0"/>
    <x v="0"/>
    <x v="2"/>
    <s v="10K-15K"/>
    <n v="181"/>
    <n v="10"/>
    <n v="48"/>
    <n v="143"/>
    <n v="53"/>
    <n v="4"/>
    <s v="Correct"/>
    <n v="90.566037735849065"/>
    <n v="33.34375"/>
    <n v="4.2886597938144329"/>
    <x v="0"/>
  </r>
  <r>
    <d v="2026-05-27T00:00:00"/>
    <x v="0"/>
    <x v="0"/>
    <x v="3"/>
    <s v="Below 10K"/>
    <n v="33"/>
    <n v="8"/>
    <n v="46"/>
    <n v="-5"/>
    <n v="46"/>
    <n v="1"/>
    <s v="Need verification"/>
    <n v="100"/>
    <n v="34.515151515151516"/>
    <n v="-0.14486391571553994"/>
    <x v="0"/>
  </r>
  <r>
    <d v="2026-05-27T00:00:00"/>
    <x v="0"/>
    <x v="0"/>
    <x v="4"/>
    <s v="35K+"/>
    <n v="574"/>
    <n v="10"/>
    <n v="7"/>
    <n v="577"/>
    <n v="19"/>
    <n v="4"/>
    <s v="Correct"/>
    <n v="36.84210526315789"/>
    <n v="9.9032258064516121"/>
    <n v="58.263843648208471"/>
    <x v="2"/>
  </r>
  <r>
    <d v="2026-05-27T00:00:00"/>
    <x v="0"/>
    <x v="1"/>
    <x v="0"/>
    <s v="25K-35K"/>
    <n v="368"/>
    <n v="25"/>
    <n v="24"/>
    <n v="369"/>
    <n v="24"/>
    <n v="1"/>
    <s v="Correct"/>
    <n v="100"/>
    <n v="21.35483870967742"/>
    <n v="17.279456193353475"/>
    <x v="1"/>
  </r>
  <r>
    <d v="2026-05-27T00:00:00"/>
    <x v="0"/>
    <x v="1"/>
    <x v="1"/>
    <s v="20K-25K"/>
    <n v="243"/>
    <n v="33"/>
    <n v="26"/>
    <n v="250"/>
    <n v="31"/>
    <n v="5"/>
    <s v="Correct"/>
    <n v="83.870967741935488"/>
    <n v="21.9"/>
    <n v="11.415525114155251"/>
    <x v="0"/>
  </r>
  <r>
    <d v="2026-05-27T00:00:00"/>
    <x v="0"/>
    <x v="1"/>
    <x v="2"/>
    <s v="10K-15K"/>
    <n v="125"/>
    <n v="41"/>
    <n v="22"/>
    <n v="144"/>
    <n v="24"/>
    <n v="5"/>
    <s v="Correct"/>
    <n v="91.666666666666657"/>
    <n v="31.586206896551722"/>
    <n v="4.5589519650655026"/>
    <x v="0"/>
  </r>
  <r>
    <d v="2026-05-27T00:00:00"/>
    <x v="0"/>
    <x v="1"/>
    <x v="3"/>
    <s v="Below 10K"/>
    <n v="19"/>
    <n v="23"/>
    <n v="34"/>
    <n v="8"/>
    <n v="46"/>
    <n v="2"/>
    <s v="Correct"/>
    <n v="73.91304347826086"/>
    <n v="34.200000000000003"/>
    <n v="0.23391812865497075"/>
    <x v="0"/>
  </r>
  <r>
    <d v="2026-05-27T00:00:00"/>
    <x v="0"/>
    <x v="1"/>
    <x v="4"/>
    <s v="35K+"/>
    <n v="600"/>
    <n v="24"/>
    <n v="16"/>
    <n v="608"/>
    <n v="24"/>
    <n v="2"/>
    <s v="Correct"/>
    <n v="66.666666666666657"/>
    <n v="10.96551724137931"/>
    <n v="55.44654088050315"/>
    <x v="2"/>
  </r>
  <r>
    <d v="2026-05-27T00:00:00"/>
    <x v="0"/>
    <x v="2"/>
    <x v="0"/>
    <s v="25K-35K"/>
    <n v="327"/>
    <n v="7"/>
    <n v="33"/>
    <n v="301"/>
    <n v="46"/>
    <n v="3"/>
    <s v="Correct"/>
    <n v="71.739130434782609"/>
    <n v="20.7"/>
    <n v="14.541062801932368"/>
    <x v="0"/>
  </r>
  <r>
    <d v="2026-05-27T00:00:00"/>
    <x v="0"/>
    <x v="2"/>
    <x v="1"/>
    <s v="20K-25K"/>
    <n v="263"/>
    <n v="14"/>
    <n v="34"/>
    <n v="243"/>
    <n v="36"/>
    <n v="1"/>
    <s v="Correct"/>
    <n v="94.444444444444443"/>
    <n v="23.758620689655171"/>
    <n v="10.227866473149493"/>
    <x v="0"/>
  </r>
  <r>
    <d v="2026-05-27T00:00:00"/>
    <x v="0"/>
    <x v="2"/>
    <x v="2"/>
    <s v="10K-15K"/>
    <n v="77"/>
    <n v="21"/>
    <n v="36"/>
    <n v="62"/>
    <n v="36"/>
    <n v="4"/>
    <s v="Correct"/>
    <n v="100"/>
    <n v="31.142857142857142"/>
    <n v="1.9908256880733946"/>
    <x v="0"/>
  </r>
  <r>
    <d v="2026-05-27T00:00:00"/>
    <x v="0"/>
    <x v="0"/>
    <x v="3"/>
    <s v="Below 10K"/>
    <n v="135"/>
    <n v="53"/>
    <n v="40"/>
    <n v="148"/>
    <n v="50"/>
    <n v="3"/>
    <s v="Correct"/>
    <n v="80"/>
    <n v="34.515151515151516"/>
    <n v="4.2879719051799823"/>
    <x v="0"/>
  </r>
  <r>
    <d v="2026-05-27T00:00:00"/>
    <x v="0"/>
    <x v="2"/>
    <x v="4"/>
    <s v="35K+"/>
    <n v="688"/>
    <n v="53"/>
    <n v="8"/>
    <n v="733"/>
    <n v="19"/>
    <n v="1"/>
    <s v="Correct"/>
    <n v="42.105263157894733"/>
    <n v="11.3"/>
    <n v="64.86725663716814"/>
    <x v="2"/>
  </r>
  <r>
    <d v="2026-05-27T00:00:00"/>
    <x v="1"/>
    <x v="3"/>
    <x v="0"/>
    <s v="25K-35K"/>
    <n v="584"/>
    <n v="30"/>
    <n v="16"/>
    <n v="598"/>
    <n v="16"/>
    <n v="4"/>
    <s v="Correct"/>
    <n v="100"/>
    <n v="22.258064516129032"/>
    <n v="26.866666666666667"/>
    <x v="1"/>
  </r>
  <r>
    <d v="2026-05-27T00:00:00"/>
    <x v="1"/>
    <x v="3"/>
    <x v="1"/>
    <s v="20K-25K"/>
    <n v="411"/>
    <n v="33"/>
    <n v="33"/>
    <n v="411"/>
    <n v="41"/>
    <n v="1"/>
    <s v="Correct"/>
    <n v="80.487804878048792"/>
    <n v="20.172413793103448"/>
    <n v="20.374358974358973"/>
    <x v="1"/>
  </r>
  <r>
    <d v="2026-05-27T00:00:00"/>
    <x v="1"/>
    <x v="3"/>
    <x v="2"/>
    <s v="10K-15K"/>
    <n v="37"/>
    <n v="43"/>
    <n v="23"/>
    <n v="57"/>
    <n v="32"/>
    <n v="1"/>
    <s v="Correct"/>
    <n v="71.875"/>
    <n v="29.733333333333334"/>
    <n v="1.9170403587443945"/>
    <x v="0"/>
  </r>
  <r>
    <d v="2026-05-27T00:00:00"/>
    <x v="1"/>
    <x v="3"/>
    <x v="3"/>
    <s v="Below 10K"/>
    <n v="282"/>
    <n v="50"/>
    <n v="43"/>
    <n v="289"/>
    <n v="44"/>
    <n v="4"/>
    <s v="Correct"/>
    <n v="97.727272727272734"/>
    <n v="30.724137931034484"/>
    <n v="9.4062850729517393"/>
    <x v="0"/>
  </r>
  <r>
    <d v="2026-05-27T00:00:00"/>
    <x v="1"/>
    <x v="3"/>
    <x v="4"/>
    <s v="35K+"/>
    <n v="465"/>
    <n v="21"/>
    <n v="9"/>
    <n v="477"/>
    <n v="9"/>
    <n v="2"/>
    <s v="Correct"/>
    <n v="100"/>
    <n v="11.566666666666666"/>
    <n v="41.23919308357349"/>
    <x v="2"/>
  </r>
  <r>
    <d v="2026-05-27T00:00:00"/>
    <x v="2"/>
    <x v="4"/>
    <x v="0"/>
    <s v="25K-35K"/>
    <n v="429"/>
    <n v="23"/>
    <n v="25"/>
    <n v="427"/>
    <n v="26"/>
    <n v="4"/>
    <s v="Correct"/>
    <n v="96.15384615384616"/>
    <n v="22.25"/>
    <n v="19.191011235955056"/>
    <x v="1"/>
  </r>
  <r>
    <d v="2026-05-27T00:00:00"/>
    <x v="2"/>
    <x v="4"/>
    <x v="1"/>
    <s v="20K-25K"/>
    <n v="429"/>
    <n v="31"/>
    <n v="28"/>
    <n v="432"/>
    <n v="37"/>
    <n v="3"/>
    <s v="Correct"/>
    <n v="75.675675675675677"/>
    <n v="19.96551724137931"/>
    <n v="21.637305699481868"/>
    <x v="1"/>
  </r>
  <r>
    <d v="2026-05-27T00:00:00"/>
    <x v="2"/>
    <x v="4"/>
    <x v="2"/>
    <s v="10K-15K"/>
    <n v="124"/>
    <n v="28"/>
    <n v="32"/>
    <n v="120"/>
    <n v="42"/>
    <n v="3"/>
    <s v="Correct"/>
    <n v="76.19047619047619"/>
    <n v="31.206896551724139"/>
    <n v="3.8453038674033149"/>
    <x v="0"/>
  </r>
  <r>
    <d v="2026-05-27T00:00:00"/>
    <x v="2"/>
    <x v="4"/>
    <x v="3"/>
    <s v="Below 10K"/>
    <n v="54"/>
    <n v="21"/>
    <n v="44"/>
    <n v="31"/>
    <n v="52"/>
    <n v="4"/>
    <s v="Correct"/>
    <n v="84.615384615384613"/>
    <n v="32.620689655172413"/>
    <n v="0.95031712473572938"/>
    <x v="0"/>
  </r>
  <r>
    <d v="2026-05-27T00:00:00"/>
    <x v="2"/>
    <x v="4"/>
    <x v="4"/>
    <s v="35K+"/>
    <n v="782"/>
    <n v="45"/>
    <n v="16"/>
    <n v="811"/>
    <n v="25"/>
    <n v="2"/>
    <s v="Correct"/>
    <n v="64"/>
    <n v="11.678571428571429"/>
    <n v="69.443425076452598"/>
    <x v="2"/>
  </r>
  <r>
    <d v="2026-05-27T00:00:00"/>
    <x v="3"/>
    <x v="5"/>
    <x v="0"/>
    <s v="25K-35K"/>
    <n v="409"/>
    <n v="39"/>
    <n v="10"/>
    <n v="438"/>
    <n v="22"/>
    <n v="3"/>
    <s v="Correct"/>
    <n v="45.454545454545453"/>
    <n v="20.84375"/>
    <n v="21.013493253373312"/>
    <x v="1"/>
  </r>
  <r>
    <d v="2026-05-27T00:00:00"/>
    <x v="3"/>
    <x v="5"/>
    <x v="1"/>
    <s v="20K-25K"/>
    <n v="400"/>
    <n v="26"/>
    <n v="10"/>
    <n v="416"/>
    <n v="18"/>
    <n v="2"/>
    <s v="Correct"/>
    <n v="55.555555555555557"/>
    <n v="21.46875"/>
    <n v="19.377001455604077"/>
    <x v="1"/>
  </r>
  <r>
    <d v="2026-05-17T00:00:00"/>
    <x v="3"/>
    <x v="5"/>
    <x v="2"/>
    <s v="10K-15K"/>
    <n v="167"/>
    <n v="8"/>
    <n v="35"/>
    <n v="140"/>
    <n v="39"/>
    <n v="4"/>
    <s v="Correct"/>
    <n v="89.743589743589752"/>
    <n v="30.586206896551722"/>
    <n v="4.5772266065388951"/>
    <x v="0"/>
  </r>
  <r>
    <d v="2026-05-27T00:00:00"/>
    <x v="3"/>
    <x v="5"/>
    <x v="3"/>
    <s v="Below 10K"/>
    <n v="43"/>
    <n v="37"/>
    <n v="32"/>
    <n v="48"/>
    <n v="32"/>
    <n v="4"/>
    <s v="Correct"/>
    <n v="100"/>
    <n v="32.299999999999997"/>
    <n v="1.4860681114551084"/>
    <x v="0"/>
  </r>
  <r>
    <d v="2026-05-27T00:00:00"/>
    <x v="3"/>
    <x v="5"/>
    <x v="4"/>
    <s v="35K+"/>
    <n v="803"/>
    <n v="11"/>
    <n v="14"/>
    <n v="800"/>
    <n v="15"/>
    <n v="3"/>
    <s v="Correct"/>
    <n v="93.333333333333329"/>
    <n v="10.413793103448276"/>
    <n v="76.821192052980138"/>
    <x v="2"/>
  </r>
  <r>
    <d v="2026-05-27T00:00:00"/>
    <x v="4"/>
    <x v="6"/>
    <x v="0"/>
    <s v="25K-35K"/>
    <n v="238"/>
    <n v="14"/>
    <n v="26"/>
    <n v="226"/>
    <n v="39"/>
    <n v="5"/>
    <s v="Correct"/>
    <n v="66.666666666666657"/>
    <n v="20.70967741935484"/>
    <n v="10.912772585669781"/>
    <x v="0"/>
  </r>
  <r>
    <d v="2026-05-27T00:00:00"/>
    <x v="4"/>
    <x v="6"/>
    <x v="1"/>
    <s v="20K-25K"/>
    <n v="277"/>
    <n v="37"/>
    <n v="34"/>
    <n v="280"/>
    <n v="44"/>
    <n v="5"/>
    <s v="Correct"/>
    <n v="77.272727272727266"/>
    <n v="22.142857142857142"/>
    <n v="12.64516129032258"/>
    <x v="0"/>
  </r>
  <r>
    <d v="2026-05-27T00:00:00"/>
    <x v="4"/>
    <x v="6"/>
    <x v="2"/>
    <s v="10K-15K"/>
    <n v="105"/>
    <n v="30"/>
    <n v="48"/>
    <n v="87"/>
    <n v="51"/>
    <n v="1"/>
    <s v="Correct"/>
    <n v="94.117647058823522"/>
    <n v="30.275862068965516"/>
    <n v="2.8735763097949887"/>
    <x v="0"/>
  </r>
  <r>
    <d v="2026-05-27T00:00:00"/>
    <x v="4"/>
    <x v="6"/>
    <x v="3"/>
    <s v="Below 10K"/>
    <n v="339"/>
    <n v="59"/>
    <n v="32"/>
    <n v="366"/>
    <n v="39"/>
    <n v="1"/>
    <s v="Correct"/>
    <n v="82.051282051282044"/>
    <n v="30.931034482758619"/>
    <n v="11.832775919732443"/>
    <x v="0"/>
  </r>
  <r>
    <d v="2026-05-27T00:00:00"/>
    <x v="4"/>
    <x v="6"/>
    <x v="4"/>
    <s v="35K+"/>
    <n v="607"/>
    <n v="44"/>
    <n v="11"/>
    <n v="640"/>
    <n v="14"/>
    <n v="4"/>
    <s v="Correct"/>
    <n v="78.571428571428569"/>
    <n v="10.25"/>
    <n v="62.439024390243901"/>
    <x v="2"/>
  </r>
  <r>
    <d v="2026-05-28T00:00:00"/>
    <x v="0"/>
    <x v="0"/>
    <x v="0"/>
    <s v="25K-35K"/>
    <n v="560"/>
    <n v="44"/>
    <n v="16"/>
    <n v="588"/>
    <n v="20"/>
    <n v="5"/>
    <s v="Correct"/>
    <n v="80"/>
    <n v="21.666666666666668"/>
    <n v="27.138461538461538"/>
    <x v="1"/>
  </r>
  <r>
    <d v="2026-05-28T00:00:00"/>
    <x v="0"/>
    <x v="0"/>
    <x v="1"/>
    <s v="20K-25K"/>
    <n v="338"/>
    <n v="22"/>
    <n v="17"/>
    <n v="343"/>
    <n v="26"/>
    <n v="4"/>
    <s v="Correct"/>
    <n v="65.384615384615387"/>
    <n v="20.030303030303031"/>
    <n v="17.124054462934946"/>
    <x v="1"/>
  </r>
  <r>
    <d v="2026-05-28T00:00:00"/>
    <x v="0"/>
    <x v="0"/>
    <x v="2"/>
    <s v="10K-15K"/>
    <n v="143"/>
    <n v="44"/>
    <n v="27"/>
    <n v="160"/>
    <n v="29"/>
    <n v="2"/>
    <s v="Correct"/>
    <n v="93.103448275862064"/>
    <n v="33.34375"/>
    <n v="4.7985004686035611"/>
    <x v="0"/>
  </r>
  <r>
    <d v="2026-05-28T00:00:00"/>
    <x v="0"/>
    <x v="0"/>
    <x v="3"/>
    <s v="Below 10K"/>
    <n v="16"/>
    <n v="12"/>
    <n v="37"/>
    <n v="-9"/>
    <n v="46"/>
    <n v="2"/>
    <s v="Need verification"/>
    <n v="80.434782608695656"/>
    <n v="34.515151515151516"/>
    <n v="-0.26075504828797191"/>
    <x v="0"/>
  </r>
  <r>
    <d v="2026-05-28T00:00:00"/>
    <x v="0"/>
    <x v="0"/>
    <x v="4"/>
    <s v="35K+"/>
    <n v="577"/>
    <n v="54"/>
    <n v="8"/>
    <n v="623"/>
    <n v="8"/>
    <n v="5"/>
    <s v="Correct"/>
    <n v="100"/>
    <n v="9.9032258064516121"/>
    <n v="62.908794788273617"/>
    <x v="2"/>
  </r>
  <r>
    <d v="2026-05-28T00:00:00"/>
    <x v="0"/>
    <x v="1"/>
    <x v="0"/>
    <s v="25K-35K"/>
    <n v="369"/>
    <n v="10"/>
    <n v="9"/>
    <n v="370"/>
    <n v="13"/>
    <n v="4"/>
    <s v="Correct"/>
    <n v="69.230769230769226"/>
    <n v="21.35483870967742"/>
    <n v="17.326283987915406"/>
    <x v="1"/>
  </r>
  <r>
    <d v="2026-05-28T00:00:00"/>
    <x v="0"/>
    <x v="1"/>
    <x v="1"/>
    <s v="20K-25K"/>
    <n v="250"/>
    <n v="3"/>
    <n v="23"/>
    <n v="230"/>
    <n v="28"/>
    <n v="4"/>
    <s v="Correct"/>
    <n v="82.142857142857139"/>
    <n v="21.9"/>
    <n v="10.502283105022832"/>
    <x v="0"/>
  </r>
  <r>
    <d v="2026-05-28T00:00:00"/>
    <x v="0"/>
    <x v="1"/>
    <x v="2"/>
    <s v="10K-15K"/>
    <n v="144"/>
    <n v="10"/>
    <n v="16"/>
    <n v="138"/>
    <n v="19"/>
    <n v="3"/>
    <s v="Correct"/>
    <n v="84.210526315789465"/>
    <n v="31.586206896551722"/>
    <n v="4.3689956331877733"/>
    <x v="0"/>
  </r>
  <r>
    <d v="2026-05-28T00:00:00"/>
    <x v="0"/>
    <x v="1"/>
    <x v="3"/>
    <s v="Below 10K"/>
    <n v="8"/>
    <n v="2"/>
    <n v="19"/>
    <n v="-9"/>
    <n v="32"/>
    <n v="4"/>
    <s v="Need verification"/>
    <n v="59.375"/>
    <n v="34.200000000000003"/>
    <n v="-0.26315789473684209"/>
    <x v="0"/>
  </r>
  <r>
    <d v="2026-05-28T00:00:00"/>
    <x v="0"/>
    <x v="1"/>
    <x v="4"/>
    <s v="35K+"/>
    <n v="608"/>
    <n v="30"/>
    <n v="14"/>
    <n v="624"/>
    <n v="28"/>
    <n v="2"/>
    <s v="Correct"/>
    <n v="50"/>
    <n v="10.96551724137931"/>
    <n v="56.905660377358494"/>
    <x v="2"/>
  </r>
  <r>
    <d v="2026-05-28T00:00:00"/>
    <x v="0"/>
    <x v="2"/>
    <x v="0"/>
    <s v="25K-35K"/>
    <n v="301"/>
    <n v="51"/>
    <n v="23"/>
    <n v="329"/>
    <n v="25"/>
    <n v="5"/>
    <s v="Correct"/>
    <n v="92"/>
    <n v="20.7"/>
    <n v="15.893719806763286"/>
    <x v="1"/>
  </r>
  <r>
    <d v="2026-05-28T00:00:00"/>
    <x v="0"/>
    <x v="2"/>
    <x v="1"/>
    <s v="20K-25K"/>
    <n v="243"/>
    <n v="40"/>
    <n v="32"/>
    <n v="251"/>
    <n v="39"/>
    <n v="4"/>
    <s v="Correct"/>
    <n v="82.051282051282044"/>
    <n v="23.758620689655171"/>
    <n v="10.564586357039188"/>
    <x v="0"/>
  </r>
  <r>
    <d v="2026-05-28T00:00:00"/>
    <x v="0"/>
    <x v="2"/>
    <x v="2"/>
    <s v="10K-15K"/>
    <n v="62"/>
    <n v="31"/>
    <n v="36"/>
    <n v="57"/>
    <n v="38"/>
    <n v="3"/>
    <s v="Correct"/>
    <n v="94.73684210526315"/>
    <n v="31.142857142857142"/>
    <n v="1.8302752293577982"/>
    <x v="0"/>
  </r>
  <r>
    <d v="2026-05-28T00:00:00"/>
    <x v="0"/>
    <x v="2"/>
    <x v="3"/>
    <s v="Below 10K"/>
    <n v="148"/>
    <n v="22"/>
    <n v="33"/>
    <n v="137"/>
    <n v="45"/>
    <n v="4"/>
    <s v="Correct"/>
    <n v="73.333333333333329"/>
    <n v="31.137931034482758"/>
    <n v="4.3997785160575855"/>
    <x v="0"/>
  </r>
  <r>
    <d v="2026-05-28T00:00:00"/>
    <x v="0"/>
    <x v="2"/>
    <x v="4"/>
    <s v="35K+"/>
    <n v="733"/>
    <n v="35"/>
    <n v="15"/>
    <n v="753"/>
    <n v="25"/>
    <n v="4"/>
    <s v="Correct"/>
    <n v="60"/>
    <n v="11.3"/>
    <n v="66.637168141592923"/>
    <x v="2"/>
  </r>
  <r>
    <d v="2026-05-28T00:00:00"/>
    <x v="1"/>
    <x v="3"/>
    <x v="0"/>
    <s v="25K-35K"/>
    <n v="598"/>
    <n v="41"/>
    <n v="13"/>
    <n v="626"/>
    <n v="22"/>
    <n v="3"/>
    <s v="Correct"/>
    <n v="59.090909090909093"/>
    <n v="22.258064516129032"/>
    <n v="28.12463768115942"/>
    <x v="1"/>
  </r>
  <r>
    <d v="2026-05-28T00:00:00"/>
    <x v="1"/>
    <x v="3"/>
    <x v="1"/>
    <s v="20K-25K"/>
    <n v="411"/>
    <n v="47"/>
    <n v="8"/>
    <n v="450"/>
    <n v="16"/>
    <n v="2"/>
    <s v="Correct"/>
    <n v="50"/>
    <n v="20.172413793103448"/>
    <n v="22.307692307692307"/>
    <x v="1"/>
  </r>
  <r>
    <d v="2026-05-28T00:00:00"/>
    <x v="1"/>
    <x v="3"/>
    <x v="2"/>
    <s v="10K-15K"/>
    <n v="57"/>
    <n v="22"/>
    <n v="16"/>
    <n v="63"/>
    <n v="24"/>
    <n v="2"/>
    <s v="Correct"/>
    <n v="66.666666666666657"/>
    <n v="29.733333333333334"/>
    <n v="2.1188340807174888"/>
    <x v="0"/>
  </r>
  <r>
    <d v="2026-05-28T00:00:00"/>
    <x v="1"/>
    <x v="3"/>
    <x v="3"/>
    <s v="Below 10K"/>
    <n v="289"/>
    <n v="60"/>
    <n v="48"/>
    <n v="301"/>
    <n v="52"/>
    <n v="2"/>
    <s v="Correct"/>
    <n v="92.307692307692307"/>
    <n v="30.724137931034484"/>
    <n v="9.7968574635241303"/>
    <x v="0"/>
  </r>
  <r>
    <d v="2026-05-28T00:00:00"/>
    <x v="1"/>
    <x v="3"/>
    <x v="4"/>
    <s v="35K+"/>
    <n v="477"/>
    <n v="56"/>
    <n v="12"/>
    <n v="521"/>
    <n v="19"/>
    <n v="1"/>
    <s v="Correct"/>
    <n v="63.157894736842103"/>
    <n v="11.566666666666666"/>
    <n v="45.043227665706056"/>
    <x v="2"/>
  </r>
  <r>
    <d v="2026-05-28T00:00:00"/>
    <x v="2"/>
    <x v="4"/>
    <x v="0"/>
    <s v="25K-35K"/>
    <n v="427"/>
    <n v="22"/>
    <n v="35"/>
    <n v="414"/>
    <n v="36"/>
    <n v="5"/>
    <s v="Correct"/>
    <n v="97.222222222222214"/>
    <n v="22.25"/>
    <n v="18.606741573033709"/>
    <x v="1"/>
  </r>
  <r>
    <d v="2026-05-28T00:00:00"/>
    <x v="2"/>
    <x v="4"/>
    <x v="1"/>
    <s v="20K-25K"/>
    <n v="432"/>
    <n v="47"/>
    <n v="13"/>
    <n v="466"/>
    <n v="14"/>
    <n v="4"/>
    <s v="Correct"/>
    <n v="92.857142857142861"/>
    <n v="19.96551724137931"/>
    <n v="23.340241796200345"/>
    <x v="1"/>
  </r>
  <r>
    <d v="2026-05-28T00:00:00"/>
    <x v="2"/>
    <x v="4"/>
    <x v="2"/>
    <s v="10K-15K"/>
    <n v="120"/>
    <n v="24"/>
    <n v="33"/>
    <n v="111"/>
    <n v="47"/>
    <n v="2"/>
    <s v="Correct"/>
    <n v="70.212765957446805"/>
    <n v="31.206896551724139"/>
    <n v="3.5569060773480663"/>
    <x v="0"/>
  </r>
  <r>
    <d v="2026-05-28T00:00:00"/>
    <x v="2"/>
    <x v="4"/>
    <x v="3"/>
    <s v="Below 10K"/>
    <n v="31"/>
    <n v="0"/>
    <n v="16"/>
    <n v="15"/>
    <n v="26"/>
    <n v="5"/>
    <s v="Correct"/>
    <n v="61.53846153846154"/>
    <n v="32.620689655172413"/>
    <n v="0.45983086680761098"/>
    <x v="0"/>
  </r>
  <r>
    <d v="2026-05-28T00:00:00"/>
    <x v="2"/>
    <x v="4"/>
    <x v="4"/>
    <s v="35K+"/>
    <n v="811"/>
    <n v="36"/>
    <n v="8"/>
    <n v="839"/>
    <n v="17"/>
    <n v="5"/>
    <s v="Correct"/>
    <n v="47.058823529411761"/>
    <n v="11.678571428571429"/>
    <n v="71.840978593272169"/>
    <x v="2"/>
  </r>
  <r>
    <d v="2026-05-28T00:00:00"/>
    <x v="3"/>
    <x v="5"/>
    <x v="0"/>
    <s v="25K-35K"/>
    <n v="438"/>
    <n v="20"/>
    <n v="8"/>
    <n v="450"/>
    <n v="12"/>
    <n v="5"/>
    <s v="Correct"/>
    <n v="66.666666666666657"/>
    <n v="20.84375"/>
    <n v="21.589205397301349"/>
    <x v="1"/>
  </r>
  <r>
    <d v="2026-05-28T00:00:00"/>
    <x v="3"/>
    <x v="5"/>
    <x v="1"/>
    <s v="20K-25K"/>
    <n v="416"/>
    <n v="21"/>
    <n v="24"/>
    <n v="413"/>
    <n v="31"/>
    <n v="1"/>
    <s v="Correct"/>
    <n v="77.41935483870968"/>
    <n v="21.46875"/>
    <n v="19.237263464337701"/>
    <x v="1"/>
  </r>
  <r>
    <d v="2026-05-28T00:00:00"/>
    <x v="3"/>
    <x v="5"/>
    <x v="2"/>
    <s v="10K-15K"/>
    <n v="140"/>
    <n v="11"/>
    <n v="35"/>
    <n v="116"/>
    <n v="41"/>
    <n v="4"/>
    <s v="Correct"/>
    <n v="85.365853658536579"/>
    <n v="30.586206896551722"/>
    <n v="3.7925591882750846"/>
    <x v="0"/>
  </r>
  <r>
    <d v="2026-05-28T00:00:00"/>
    <x v="3"/>
    <x v="5"/>
    <x v="3"/>
    <s v="Below 10K"/>
    <n v="48"/>
    <n v="31"/>
    <n v="20"/>
    <n v="59"/>
    <n v="21"/>
    <n v="1"/>
    <s v="Correct"/>
    <n v="95.238095238095227"/>
    <n v="32.299999999999997"/>
    <n v="1.8266253869969042"/>
    <x v="0"/>
  </r>
  <r>
    <d v="2026-05-28T00:00:00"/>
    <x v="3"/>
    <x v="5"/>
    <x v="4"/>
    <s v="35K+"/>
    <n v="800"/>
    <n v="30"/>
    <n v="3"/>
    <n v="827"/>
    <n v="11"/>
    <n v="4"/>
    <s v="Correct"/>
    <n v="27.27272727272727"/>
    <n v="10.413793103448276"/>
    <n v="79.413907284768214"/>
    <x v="2"/>
  </r>
  <r>
    <d v="2026-05-28T00:00:00"/>
    <x v="4"/>
    <x v="6"/>
    <x v="0"/>
    <s v="25K-35K"/>
    <n v="226"/>
    <n v="57"/>
    <n v="31"/>
    <n v="252"/>
    <n v="39"/>
    <n v="5"/>
    <s v="Correct"/>
    <n v="79.487179487179489"/>
    <n v="20.70967741935484"/>
    <n v="12.16822429906542"/>
    <x v="0"/>
  </r>
  <r>
    <d v="2026-05-28T00:00:00"/>
    <x v="4"/>
    <x v="6"/>
    <x v="1"/>
    <s v="20K-25K"/>
    <n v="280"/>
    <n v="32"/>
    <n v="30"/>
    <n v="282"/>
    <n v="23"/>
    <n v="3"/>
    <s v="Correct"/>
    <n v="130.43478260869566"/>
    <n v="22.142857142857142"/>
    <n v="12.735483870967743"/>
    <x v="0"/>
  </r>
  <r>
    <d v="2026-05-28T00:00:00"/>
    <x v="4"/>
    <x v="6"/>
    <x v="2"/>
    <s v="10K-15K"/>
    <n v="87"/>
    <n v="11"/>
    <n v="25"/>
    <n v="73"/>
    <n v="36"/>
    <n v="3"/>
    <s v="Correct"/>
    <n v="69.444444444444443"/>
    <n v="30.275862068965516"/>
    <n v="2.4111617312072893"/>
    <x v="0"/>
  </r>
  <r>
    <d v="2026-05-28T00:00:00"/>
    <x v="4"/>
    <x v="6"/>
    <x v="3"/>
    <s v="Below 10K"/>
    <n v="366"/>
    <n v="32"/>
    <n v="18"/>
    <n v="380"/>
    <n v="28"/>
    <n v="2"/>
    <s v="Correct"/>
    <n v="64.285714285714292"/>
    <n v="30.931034482758619"/>
    <n v="12.285395763656634"/>
    <x v="0"/>
  </r>
  <r>
    <d v="2026-05-28T00:00:00"/>
    <x v="4"/>
    <x v="6"/>
    <x v="4"/>
    <s v="35K+"/>
    <n v="640"/>
    <n v="29"/>
    <n v="9"/>
    <n v="660"/>
    <n v="17"/>
    <n v="3"/>
    <s v="Correct"/>
    <n v="52.941176470588239"/>
    <n v="10.25"/>
    <n v="64.390243902439025"/>
    <x v="2"/>
  </r>
  <r>
    <d v="2026-05-29T00:00:00"/>
    <x v="0"/>
    <x v="0"/>
    <x v="0"/>
    <s v="25K-35K"/>
    <n v="588"/>
    <n v="25"/>
    <n v="30"/>
    <n v="583"/>
    <n v="35"/>
    <n v="3"/>
    <s v="Correct"/>
    <n v="85.714285714285708"/>
    <n v="21.666666666666668"/>
    <n v="26.907692307692304"/>
    <x v="1"/>
  </r>
  <r>
    <d v="2026-05-29T00:00:00"/>
    <x v="0"/>
    <x v="0"/>
    <x v="1"/>
    <s v="20K-25K"/>
    <n v="343"/>
    <n v="24"/>
    <n v="16"/>
    <n v="351"/>
    <n v="30"/>
    <n v="3"/>
    <s v="Correct"/>
    <n v="53.333333333333336"/>
    <n v="20.030303030303031"/>
    <n v="17.523449319213313"/>
    <x v="1"/>
  </r>
  <r>
    <d v="2026-05-29T00:00:00"/>
    <x v="0"/>
    <x v="0"/>
    <x v="2"/>
    <s v="10K-15K"/>
    <n v="160"/>
    <n v="29"/>
    <n v="47"/>
    <n v="142"/>
    <n v="50"/>
    <n v="2"/>
    <s v="Correct"/>
    <n v="94"/>
    <n v="33.34375"/>
    <n v="4.258669165885661"/>
    <x v="0"/>
  </r>
  <r>
    <d v="2026-05-29T00:00:00"/>
    <x v="0"/>
    <x v="0"/>
    <x v="3"/>
    <s v="Below 10K"/>
    <n v="16"/>
    <n v="11"/>
    <n v="29"/>
    <n v="-2"/>
    <n v="44"/>
    <n v="5"/>
    <s v="Need verification"/>
    <n v="65.909090909090907"/>
    <n v="34.515151515151516"/>
    <n v="-5.7945566286215978E-2"/>
    <x v="0"/>
  </r>
  <r>
    <d v="2026-05-29T00:00:00"/>
    <x v="0"/>
    <x v="0"/>
    <x v="0"/>
    <s v="35K+"/>
    <n v="623"/>
    <n v="55"/>
    <n v="16"/>
    <n v="662"/>
    <n v="26"/>
    <n v="4"/>
    <s v="Correct"/>
    <n v="61.53846153846154"/>
    <n v="21.666666666666668"/>
    <n v="30.553846153846152"/>
    <x v="2"/>
  </r>
  <r>
    <d v="2026-05-29T00:00:00"/>
    <x v="0"/>
    <x v="1"/>
    <x v="0"/>
    <s v="25K-35K"/>
    <n v="370"/>
    <n v="18"/>
    <n v="9"/>
    <n v="379"/>
    <n v="17"/>
    <n v="3"/>
    <s v="Correct"/>
    <n v="52.941176470588239"/>
    <n v="21.35483870967742"/>
    <n v="17.74773413897281"/>
    <x v="1"/>
  </r>
  <r>
    <d v="2026-05-29T00:00:00"/>
    <x v="0"/>
    <x v="1"/>
    <x v="1"/>
    <s v="20K-25K"/>
    <n v="230"/>
    <n v="16"/>
    <n v="26"/>
    <n v="220"/>
    <n v="30"/>
    <n v="2"/>
    <s v="Correct"/>
    <n v="86.666666666666671"/>
    <n v="21.9"/>
    <n v="10.045662100456621"/>
    <x v="0"/>
  </r>
  <r>
    <d v="2026-05-28T00:00:00"/>
    <x v="0"/>
    <x v="1"/>
    <x v="2"/>
    <s v="10K-15K"/>
    <n v="138"/>
    <n v="22"/>
    <n v="45"/>
    <n v="115"/>
    <n v="48"/>
    <n v="5"/>
    <s v="Correct"/>
    <n v="93.75"/>
    <n v="31.586206896551722"/>
    <n v="3.6408296943231444"/>
    <x v="0"/>
  </r>
  <r>
    <d v="2026-05-29T00:00:00"/>
    <x v="0"/>
    <x v="1"/>
    <x v="3"/>
    <s v="Below 10K"/>
    <n v="10"/>
    <n v="24"/>
    <n v="24"/>
    <n v="10"/>
    <n v="29"/>
    <n v="5"/>
    <s v="Correct"/>
    <n v="82.758620689655174"/>
    <n v="34.200000000000003"/>
    <n v="0.29239766081871343"/>
    <x v="0"/>
  </r>
  <r>
    <d v="2026-05-29T00:00:00"/>
    <x v="0"/>
    <x v="1"/>
    <x v="4"/>
    <s v="35K+"/>
    <n v="624"/>
    <n v="44"/>
    <n v="11"/>
    <n v="657"/>
    <n v="20"/>
    <n v="4"/>
    <s v="Correct"/>
    <n v="55.000000000000007"/>
    <n v="10.96551724137931"/>
    <n v="59.915094339622648"/>
    <x v="2"/>
  </r>
  <r>
    <d v="2026-05-29T00:00:00"/>
    <x v="0"/>
    <x v="2"/>
    <x v="0"/>
    <s v="25K-35K"/>
    <n v="329"/>
    <n v="44"/>
    <n v="9"/>
    <n v="364"/>
    <n v="23"/>
    <n v="2"/>
    <s v="Correct"/>
    <n v="39.130434782608695"/>
    <n v="20.7"/>
    <n v="17.584541062801932"/>
    <x v="1"/>
  </r>
  <r>
    <d v="2026-05-29T00:00:00"/>
    <x v="0"/>
    <x v="2"/>
    <x v="1"/>
    <s v="20K-25K"/>
    <n v="251"/>
    <n v="59"/>
    <n v="30"/>
    <n v="280"/>
    <n v="39"/>
    <n v="3"/>
    <s v="Correct"/>
    <n v="76.923076923076934"/>
    <n v="23.758620689655171"/>
    <n v="11.785195936139333"/>
    <x v="0"/>
  </r>
  <r>
    <d v="2026-05-29T00:00:00"/>
    <x v="0"/>
    <x v="2"/>
    <x v="2"/>
    <s v="10K-15K"/>
    <n v="57"/>
    <n v="55"/>
    <n v="17"/>
    <n v="95"/>
    <n v="21"/>
    <n v="2"/>
    <s v="Correct"/>
    <n v="80.952380952380949"/>
    <n v="31.142857142857142"/>
    <n v="3.0504587155963305"/>
    <x v="0"/>
  </r>
  <r>
    <d v="2026-05-29T00:00:00"/>
    <x v="0"/>
    <x v="2"/>
    <x v="3"/>
    <s v="Below 10K"/>
    <n v="137"/>
    <n v="24"/>
    <n v="42"/>
    <n v="119"/>
    <n v="48"/>
    <n v="2"/>
    <s v="Correct"/>
    <n v="87.5"/>
    <n v="31.137931034482758"/>
    <n v="3.8217054263565893"/>
    <x v="0"/>
  </r>
  <r>
    <d v="2026-05-29T00:00:00"/>
    <x v="0"/>
    <x v="2"/>
    <x v="4"/>
    <s v="35K+"/>
    <n v="753"/>
    <n v="20"/>
    <n v="10"/>
    <n v="763"/>
    <n v="22"/>
    <n v="2"/>
    <s v="Correct"/>
    <n v="45.454545454545453"/>
    <n v="11.3"/>
    <n v="67.522123893805301"/>
    <x v="2"/>
  </r>
  <r>
    <d v="2026-05-29T00:00:00"/>
    <x v="1"/>
    <x v="3"/>
    <x v="0"/>
    <s v="25K-35K"/>
    <n v="626"/>
    <n v="40"/>
    <n v="19"/>
    <n v="647"/>
    <n v="27"/>
    <n v="1"/>
    <s v="Correct"/>
    <n v="70.370370370370367"/>
    <n v="22.258064516129032"/>
    <n v="29.068115942028985"/>
    <x v="1"/>
  </r>
  <r>
    <d v="2026-05-29T00:00:00"/>
    <x v="1"/>
    <x v="3"/>
    <x v="1"/>
    <s v="20K-25K"/>
    <n v="450"/>
    <n v="23"/>
    <n v="32"/>
    <n v="441"/>
    <n v="45"/>
    <n v="4"/>
    <s v="Correct"/>
    <n v="71.111111111111114"/>
    <n v="20.172413793103448"/>
    <n v="21.861538461538462"/>
    <x v="1"/>
  </r>
  <r>
    <d v="2026-05-29T00:00:00"/>
    <x v="1"/>
    <x v="3"/>
    <x v="2"/>
    <s v="10K-15K"/>
    <n v="63"/>
    <n v="59"/>
    <n v="16"/>
    <n v="106"/>
    <n v="28"/>
    <n v="4"/>
    <s v="Correct"/>
    <n v="57.142857142857139"/>
    <n v="29.733333333333334"/>
    <n v="3.5650224215246635"/>
    <x v="0"/>
  </r>
  <r>
    <d v="2026-05-29T00:00:00"/>
    <x v="1"/>
    <x v="3"/>
    <x v="3"/>
    <s v="Below 10K"/>
    <n v="301"/>
    <n v="30"/>
    <n v="27"/>
    <n v="304"/>
    <n v="31"/>
    <n v="1"/>
    <s v="Correct"/>
    <n v="87.096774193548384"/>
    <n v="30.724137931034484"/>
    <n v="9.8945005611672272"/>
    <x v="0"/>
  </r>
  <r>
    <d v="2026-05-29T00:00:00"/>
    <x v="1"/>
    <x v="3"/>
    <x v="4"/>
    <s v="35K+"/>
    <n v="521"/>
    <n v="32"/>
    <n v="7"/>
    <n v="546"/>
    <n v="11"/>
    <n v="4"/>
    <s v="Correct"/>
    <n v="63.636363636363633"/>
    <n v="11.566666666666666"/>
    <n v="47.204610951008647"/>
    <x v="2"/>
  </r>
  <r>
    <d v="2026-05-29T00:00:00"/>
    <x v="2"/>
    <x v="4"/>
    <x v="0"/>
    <s v="25K-35K"/>
    <n v="414"/>
    <n v="12"/>
    <n v="12"/>
    <n v="414"/>
    <n v="18"/>
    <n v="4"/>
    <s v="Correct"/>
    <n v="66.666666666666657"/>
    <n v="22.25"/>
    <n v="18.606741573033709"/>
    <x v="1"/>
  </r>
  <r>
    <d v="2026-05-29T00:00:00"/>
    <x v="2"/>
    <x v="4"/>
    <x v="1"/>
    <s v="20K-25K"/>
    <n v="466"/>
    <n v="16"/>
    <n v="10"/>
    <n v="472"/>
    <n v="15"/>
    <n v="1"/>
    <s v="Correct"/>
    <n v="66.666666666666657"/>
    <n v="19.96551724137931"/>
    <n v="23.640759930915372"/>
    <x v="1"/>
  </r>
  <r>
    <d v="2026-05-29T00:00:00"/>
    <x v="2"/>
    <x v="4"/>
    <x v="2"/>
    <s v="10K-15K"/>
    <n v="111"/>
    <n v="4"/>
    <n v="23"/>
    <n v="92"/>
    <n v="37"/>
    <n v="3"/>
    <s v="Correct"/>
    <n v="62.162162162162161"/>
    <n v="31.206896551724139"/>
    <n v="2.9480662983425412"/>
    <x v="0"/>
  </r>
  <r>
    <d v="2026-05-29T00:00:00"/>
    <x v="2"/>
    <x v="4"/>
    <x v="3"/>
    <s v="Below 10K"/>
    <n v="15"/>
    <n v="40"/>
    <n v="40"/>
    <n v="15"/>
    <n v="49"/>
    <n v="5"/>
    <s v="Correct"/>
    <n v="81.632653061224488"/>
    <n v="32.620689655172413"/>
    <n v="0.45983086680761098"/>
    <x v="0"/>
  </r>
  <r>
    <d v="2026-05-29T00:00:00"/>
    <x v="2"/>
    <x v="4"/>
    <x v="4"/>
    <s v="35K+"/>
    <n v="839"/>
    <n v="30"/>
    <n v="11"/>
    <n v="858"/>
    <n v="13"/>
    <n v="3"/>
    <s v="Correct"/>
    <n v="84.615384615384613"/>
    <n v="11.678571428571429"/>
    <n v="73.467889908256879"/>
    <x v="2"/>
  </r>
  <r>
    <d v="2026-05-29T00:00:00"/>
    <x v="3"/>
    <x v="5"/>
    <x v="0"/>
    <s v="25K-35K"/>
    <n v="450"/>
    <n v="11"/>
    <n v="20"/>
    <n v="441"/>
    <n v="26"/>
    <n v="2"/>
    <s v="Correct"/>
    <n v="76.923076923076934"/>
    <n v="20.84375"/>
    <n v="21.157421289355323"/>
    <x v="1"/>
  </r>
  <r>
    <d v="2026-05-29T00:00:00"/>
    <x v="3"/>
    <x v="5"/>
    <x v="1"/>
    <s v="20K-25K"/>
    <n v="413"/>
    <n v="57"/>
    <n v="15"/>
    <n v="455"/>
    <n v="24"/>
    <n v="1"/>
    <s v="Correct"/>
    <n v="62.5"/>
    <n v="21.46875"/>
    <n v="21.193595342066956"/>
    <x v="1"/>
  </r>
  <r>
    <d v="2026-05-29T00:00:00"/>
    <x v="3"/>
    <x v="5"/>
    <x v="2"/>
    <s v="10K-15K"/>
    <n v="116"/>
    <n v="27"/>
    <n v="39"/>
    <n v="104"/>
    <n v="50"/>
    <n v="5"/>
    <s v="Correct"/>
    <n v="78"/>
    <n v="30.586206896551722"/>
    <n v="3.4002254791431796"/>
    <x v="0"/>
  </r>
  <r>
    <d v="2026-05-29T00:00:00"/>
    <x v="3"/>
    <x v="5"/>
    <x v="3"/>
    <s v="Below 10K"/>
    <n v="59"/>
    <n v="42"/>
    <n v="33"/>
    <n v="68"/>
    <n v="41"/>
    <n v="5"/>
    <s v="Correct"/>
    <n v="80.487804878048792"/>
    <n v="32.299999999999997"/>
    <n v="2.1052631578947372"/>
    <x v="0"/>
  </r>
  <r>
    <d v="2026-05-29T00:00:00"/>
    <x v="0"/>
    <x v="0"/>
    <x v="4"/>
    <s v="35K+"/>
    <n v="827"/>
    <n v="43"/>
    <n v="14"/>
    <n v="856"/>
    <n v="16"/>
    <n v="5"/>
    <s v="Correct"/>
    <n v="87.5"/>
    <n v="9.9032258064516121"/>
    <n v="86.436482084690567"/>
    <x v="2"/>
  </r>
  <r>
    <d v="2026-05-29T00:00:00"/>
    <x v="4"/>
    <x v="6"/>
    <x v="0"/>
    <s v="25K-35K"/>
    <n v="252"/>
    <n v="49"/>
    <n v="15"/>
    <n v="286"/>
    <n v="16"/>
    <n v="3"/>
    <s v="Correct"/>
    <n v="93.75"/>
    <n v="20.70967741935484"/>
    <n v="13.809968847352025"/>
    <x v="0"/>
  </r>
  <r>
    <d v="2026-05-29T00:00:00"/>
    <x v="4"/>
    <x v="6"/>
    <x v="1"/>
    <s v="20K-25K"/>
    <n v="298"/>
    <n v="28"/>
    <n v="16"/>
    <n v="310"/>
    <n v="26"/>
    <n v="2"/>
    <s v="Correct"/>
    <n v="61.53846153846154"/>
    <n v="22.142857142857142"/>
    <n v="14"/>
    <x v="0"/>
  </r>
  <r>
    <d v="2026-05-29T00:00:00"/>
    <x v="4"/>
    <x v="6"/>
    <x v="2"/>
    <s v="10K-15K"/>
    <n v="73"/>
    <n v="15"/>
    <n v="17"/>
    <n v="71"/>
    <n v="22"/>
    <n v="5"/>
    <s v="Correct"/>
    <n v="77.272727272727266"/>
    <n v="30.275862068965516"/>
    <n v="2.345102505694761"/>
    <x v="0"/>
  </r>
  <r>
    <d v="2026-05-29T00:00:00"/>
    <x v="4"/>
    <x v="6"/>
    <x v="3"/>
    <s v="Below 10K"/>
    <n v="380"/>
    <n v="0"/>
    <n v="49"/>
    <n v="331"/>
    <n v="57"/>
    <n v="3"/>
    <s v="Correct"/>
    <n v="85.964912280701753"/>
    <n v="30.931034482758619"/>
    <n v="10.701226309921962"/>
    <x v="0"/>
  </r>
  <r>
    <d v="2026-05-29T00:00:00"/>
    <x v="4"/>
    <x v="6"/>
    <x v="4"/>
    <s v="35K+"/>
    <n v="660"/>
    <n v="12"/>
    <n v="10"/>
    <n v="662"/>
    <n v="20"/>
    <n v="2"/>
    <s v="Correct"/>
    <n v="50"/>
    <n v="10.25"/>
    <n v="64.58536585365853"/>
    <x v="2"/>
  </r>
  <r>
    <d v="2026-05-30T00:00:00"/>
    <x v="0"/>
    <x v="0"/>
    <x v="0"/>
    <s v="25K-35K"/>
    <n v="583"/>
    <n v="27"/>
    <n v="35"/>
    <n v="575"/>
    <n v="38"/>
    <n v="4"/>
    <s v="Correct"/>
    <n v="92.10526315789474"/>
    <n v="21.666666666666668"/>
    <n v="26.538461538461537"/>
    <x v="1"/>
  </r>
  <r>
    <d v="2026-05-30T00:00:00"/>
    <x v="0"/>
    <x v="0"/>
    <x v="1"/>
    <s v="20K-25K"/>
    <n v="351"/>
    <n v="60"/>
    <n v="19"/>
    <n v="392"/>
    <n v="29"/>
    <n v="5"/>
    <s v="Correct"/>
    <n v="65.517241379310349"/>
    <n v="20.030303030303031"/>
    <n v="19.570347957639939"/>
    <x v="1"/>
  </r>
  <r>
    <d v="2026-05-30T00:00:00"/>
    <x v="0"/>
    <x v="0"/>
    <x v="2"/>
    <s v="10K-15K"/>
    <n v="142"/>
    <n v="27"/>
    <n v="27"/>
    <n v="142"/>
    <n v="34"/>
    <n v="5"/>
    <s v="Correct"/>
    <n v="79.411764705882348"/>
    <n v="33.34375"/>
    <n v="4.258669165885661"/>
    <x v="0"/>
  </r>
  <r>
    <d v="2026-05-30T00:00:00"/>
    <x v="0"/>
    <x v="0"/>
    <x v="3"/>
    <s v="Below 10K"/>
    <n v="15"/>
    <n v="17"/>
    <n v="34"/>
    <n v="-2"/>
    <n v="42"/>
    <n v="4"/>
    <s v="Need verification"/>
    <n v="80.952380952380949"/>
    <n v="34.515151515151516"/>
    <n v="-5.7945566286215978E-2"/>
    <x v="0"/>
  </r>
  <r>
    <d v="2026-05-30T00:00:00"/>
    <x v="0"/>
    <x v="0"/>
    <x v="4"/>
    <s v="35K+"/>
    <n v="662"/>
    <n v="9"/>
    <n v="7"/>
    <n v="664"/>
    <n v="21"/>
    <n v="5"/>
    <s v="Correct"/>
    <n v="33.333333333333329"/>
    <n v="9.9032258064516121"/>
    <n v="67.048859934853425"/>
    <x v="2"/>
  </r>
  <r>
    <d v="2026-05-30T00:00:00"/>
    <x v="0"/>
    <x v="1"/>
    <x v="0"/>
    <s v="25K-35K"/>
    <n v="379"/>
    <n v="51"/>
    <n v="10"/>
    <n v="420"/>
    <n v="10"/>
    <n v="1"/>
    <s v="Correct"/>
    <n v="100"/>
    <n v="21.35483870967742"/>
    <n v="19.667673716012086"/>
    <x v="1"/>
  </r>
  <r>
    <d v="2026-05-30T00:00:00"/>
    <x v="0"/>
    <x v="1"/>
    <x v="1"/>
    <s v="20K-25K"/>
    <n v="220"/>
    <n v="9"/>
    <n v="25"/>
    <n v="204"/>
    <n v="33"/>
    <n v="5"/>
    <s v="Correct"/>
    <n v="75.757575757575751"/>
    <n v="21.9"/>
    <n v="9.3150684931506849"/>
    <x v="0"/>
  </r>
  <r>
    <d v="2026-05-30T00:00:00"/>
    <x v="0"/>
    <x v="1"/>
    <x v="2"/>
    <s v="10K-15K"/>
    <n v="115"/>
    <n v="6"/>
    <n v="26"/>
    <n v="95"/>
    <n v="29"/>
    <n v="4"/>
    <s v="Correct"/>
    <n v="89.65517241379311"/>
    <n v="31.586206896551722"/>
    <n v="3.0076419213973802"/>
    <x v="0"/>
  </r>
  <r>
    <d v="2026-05-30T00:00:00"/>
    <x v="0"/>
    <x v="1"/>
    <x v="3"/>
    <s v="Below 10K"/>
    <n v="10"/>
    <n v="39"/>
    <n v="43"/>
    <n v="6"/>
    <n v="49"/>
    <n v="5"/>
    <s v="Correct"/>
    <n v="87.755102040816325"/>
    <n v="34.200000000000003"/>
    <n v="0.17543859649122806"/>
    <x v="0"/>
  </r>
  <r>
    <d v="2026-05-30T00:00:00"/>
    <x v="0"/>
    <x v="1"/>
    <x v="4"/>
    <s v="35K+"/>
    <n v="657"/>
    <n v="9"/>
    <n v="18"/>
    <n v="648"/>
    <n v="24"/>
    <n v="3"/>
    <s v="Correct"/>
    <n v="75"/>
    <n v="10.96551724137931"/>
    <n v="59.094339622641513"/>
    <x v="2"/>
  </r>
  <r>
    <d v="2026-05-30T00:00:00"/>
    <x v="0"/>
    <x v="2"/>
    <x v="0"/>
    <s v="25K-35K"/>
    <n v="364"/>
    <n v="3"/>
    <n v="13"/>
    <n v="354"/>
    <n v="24"/>
    <n v="4"/>
    <s v="Correct"/>
    <n v="54.166666666666664"/>
    <n v="20.7"/>
    <n v="17.10144927536232"/>
    <x v="1"/>
  </r>
  <r>
    <d v="2026-05-30T00:00:00"/>
    <x v="0"/>
    <x v="2"/>
    <x v="1"/>
    <s v="20K-25K"/>
    <n v="280"/>
    <n v="51"/>
    <n v="19"/>
    <n v="312"/>
    <n v="23"/>
    <n v="2"/>
    <s v="Correct"/>
    <n v="82.608695652173907"/>
    <n v="23.758620689655171"/>
    <n v="13.132075471698114"/>
    <x v="0"/>
  </r>
  <r>
    <d v="2026-05-30T00:00:00"/>
    <x v="0"/>
    <x v="2"/>
    <x v="2"/>
    <s v="10K-15K"/>
    <n v="95"/>
    <n v="41"/>
    <n v="32"/>
    <n v="104"/>
    <n v="38"/>
    <n v="2"/>
    <s v="Correct"/>
    <n v="84.210526315789465"/>
    <n v="31.142857142857142"/>
    <n v="3.3394495412844036"/>
    <x v="0"/>
  </r>
  <r>
    <d v="2026-05-30T00:00:00"/>
    <x v="0"/>
    <x v="2"/>
    <x v="3"/>
    <s v="Below 10K"/>
    <n v="119"/>
    <n v="50"/>
    <n v="24"/>
    <n v="145"/>
    <n v="39"/>
    <n v="1"/>
    <s v="Correct"/>
    <n v="61.53846153846154"/>
    <n v="31.137931034482758"/>
    <n v="4.6566998892580287"/>
    <x v="0"/>
  </r>
  <r>
    <d v="2026-05-30T00:00:00"/>
    <x v="0"/>
    <x v="2"/>
    <x v="4"/>
    <s v="35K+"/>
    <n v="763"/>
    <n v="13"/>
    <n v="8"/>
    <n v="768"/>
    <n v="12"/>
    <n v="1"/>
    <s v="Correct"/>
    <n v="66.666666666666657"/>
    <n v="11.3"/>
    <n v="67.964601769911496"/>
    <x v="2"/>
  </r>
  <r>
    <d v="2026-05-30T00:00:00"/>
    <x v="1"/>
    <x v="3"/>
    <x v="0"/>
    <s v="25K-35K"/>
    <n v="647"/>
    <n v="10"/>
    <n v="33"/>
    <n v="624"/>
    <n v="41"/>
    <n v="4"/>
    <s v="Correct"/>
    <n v="80.487804878048792"/>
    <n v="22.258064516129032"/>
    <n v="28.034782608695654"/>
    <x v="1"/>
  </r>
  <r>
    <d v="2026-05-30T00:00:00"/>
    <x v="1"/>
    <x v="3"/>
    <x v="1"/>
    <s v="20K-25K"/>
    <n v="441"/>
    <n v="2"/>
    <n v="20"/>
    <n v="423"/>
    <n v="30"/>
    <n v="5"/>
    <s v="Correct"/>
    <n v="66.666666666666657"/>
    <n v="20.172413793103448"/>
    <n v="20.969230769230769"/>
    <x v="1"/>
  </r>
  <r>
    <d v="2026-05-30T00:00:00"/>
    <x v="1"/>
    <x v="3"/>
    <x v="2"/>
    <s v="10K-15K"/>
    <n v="106"/>
    <n v="27"/>
    <n v="22"/>
    <n v="111"/>
    <n v="31"/>
    <n v="2"/>
    <s v="Correct"/>
    <n v="70.967741935483872"/>
    <n v="29.733333333333334"/>
    <n v="3.7331838565022419"/>
    <x v="0"/>
  </r>
  <r>
    <d v="2026-05-30T00:00:00"/>
    <x v="1"/>
    <x v="3"/>
    <x v="3"/>
    <s v="Below 10K"/>
    <n v="304"/>
    <n v="45"/>
    <n v="22"/>
    <n v="327"/>
    <n v="27"/>
    <n v="2"/>
    <s v="Correct"/>
    <n v="81.481481481481481"/>
    <n v="30.724137931034484"/>
    <n v="10.643097643097642"/>
    <x v="0"/>
  </r>
  <r>
    <d v="2026-05-30T00:00:00"/>
    <x v="1"/>
    <x v="3"/>
    <x v="4"/>
    <s v="35K+"/>
    <n v="546"/>
    <n v="52"/>
    <n v="18"/>
    <n v="580"/>
    <n v="29"/>
    <n v="5"/>
    <s v="Correct"/>
    <n v="62.068965517241381"/>
    <n v="11.566666666666666"/>
    <n v="50.144092219020173"/>
    <x v="2"/>
  </r>
  <r>
    <d v="2026-05-30T00:00:00"/>
    <x v="2"/>
    <x v="4"/>
    <x v="0"/>
    <s v="25K-35K"/>
    <n v="414"/>
    <n v="52"/>
    <n v="10"/>
    <n v="456"/>
    <n v="25"/>
    <n v="5"/>
    <s v="Correct"/>
    <n v="40"/>
    <n v="22.25"/>
    <n v="20.49438202247191"/>
    <x v="1"/>
  </r>
  <r>
    <d v="2026-05-30T00:00:00"/>
    <x v="2"/>
    <x v="4"/>
    <x v="1"/>
    <s v="20K-25K"/>
    <n v="472"/>
    <n v="50"/>
    <n v="29"/>
    <n v="493"/>
    <n v="41"/>
    <n v="3"/>
    <s v="Correct"/>
    <n v="70.731707317073173"/>
    <n v="19.96551724137931"/>
    <n v="24.692573402417963"/>
    <x v="1"/>
  </r>
  <r>
    <d v="2026-05-30T00:00:00"/>
    <x v="2"/>
    <x v="4"/>
    <x v="2"/>
    <s v="10K-15K"/>
    <n v="92"/>
    <n v="46"/>
    <n v="43"/>
    <n v="95"/>
    <n v="47"/>
    <n v="1"/>
    <s v="Correct"/>
    <n v="91.489361702127653"/>
    <n v="31.206896551724139"/>
    <n v="3.0441988950276242"/>
    <x v="0"/>
  </r>
  <r>
    <d v="2026-05-30T00:00:00"/>
    <x v="2"/>
    <x v="4"/>
    <x v="3"/>
    <s v="Below 10K"/>
    <n v="15"/>
    <n v="58"/>
    <n v="41"/>
    <n v="32"/>
    <n v="54"/>
    <n v="3"/>
    <s v="Correct"/>
    <n v="75.925925925925924"/>
    <n v="32.620689655172413"/>
    <n v="0.98097251585623679"/>
    <x v="0"/>
  </r>
  <r>
    <d v="2026-05-30T00:00:00"/>
    <x v="2"/>
    <x v="4"/>
    <x v="4"/>
    <s v="35K+"/>
    <n v="858"/>
    <n v="35"/>
    <n v="14"/>
    <n v="879"/>
    <n v="23"/>
    <n v="4"/>
    <s v="Correct"/>
    <n v="60.869565217391312"/>
    <n v="11.678571428571429"/>
    <n v="75.266055045871553"/>
    <x v="2"/>
  </r>
  <r>
    <d v="2026-05-30T00:00:00"/>
    <x v="3"/>
    <x v="5"/>
    <x v="0"/>
    <s v="25K-35K"/>
    <n v="441"/>
    <n v="43"/>
    <n v="16"/>
    <n v="468"/>
    <n v="23"/>
    <n v="2"/>
    <s v="Correct"/>
    <n v="69.565217391304344"/>
    <n v="20.84375"/>
    <n v="22.452773613193404"/>
    <x v="1"/>
  </r>
  <r>
    <d v="2026-05-30T00:00:00"/>
    <x v="3"/>
    <x v="5"/>
    <x v="1"/>
    <s v="20K-25K"/>
    <n v="455"/>
    <n v="38"/>
    <n v="23"/>
    <n v="470"/>
    <n v="32"/>
    <n v="1"/>
    <s v="Correct"/>
    <n v="71.875"/>
    <n v="21.46875"/>
    <n v="21.892285298398836"/>
    <x v="1"/>
  </r>
  <r>
    <d v="2026-05-30T00:00:00"/>
    <x v="3"/>
    <x v="5"/>
    <x v="2"/>
    <s v="10K-15K"/>
    <n v="104"/>
    <n v="29"/>
    <n v="46"/>
    <n v="87"/>
    <n v="51"/>
    <n v="5"/>
    <s v="Correct"/>
    <n v="90.196078431372555"/>
    <n v="30.586206896551722"/>
    <n v="2.8444193912063134"/>
    <x v="0"/>
  </r>
  <r>
    <d v="2026-05-30T00:00:00"/>
    <x v="3"/>
    <x v="5"/>
    <x v="3"/>
    <s v="Below 10K"/>
    <n v="68"/>
    <n v="44"/>
    <n v="39"/>
    <n v="73"/>
    <n v="48"/>
    <n v="4"/>
    <s v="Correct"/>
    <n v="81.25"/>
    <n v="32.299999999999997"/>
    <n v="2.2600619195046443"/>
    <x v="0"/>
  </r>
  <r>
    <d v="2026-05-30T00:00:00"/>
    <x v="3"/>
    <x v="5"/>
    <x v="4"/>
    <s v="35K+"/>
    <n v="856"/>
    <n v="13"/>
    <n v="5"/>
    <n v="864"/>
    <n v="5"/>
    <n v="3"/>
    <s v="Correct"/>
    <n v="100"/>
    <n v="10.413793103448276"/>
    <n v="82.966887417218544"/>
    <x v="2"/>
  </r>
  <r>
    <d v="2026-05-30T00:00:00"/>
    <x v="4"/>
    <x v="6"/>
    <x v="0"/>
    <s v="25K-35K"/>
    <n v="286"/>
    <n v="37"/>
    <n v="34"/>
    <n v="289"/>
    <n v="44"/>
    <n v="1"/>
    <s v="Correct"/>
    <n v="77.272727272727266"/>
    <n v="20.70967741935484"/>
    <n v="13.954828660436137"/>
    <x v="0"/>
  </r>
  <r>
    <d v="2026-05-30T00:00:00"/>
    <x v="4"/>
    <x v="6"/>
    <x v="1"/>
    <s v="20K-25K"/>
    <n v="310"/>
    <n v="20"/>
    <n v="10"/>
    <n v="320"/>
    <n v="14"/>
    <n v="5"/>
    <s v="Correct"/>
    <n v="71.428571428571431"/>
    <n v="22.142857142857142"/>
    <n v="14.451612903225806"/>
    <x v="0"/>
  </r>
  <r>
    <d v="2026-05-30T00:00:00"/>
    <x v="4"/>
    <x v="6"/>
    <x v="2"/>
    <s v="10K-15K"/>
    <n v="71"/>
    <n v="40"/>
    <n v="25"/>
    <n v="86"/>
    <n v="37"/>
    <n v="1"/>
    <s v="Correct"/>
    <n v="67.567567567567565"/>
    <n v="30.275862068965516"/>
    <n v="2.8405466970387243"/>
    <x v="0"/>
  </r>
  <r>
    <d v="2026-05-30T00:00:00"/>
    <x v="4"/>
    <x v="6"/>
    <x v="3"/>
    <s v="Below 10K"/>
    <n v="331"/>
    <n v="19"/>
    <n v="24"/>
    <n v="326"/>
    <n v="37"/>
    <n v="1"/>
    <s v="Correct"/>
    <n v="64.86486486486487"/>
    <n v="30.931034482758619"/>
    <n v="10.539576365663322"/>
    <x v="0"/>
  </r>
  <r>
    <d v="2026-05-30T00:00:00"/>
    <x v="4"/>
    <x v="6"/>
    <x v="4"/>
    <s v="35K+"/>
    <n v="662"/>
    <n v="16"/>
    <n v="12"/>
    <n v="666"/>
    <n v="27"/>
    <n v="5"/>
    <s v="Correct"/>
    <n v="44.444444444444443"/>
    <n v="10.25"/>
    <n v="64.97560975609755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FC275-AFD4-4360-AA5A-35EFB4A917AE}"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rowHeaderCaption="Stock Status">
  <location ref="M3:N6" firstHeaderRow="1" firstDataRow="1" firstDataCol="1"/>
  <pivotFields count="17">
    <pivotField numFmtId="14" showAll="0"/>
    <pivotField showAll="0">
      <items count="6">
        <item x="0"/>
        <item x="3"/>
        <item x="1"/>
        <item x="4"/>
        <item x="2"/>
        <item t="default"/>
      </items>
    </pivotField>
    <pivotField showAll="0">
      <items count="8">
        <item x="4"/>
        <item x="6"/>
        <item x="0"/>
        <item x="5"/>
        <item x="2"/>
        <item x="3"/>
        <item x="1"/>
        <item t="default"/>
      </items>
    </pivotField>
    <pivotField dataField="1" showAll="0">
      <items count="7">
        <item x="4"/>
        <item x="1"/>
        <item x="0"/>
        <item m="1" x="5"/>
        <item x="3"/>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sd="0" x="1"/>
        <item sd="0" x="0"/>
        <item sd="0" x="2"/>
        <item t="default" sd="0"/>
      </items>
    </pivotField>
    <pivotField dragToRow="0" dragToCol="0" dragToPage="0" showAll="0" defaultSubtotal="0"/>
  </pivotFields>
  <rowFields count="1">
    <field x="15"/>
  </rowFields>
  <rowItems count="3">
    <i>
      <x/>
    </i>
    <i>
      <x v="1"/>
    </i>
    <i>
      <x v="2"/>
    </i>
  </rowItems>
  <colItems count="1">
    <i/>
  </colItems>
  <dataFields count="1">
    <dataField name="Number of Model" fld="3" subtotal="count" baseField="15"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9E3B58-DBBF-4E3F-B8C0-4A964A90947B}"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Model">
  <location ref="D3:E8" firstHeaderRow="1" firstDataRow="1" firstDataCol="1"/>
  <pivotFields count="17">
    <pivotField numFmtId="14" showAll="0"/>
    <pivotField showAll="0">
      <items count="6">
        <item x="0"/>
        <item x="3"/>
        <item x="1"/>
        <item x="4"/>
        <item x="2"/>
        <item t="default"/>
      </items>
    </pivotField>
    <pivotField showAll="0">
      <items count="8">
        <item x="4"/>
        <item x="6"/>
        <item x="0"/>
        <item x="5"/>
        <item x="2"/>
        <item x="3"/>
        <item x="1"/>
        <item t="default"/>
      </items>
    </pivotField>
    <pivotField axis="axisRow" showAll="0">
      <items count="7">
        <item x="4"/>
        <item x="1"/>
        <item x="0"/>
        <item m="1" x="5"/>
        <item x="3"/>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5">
    <i>
      <x/>
    </i>
    <i>
      <x v="1"/>
    </i>
    <i>
      <x v="2"/>
    </i>
    <i>
      <x v="4"/>
    </i>
    <i>
      <x v="5"/>
    </i>
  </rowItems>
  <colItems count="1">
    <i/>
  </colItems>
  <dataFields count="1">
    <dataField name="Sales Contribution" fld="7" showDataAs="percentOfTotal" baseField="3" baseItem="0" numFmtId="1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9B9F0-C07B-4F39-9D60-8D00FF28691B}"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Model">
  <location ref="G3:H8" firstHeaderRow="1" firstDataRow="1" firstDataCol="1"/>
  <pivotFields count="17">
    <pivotField numFmtId="14" showAll="0"/>
    <pivotField showAll="0">
      <items count="6">
        <item x="0"/>
        <item x="3"/>
        <item x="1"/>
        <item x="4"/>
        <item x="2"/>
        <item t="default"/>
      </items>
    </pivotField>
    <pivotField showAll="0">
      <items count="8">
        <item x="4"/>
        <item x="6"/>
        <item x="0"/>
        <item x="5"/>
        <item x="2"/>
        <item x="3"/>
        <item x="1"/>
        <item t="default"/>
      </items>
    </pivotField>
    <pivotField axis="axisRow" showAll="0">
      <items count="7">
        <item x="4"/>
        <item x="1"/>
        <item x="0"/>
        <item m="1" x="5"/>
        <item x="3"/>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1">
    <field x="3"/>
  </rowFields>
  <rowItems count="5">
    <i>
      <x/>
    </i>
    <i>
      <x v="1"/>
    </i>
    <i>
      <x v="2"/>
    </i>
    <i>
      <x v="4"/>
    </i>
    <i>
      <x v="5"/>
    </i>
  </rowItems>
  <colItems count="1">
    <i/>
  </colItems>
  <dataFields count="1">
    <dataField name="Average of DOS" fld="14"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2C884F-43C4-4601-9126-AA6C2B634441}"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Branch">
  <location ref="A3:B10" firstHeaderRow="1" firstDataRow="1" firstDataCol="1"/>
  <pivotFields count="17">
    <pivotField numFmtId="14" showAll="0"/>
    <pivotField showAll="0">
      <items count="6">
        <item x="0"/>
        <item x="3"/>
        <item x="1"/>
        <item x="4"/>
        <item x="2"/>
        <item t="default"/>
      </items>
    </pivotField>
    <pivotField axis="axisRow" showAll="0">
      <items count="8">
        <item x="4"/>
        <item x="6"/>
        <item x="0"/>
        <item x="5"/>
        <item x="2"/>
        <item x="3"/>
        <item x="1"/>
        <item t="default"/>
      </items>
    </pivotField>
    <pivotField showAll="0">
      <items count="7">
        <item x="4"/>
        <item x="1"/>
        <item x="0"/>
        <item m="1" x="5"/>
        <item x="3"/>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7">
    <i>
      <x/>
    </i>
    <i>
      <x v="1"/>
    </i>
    <i>
      <x v="2"/>
    </i>
    <i>
      <x v="3"/>
    </i>
    <i>
      <x v="4"/>
    </i>
    <i>
      <x v="5"/>
    </i>
    <i>
      <x v="6"/>
    </i>
  </rowItems>
  <colItems count="1">
    <i/>
  </colItems>
  <dataFields count="1">
    <dataField name="Total Sales." fld="7"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EA7B0B-73CE-4667-A4C0-A41622587971}"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rowHeaderCaption="Model">
  <location ref="J3:K8" firstHeaderRow="1" firstDataRow="1" firstDataCol="1"/>
  <pivotFields count="17">
    <pivotField numFmtId="14" showAll="0"/>
    <pivotField showAll="0">
      <items count="6">
        <item x="0"/>
        <item x="3"/>
        <item x="1"/>
        <item x="4"/>
        <item x="2"/>
        <item t="default"/>
      </items>
    </pivotField>
    <pivotField showAll="0">
      <items count="8">
        <item x="4"/>
        <item x="6"/>
        <item x="0"/>
        <item x="5"/>
        <item x="2"/>
        <item x="3"/>
        <item x="1"/>
        <item t="default"/>
      </items>
    </pivotField>
    <pivotField axis="axisRow" showAll="0">
      <items count="7">
        <item x="4"/>
        <item x="1"/>
        <item x="0"/>
        <item m="1" x="5"/>
        <item x="3"/>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3"/>
  </rowFields>
  <rowItems count="5">
    <i>
      <x/>
    </i>
    <i>
      <x v="1"/>
    </i>
    <i>
      <x v="2"/>
    </i>
    <i>
      <x v="4"/>
    </i>
    <i>
      <x v="5"/>
    </i>
  </rowItems>
  <colItems count="1">
    <i/>
  </colItems>
  <dataFields count="1">
    <dataField name="% Sales Achieved" fld="12" subtotal="average" baseField="3" baseItem="0"/>
  </dataFields>
  <chartFormats count="1">
    <chartFormat chart="1" format="2" series="1">
      <pivotArea type="data" outline="0" fieldPosition="0">
        <references count="1">
          <reference field="4294967294" count="1" selected="0">
            <x v="0"/>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AF7D9D-5988-4497-9940-A645850B9396}"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Best Performed Branch">
  <location ref="X3:AA10" firstHeaderRow="0" firstDataRow="1" firstDataCol="1"/>
  <pivotFields count="17">
    <pivotField numFmtId="14" showAll="0"/>
    <pivotField showAll="0"/>
    <pivotField axis="axisRow" showAll="0" sortType="descending">
      <items count="8">
        <item x="1"/>
        <item x="3"/>
        <item x="2"/>
        <item x="5"/>
        <item x="0"/>
        <item x="6"/>
        <item x="4"/>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dataField="1" dragToRow="0" dragToCol="0" dragToPage="0" showAll="0" defaultSubtotal="0"/>
  </pivotFields>
  <rowFields count="1">
    <field x="2"/>
  </rowFields>
  <rowItems count="7">
    <i>
      <x/>
    </i>
    <i>
      <x v="6"/>
    </i>
    <i>
      <x v="5"/>
    </i>
    <i>
      <x v="4"/>
    </i>
    <i>
      <x v="3"/>
    </i>
    <i>
      <x v="1"/>
    </i>
    <i>
      <x v="2"/>
    </i>
  </rowItems>
  <colFields count="1">
    <field x="-2"/>
  </colFields>
  <colItems count="3">
    <i>
      <x/>
    </i>
    <i i="1">
      <x v="1"/>
    </i>
    <i i="2">
      <x v="2"/>
    </i>
  </colItems>
  <dataFields count="3">
    <dataField name="Total Sales" fld="7" baseField="2" baseItem="0"/>
    <dataField name="Total Target" fld="9" baseField="2" baseItem="0"/>
    <dataField name=" Achievement %" fld="16" baseField="2"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F344A3-AFC2-40EE-B66F-02A92742DB5F}"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Model">
  <location ref="U3:V8" firstHeaderRow="1" firstDataRow="1" firstDataCol="1"/>
  <pivotFields count="17">
    <pivotField numFmtId="14" showAll="0"/>
    <pivotField showAll="0">
      <items count="6">
        <item x="0"/>
        <item x="3"/>
        <item x="1"/>
        <item x="4"/>
        <item x="2"/>
        <item t="default"/>
      </items>
    </pivotField>
    <pivotField showAll="0">
      <items count="8">
        <item x="4"/>
        <item x="6"/>
        <item x="0"/>
        <item x="5"/>
        <item x="2"/>
        <item x="3"/>
        <item x="1"/>
        <item t="default"/>
      </items>
    </pivotField>
    <pivotField axis="axisRow" showAll="0">
      <items count="7">
        <item x="4"/>
        <item x="1"/>
        <item x="0"/>
        <item m="1" x="5"/>
        <item x="3"/>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5">
    <i>
      <x/>
    </i>
    <i>
      <x v="1"/>
    </i>
    <i>
      <x v="2"/>
    </i>
    <i>
      <x v="4"/>
    </i>
    <i>
      <x v="5"/>
    </i>
  </rowItems>
  <colItems count="1">
    <i/>
  </colItems>
  <dataFields count="1">
    <dataField name="Total Inward Supply" fld="6"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453E16-7611-438C-8ED9-4A035DFA3BE7}"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Model">
  <location ref="P3:S8" firstHeaderRow="0" firstDataRow="1" firstDataCol="1"/>
  <pivotFields count="17">
    <pivotField numFmtId="14" showAll="0"/>
    <pivotField showAll="0">
      <items count="6">
        <item x="0"/>
        <item x="3"/>
        <item x="1"/>
        <item x="4"/>
        <item x="2"/>
        <item t="default"/>
      </items>
    </pivotField>
    <pivotField showAll="0">
      <items count="8">
        <item x="4"/>
        <item x="6"/>
        <item x="0"/>
        <item x="5"/>
        <item x="2"/>
        <item x="3"/>
        <item x="1"/>
        <item t="default"/>
      </items>
    </pivotField>
    <pivotField axis="axisRow" showAll="0" sortType="descending">
      <items count="7">
        <item x="4"/>
        <item x="1"/>
        <item x="0"/>
        <item m="1" x="5"/>
        <item x="3"/>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pivotField showAll="0"/>
    <pivotField showAll="0"/>
    <pivotField showAll="0"/>
    <pivotField showAll="0"/>
    <pivotField dataField="1" showAll="0"/>
    <pivotField showAll="0"/>
    <pivotField dragToRow="0" dragToCol="0" dragToPage="0" showAll="0" defaultSubtotal="0"/>
  </pivotFields>
  <rowFields count="1">
    <field x="3"/>
  </rowFields>
  <rowItems count="5">
    <i>
      <x/>
    </i>
    <i>
      <x v="2"/>
    </i>
    <i>
      <x v="1"/>
    </i>
    <i>
      <x v="4"/>
    </i>
    <i>
      <x v="5"/>
    </i>
  </rowItems>
  <colFields count="1">
    <field x="-2"/>
  </colFields>
  <colItems count="3">
    <i>
      <x/>
    </i>
    <i i="1">
      <x v="1"/>
    </i>
    <i i="2">
      <x v="2"/>
    </i>
  </colItems>
  <dataFields count="3">
    <dataField name="Total Sales" fld="7" baseField="3" baseItem="0"/>
    <dataField name="Total Closing Stock" fld="8" baseField="3" baseItem="0"/>
    <dataField name="Average DOS" fld="14" subtotal="average" baseField="3"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713718-033A-462F-BE79-DA06A064AF56}"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rowHeaderCaption="" colHeaderCaption="Stock Status">
  <location ref="AC3:AF9" firstHeaderRow="1" firstDataRow="2" firstDataCol="1"/>
  <pivotFields count="17">
    <pivotField numFmtId="14" showAll="0"/>
    <pivotField showAll="0">
      <items count="6">
        <item x="0"/>
        <item x="3"/>
        <item x="1"/>
        <item x="4"/>
        <item x="2"/>
        <item t="default"/>
      </items>
    </pivotField>
    <pivotField showAll="0">
      <items count="8">
        <item x="4"/>
        <item x="6"/>
        <item x="0"/>
        <item x="5"/>
        <item x="2"/>
        <item x="3"/>
        <item x="1"/>
        <item t="default"/>
      </items>
    </pivotField>
    <pivotField axis="axisRow" dataField="1" showAll="0">
      <items count="7">
        <item x="4"/>
        <item x="1"/>
        <item x="0"/>
        <item m="1" x="5"/>
        <item x="3"/>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sd="0" x="1"/>
        <item sd="0" x="0"/>
        <item sd="0" x="2"/>
        <item t="default" sd="0"/>
      </items>
    </pivotField>
    <pivotField dragToRow="0" dragToCol="0" dragToPage="0" showAll="0" defaultSubtotal="0"/>
  </pivotFields>
  <rowFields count="1">
    <field x="3"/>
  </rowFields>
  <rowItems count="5">
    <i>
      <x/>
    </i>
    <i>
      <x v="1"/>
    </i>
    <i>
      <x v="2"/>
    </i>
    <i>
      <x v="4"/>
    </i>
    <i>
      <x v="5"/>
    </i>
  </rowItems>
  <colFields count="1">
    <field x="15"/>
  </colFields>
  <colItems count="3">
    <i>
      <x/>
    </i>
    <i>
      <x v="1"/>
    </i>
    <i>
      <x v="2"/>
    </i>
  </colItems>
  <dataFields count="1">
    <dataField name=" Model" fld="3" subtotal="count" baseField="15" baseItem="0"/>
  </dataFields>
  <chartFormats count="2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0" format="0" series="1">
      <pivotArea type="data" outline="0" fieldPosition="0">
        <references count="2">
          <reference field="4294967294" count="1" selected="0">
            <x v="0"/>
          </reference>
          <reference field="15" count="1" selected="0">
            <x v="0"/>
          </reference>
        </references>
      </pivotArea>
    </chartFormat>
    <chartFormat chart="10" format="1" series="1">
      <pivotArea type="data" outline="0" fieldPosition="0">
        <references count="2">
          <reference field="4294967294" count="1" selected="0">
            <x v="0"/>
          </reference>
          <reference field="15" count="1" selected="0">
            <x v="1"/>
          </reference>
        </references>
      </pivotArea>
    </chartFormat>
    <chartFormat chart="10" format="2" series="1">
      <pivotArea type="data" outline="0" fieldPosition="0">
        <references count="2">
          <reference field="4294967294" count="1" selected="0">
            <x v="0"/>
          </reference>
          <reference field="15" count="1" selected="0">
            <x v="2"/>
          </reference>
        </references>
      </pivotArea>
    </chartFormat>
    <chartFormat chart="10" format="3">
      <pivotArea type="data" outline="0" fieldPosition="0">
        <references count="3">
          <reference field="4294967294" count="1" selected="0">
            <x v="0"/>
          </reference>
          <reference field="3" count="1" selected="0">
            <x v="0"/>
          </reference>
          <reference field="15" count="1" selected="0">
            <x v="0"/>
          </reference>
        </references>
      </pivotArea>
    </chartFormat>
    <chartFormat chart="10" format="4">
      <pivotArea type="data" outline="0" fieldPosition="0">
        <references count="3">
          <reference field="4294967294" count="1" selected="0">
            <x v="0"/>
          </reference>
          <reference field="3" count="1" selected="0">
            <x v="1"/>
          </reference>
          <reference field="15" count="1" selected="0">
            <x v="0"/>
          </reference>
        </references>
      </pivotArea>
    </chartFormat>
    <chartFormat chart="10" format="5">
      <pivotArea type="data" outline="0" fieldPosition="0">
        <references count="3">
          <reference field="4294967294" count="1" selected="0">
            <x v="0"/>
          </reference>
          <reference field="3" count="1" selected="0">
            <x v="2"/>
          </reference>
          <reference field="15" count="1" selected="0">
            <x v="0"/>
          </reference>
        </references>
      </pivotArea>
    </chartFormat>
    <chartFormat chart="10" format="6">
      <pivotArea type="data" outline="0" fieldPosition="0">
        <references count="3">
          <reference field="4294967294" count="1" selected="0">
            <x v="0"/>
          </reference>
          <reference field="3" count="1" selected="0">
            <x v="4"/>
          </reference>
          <reference field="15" count="1" selected="0">
            <x v="0"/>
          </reference>
        </references>
      </pivotArea>
    </chartFormat>
    <chartFormat chart="10" format="7">
      <pivotArea type="data" outline="0" fieldPosition="0">
        <references count="3">
          <reference field="4294967294" count="1" selected="0">
            <x v="0"/>
          </reference>
          <reference field="3" count="1" selected="0">
            <x v="5"/>
          </reference>
          <reference field="15" count="1" selected="0">
            <x v="0"/>
          </reference>
        </references>
      </pivotArea>
    </chartFormat>
    <chartFormat chart="10" format="8">
      <pivotArea type="data" outline="0" fieldPosition="0">
        <references count="3">
          <reference field="4294967294" count="1" selected="0">
            <x v="0"/>
          </reference>
          <reference field="3" count="1" selected="0">
            <x v="0"/>
          </reference>
          <reference field="15" count="1" selected="0">
            <x v="1"/>
          </reference>
        </references>
      </pivotArea>
    </chartFormat>
    <chartFormat chart="10" format="9">
      <pivotArea type="data" outline="0" fieldPosition="0">
        <references count="3">
          <reference field="4294967294" count="1" selected="0">
            <x v="0"/>
          </reference>
          <reference field="3" count="1" selected="0">
            <x v="1"/>
          </reference>
          <reference field="15" count="1" selected="0">
            <x v="1"/>
          </reference>
        </references>
      </pivotArea>
    </chartFormat>
    <chartFormat chart="10" format="10">
      <pivotArea type="data" outline="0" fieldPosition="0">
        <references count="3">
          <reference field="4294967294" count="1" selected="0">
            <x v="0"/>
          </reference>
          <reference field="3" count="1" selected="0">
            <x v="2"/>
          </reference>
          <reference field="15" count="1" selected="0">
            <x v="1"/>
          </reference>
        </references>
      </pivotArea>
    </chartFormat>
    <chartFormat chart="10" format="11">
      <pivotArea type="data" outline="0" fieldPosition="0">
        <references count="3">
          <reference field="4294967294" count="1" selected="0">
            <x v="0"/>
          </reference>
          <reference field="3" count="1" selected="0">
            <x v="4"/>
          </reference>
          <reference field="15" count="1" selected="0">
            <x v="1"/>
          </reference>
        </references>
      </pivotArea>
    </chartFormat>
    <chartFormat chart="10" format="12">
      <pivotArea type="data" outline="0" fieldPosition="0">
        <references count="3">
          <reference field="4294967294" count="1" selected="0">
            <x v="0"/>
          </reference>
          <reference field="3" count="1" selected="0">
            <x v="5"/>
          </reference>
          <reference field="15" count="1" selected="0">
            <x v="1"/>
          </reference>
        </references>
      </pivotArea>
    </chartFormat>
    <chartFormat chart="10" format="13">
      <pivotArea type="data" outline="0" fieldPosition="0">
        <references count="3">
          <reference field="4294967294" count="1" selected="0">
            <x v="0"/>
          </reference>
          <reference field="3" count="1" selected="0">
            <x v="0"/>
          </reference>
          <reference field="15" count="1" selected="0">
            <x v="2"/>
          </reference>
        </references>
      </pivotArea>
    </chartFormat>
    <chartFormat chart="10" format="14">
      <pivotArea type="data" outline="0" fieldPosition="0">
        <references count="3">
          <reference field="4294967294" count="1" selected="0">
            <x v="0"/>
          </reference>
          <reference field="3" count="1" selected="0">
            <x v="1"/>
          </reference>
          <reference field="15" count="1" selected="0">
            <x v="2"/>
          </reference>
        </references>
      </pivotArea>
    </chartFormat>
    <chartFormat chart="10" format="15">
      <pivotArea type="data" outline="0" fieldPosition="0">
        <references count="3">
          <reference field="4294967294" count="1" selected="0">
            <x v="0"/>
          </reference>
          <reference field="3" count="1" selected="0">
            <x v="2"/>
          </reference>
          <reference field="15" count="1" selected="0">
            <x v="2"/>
          </reference>
        </references>
      </pivotArea>
    </chartFormat>
    <chartFormat chart="10" format="16">
      <pivotArea type="data" outline="0" fieldPosition="0">
        <references count="3">
          <reference field="4294967294" count="1" selected="0">
            <x v="0"/>
          </reference>
          <reference field="3" count="1" selected="0">
            <x v="4"/>
          </reference>
          <reference field="15" count="1" selected="0">
            <x v="2"/>
          </reference>
        </references>
      </pivotArea>
    </chartFormat>
    <chartFormat chart="10" format="17">
      <pivotArea type="data" outline="0" fieldPosition="0">
        <references count="3">
          <reference field="4294967294" count="1" selected="0">
            <x v="0"/>
          </reference>
          <reference field="3" count="1" selected="0">
            <x v="5"/>
          </reference>
          <reference field="15" count="1" selected="0">
            <x v="2"/>
          </reference>
        </references>
      </pivotArea>
    </chartFormat>
  </chartFormats>
  <pivotTableStyleInfo name="PivotStyleDark2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0EB86CEF-BEFB-471D-9947-35F2E87D4584}" sourceName="Model">
  <pivotTables>
    <pivotTable tabId="4" name="PivotTable4"/>
    <pivotTable tabId="4" name="PivotTable1"/>
    <pivotTable tabId="4" name="PivotTable2"/>
    <pivotTable tabId="4" name="PivotTable3"/>
    <pivotTable tabId="4" name="PivotTable5"/>
    <pivotTable tabId="4" name="PivotTable7"/>
    <pivotTable tabId="4" name="PivotTable8"/>
    <pivotTable tabId="4" name="PivotTable9"/>
  </pivotTables>
  <data>
    <tabular pivotCacheId="1389863540">
      <items count="6">
        <i x="4" s="1"/>
        <i x="1" s="1"/>
        <i x="0" s="1"/>
        <i x="3"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85F5CB2-CE43-435C-8F74-86739CB676D1}" sourceName="State">
  <pivotTables>
    <pivotTable tabId="4" name="PivotTable4"/>
    <pivotTable tabId="4" name="PivotTable1"/>
    <pivotTable tabId="4" name="PivotTable2"/>
    <pivotTable tabId="4" name="PivotTable3"/>
    <pivotTable tabId="4" name="PivotTable5"/>
    <pivotTable tabId="4" name="PivotTable7"/>
    <pivotTable tabId="4" name="PivotTable8"/>
    <pivotTable tabId="4" name="PivotTable9"/>
  </pivotTables>
  <data>
    <tabular pivotCacheId="1389863540">
      <items count="5">
        <i x="0"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D573BD5-96CC-45AB-948B-1F5C61C18E1B}" sourceName="Branch">
  <pivotTables>
    <pivotTable tabId="4" name="PivotTable2"/>
    <pivotTable tabId="4" name="PivotTable1"/>
    <pivotTable tabId="4" name="PivotTable3"/>
    <pivotTable tabId="4" name="PivotTable4"/>
    <pivotTable tabId="4" name="PivotTable5"/>
    <pivotTable tabId="4" name="PivotTable7"/>
    <pivotTable tabId="4" name="PivotTable8"/>
    <pivotTable tabId="4" name="PivotTable9"/>
  </pivotTables>
  <data>
    <tabular pivotCacheId="1389863540">
      <items count="7">
        <i x="4" s="1"/>
        <i x="6" s="1"/>
        <i x="0" s="1"/>
        <i x="5"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03BCE73F-1CFA-4786-BBB3-D028DF9C7721}" cache="Slicer_Model" caption="Model" columnCount="6" style="SlicerStyleLight5" rowHeight="241300"/>
  <slicer name="State" xr10:uid="{F8087E9F-F230-4D3D-8086-5795AD2497B4}" cache="Slicer_State" caption="State" columnCount="5" style="SlicerStyleLight5" rowHeight="241300"/>
  <slicer name="Branch" xr10:uid="{578C1B60-5694-47B4-9E31-AB24BAAC331C}" cache="Slicer_Branch" caption="Branch" columnCount="7"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4ABEF7-CA19-4752-9DEA-60BA9697610D}" name="Table2" displayName="Table2" ref="A1:P1051" totalsRowShown="0" headerRowDxfId="2">
  <autoFilter ref="A1:P1051" xr:uid="{C74ABEF7-CA19-4752-9DEA-60BA9697610D}">
    <filterColumn colId="4">
      <filters>
        <filter val="10K-15K"/>
      </filters>
    </filterColumn>
  </autoFilter>
  <tableColumns count="16">
    <tableColumn id="1" xr3:uid="{ADC5C0C1-0486-4FF3-A9EC-AA13E4B3397C}" name="Date" dataDxfId="1"/>
    <tableColumn id="2" xr3:uid="{0315FA64-E51F-4A7D-980F-587D3989F070}" name="State"/>
    <tableColumn id="3" xr3:uid="{A43A973E-BD73-4118-98E5-26B9CE00B83B}" name="Branch"/>
    <tableColumn id="4" xr3:uid="{819860C4-7A34-4270-9357-0EF3F40A9B98}" name="Model"/>
    <tableColumn id="5" xr3:uid="{1719C47C-12BE-44E4-968E-0CB48BFF654B}" name="Segment"/>
    <tableColumn id="6" xr3:uid="{18887324-AFAB-4050-AE89-7CA1BD1CF87B}" name="Opening Stock"/>
    <tableColumn id="7" xr3:uid="{C78E70D5-DF0F-4796-BFB1-A4103F6E2577}" name="Inward Supply"/>
    <tableColumn id="8" xr3:uid="{C6F4FB0F-4900-4659-A3F1-65B251A4A40F}" name="Sell Out"/>
    <tableColumn id="9" xr3:uid="{5B89E428-A513-412D-84DD-C1E486AC8F9C}" name="Closing Stock">
      <calculatedColumnFormula>F2+G2-H2</calculatedColumnFormula>
    </tableColumn>
    <tableColumn id="10" xr3:uid="{A880F65A-2AFD-4E61-ACE0-4258DF780654}" name="Target"/>
    <tableColumn id="11" xr3:uid="{861DF1A1-C87D-4D09-9EC1-1D5FE8C5BC68}" name="Demo Units"/>
    <tableColumn id="12" xr3:uid="{8840E927-1D1C-4CFA-ABBF-5CA9CB74D7C2}" name="Remark">
      <calculatedColumnFormula>IF(I2&lt;0,"Need verification","Correct")</calculatedColumnFormula>
    </tableColumn>
    <tableColumn id="13" xr3:uid="{2288DCB0-2CD5-4DBD-8422-C7CE3E46CC5F}" name="Achievement">
      <calculatedColumnFormula>IF(J2=0,0,(H2/J2)*100)</calculatedColumnFormula>
    </tableColumn>
    <tableColumn id="14" xr3:uid="{B80BCF4D-26E8-4140-AE48-578CB8792D7F}" name="Average Daily Sales">
      <calculatedColumnFormula>SUMIFS($H:$H,$B:$B,B2,$C:$C,C2,$D:$D,D2)/COUNTIFS($B:$B,B2,$C:$C,C2,$D:$D,D2)</calculatedColumnFormula>
    </tableColumn>
    <tableColumn id="15" xr3:uid="{27CE2977-1438-4E0A-9C42-D32D521F9203}" name="DOS">
      <calculatedColumnFormula>IFERROR(I2/N2,0)</calculatedColumnFormula>
    </tableColumn>
    <tableColumn id="16" xr3:uid="{9CD8D185-E642-4903-B60F-F7D5976E5CD0}" name="Stock Status Categories">
      <calculatedColumnFormula>IF(O2&lt;15,"Low Stock",IF(O2&lt;=30,"Healthy","Overstock"))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1"/>
  <sheetViews>
    <sheetView zoomScaleNormal="100" workbookViewId="0">
      <selection activeCell="J11" sqref="J11"/>
    </sheetView>
  </sheetViews>
  <sheetFormatPr defaultRowHeight="14.5" x14ac:dyDescent="0.35"/>
  <cols>
    <col min="1" max="11" width="20"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v>213</v>
      </c>
      <c r="G2">
        <v>10</v>
      </c>
      <c r="H2">
        <v>30</v>
      </c>
      <c r="I2">
        <v>193</v>
      </c>
      <c r="J2">
        <v>36</v>
      </c>
      <c r="K2">
        <v>2</v>
      </c>
    </row>
    <row r="3" spans="1:11" x14ac:dyDescent="0.35">
      <c r="A3" t="s">
        <v>11</v>
      </c>
      <c r="B3" t="s">
        <v>12</v>
      </c>
      <c r="C3" t="s">
        <v>13</v>
      </c>
      <c r="D3" t="s">
        <v>16</v>
      </c>
      <c r="E3" t="s">
        <v>17</v>
      </c>
      <c r="F3">
        <v>123</v>
      </c>
      <c r="G3">
        <v>50</v>
      </c>
      <c r="H3">
        <v>19</v>
      </c>
      <c r="I3">
        <v>154</v>
      </c>
      <c r="J3">
        <v>20</v>
      </c>
      <c r="K3">
        <v>5</v>
      </c>
    </row>
    <row r="4" spans="1:11" x14ac:dyDescent="0.35">
      <c r="A4" t="s">
        <v>11</v>
      </c>
      <c r="B4" t="s">
        <v>12</v>
      </c>
      <c r="C4" t="s">
        <v>13</v>
      </c>
      <c r="D4" t="s">
        <v>18</v>
      </c>
      <c r="E4" t="s">
        <v>19</v>
      </c>
      <c r="F4">
        <v>197</v>
      </c>
      <c r="G4">
        <v>52</v>
      </c>
      <c r="H4">
        <v>29</v>
      </c>
      <c r="I4">
        <v>220</v>
      </c>
      <c r="J4">
        <v>33</v>
      </c>
      <c r="K4">
        <v>3</v>
      </c>
    </row>
    <row r="5" spans="1:11" x14ac:dyDescent="0.35">
      <c r="A5" t="s">
        <v>11</v>
      </c>
      <c r="B5" t="s">
        <v>12</v>
      </c>
      <c r="C5" t="s">
        <v>13</v>
      </c>
      <c r="D5" t="s">
        <v>20</v>
      </c>
      <c r="E5" t="s">
        <v>21</v>
      </c>
      <c r="F5">
        <v>203</v>
      </c>
      <c r="G5">
        <v>14</v>
      </c>
      <c r="H5">
        <v>34</v>
      </c>
      <c r="I5">
        <v>183</v>
      </c>
      <c r="J5">
        <v>48</v>
      </c>
      <c r="K5">
        <v>4</v>
      </c>
    </row>
    <row r="6" spans="1:11" x14ac:dyDescent="0.35">
      <c r="A6" t="s">
        <v>11</v>
      </c>
      <c r="B6" t="s">
        <v>12</v>
      </c>
      <c r="C6" t="s">
        <v>13</v>
      </c>
      <c r="D6" t="s">
        <v>22</v>
      </c>
      <c r="E6" t="s">
        <v>23</v>
      </c>
      <c r="F6">
        <v>98</v>
      </c>
      <c r="G6">
        <v>26</v>
      </c>
      <c r="H6">
        <v>16</v>
      </c>
      <c r="I6">
        <v>108</v>
      </c>
      <c r="J6">
        <v>23</v>
      </c>
      <c r="K6">
        <v>4</v>
      </c>
    </row>
    <row r="7" spans="1:11" x14ac:dyDescent="0.35">
      <c r="A7" t="s">
        <v>11</v>
      </c>
      <c r="B7" t="s">
        <v>12</v>
      </c>
      <c r="C7" t="s">
        <v>24</v>
      </c>
      <c r="D7" t="s">
        <v>14</v>
      </c>
      <c r="E7" t="s">
        <v>15</v>
      </c>
      <c r="F7">
        <v>110</v>
      </c>
      <c r="G7">
        <v>0</v>
      </c>
      <c r="H7">
        <v>31</v>
      </c>
      <c r="I7">
        <v>79</v>
      </c>
      <c r="J7">
        <v>36</v>
      </c>
      <c r="K7">
        <v>3</v>
      </c>
    </row>
    <row r="8" spans="1:11" x14ac:dyDescent="0.35">
      <c r="A8" t="s">
        <v>11</v>
      </c>
      <c r="B8" t="s">
        <v>12</v>
      </c>
      <c r="C8" t="s">
        <v>24</v>
      </c>
      <c r="D8" t="s">
        <v>16</v>
      </c>
      <c r="E8" t="s">
        <v>17</v>
      </c>
      <c r="F8">
        <v>210</v>
      </c>
      <c r="G8">
        <v>31</v>
      </c>
      <c r="H8">
        <v>30</v>
      </c>
      <c r="I8">
        <v>211</v>
      </c>
      <c r="J8">
        <v>32</v>
      </c>
      <c r="K8">
        <v>2</v>
      </c>
    </row>
    <row r="9" spans="1:11" x14ac:dyDescent="0.35">
      <c r="A9" t="s">
        <v>11</v>
      </c>
      <c r="B9" t="s">
        <v>12</v>
      </c>
      <c r="C9" t="s">
        <v>24</v>
      </c>
      <c r="D9" t="s">
        <v>18</v>
      </c>
      <c r="E9" t="s">
        <v>19</v>
      </c>
      <c r="F9">
        <v>142</v>
      </c>
      <c r="G9">
        <v>9</v>
      </c>
      <c r="H9">
        <v>43</v>
      </c>
      <c r="I9">
        <v>108</v>
      </c>
      <c r="J9">
        <v>43</v>
      </c>
      <c r="K9">
        <v>2</v>
      </c>
    </row>
    <row r="10" spans="1:11" x14ac:dyDescent="0.35">
      <c r="A10" t="s">
        <v>11</v>
      </c>
      <c r="B10" t="s">
        <v>12</v>
      </c>
      <c r="C10" t="s">
        <v>24</v>
      </c>
      <c r="D10" t="s">
        <v>20</v>
      </c>
      <c r="E10" t="s">
        <v>21</v>
      </c>
      <c r="F10">
        <v>163</v>
      </c>
      <c r="G10">
        <v>10</v>
      </c>
      <c r="H10">
        <v>26</v>
      </c>
      <c r="I10">
        <v>147</v>
      </c>
      <c r="J10">
        <v>29</v>
      </c>
      <c r="K10">
        <v>2</v>
      </c>
    </row>
    <row r="11" spans="1:11" x14ac:dyDescent="0.35">
      <c r="A11" t="s">
        <v>11</v>
      </c>
      <c r="B11" t="s">
        <v>12</v>
      </c>
      <c r="C11" t="s">
        <v>24</v>
      </c>
      <c r="D11" t="s">
        <v>22</v>
      </c>
      <c r="E11" t="s">
        <v>23</v>
      </c>
      <c r="F11">
        <v>170</v>
      </c>
      <c r="G11">
        <v>20</v>
      </c>
      <c r="H11">
        <v>18</v>
      </c>
      <c r="I11">
        <v>172</v>
      </c>
      <c r="J11">
        <v>23</v>
      </c>
      <c r="K11">
        <v>1</v>
      </c>
    </row>
    <row r="12" spans="1:11" x14ac:dyDescent="0.35">
      <c r="A12" t="s">
        <v>11</v>
      </c>
      <c r="B12" t="s">
        <v>12</v>
      </c>
      <c r="C12" t="s">
        <v>25</v>
      </c>
      <c r="D12" t="s">
        <v>14</v>
      </c>
      <c r="E12" t="s">
        <v>15</v>
      </c>
      <c r="F12">
        <v>94</v>
      </c>
      <c r="G12">
        <v>52</v>
      </c>
      <c r="H12">
        <v>12</v>
      </c>
      <c r="I12">
        <v>134</v>
      </c>
      <c r="J12">
        <v>25</v>
      </c>
      <c r="K12">
        <v>1</v>
      </c>
    </row>
    <row r="13" spans="1:11" x14ac:dyDescent="0.35">
      <c r="A13" t="s">
        <v>11</v>
      </c>
      <c r="B13" t="s">
        <v>12</v>
      </c>
      <c r="C13" t="s">
        <v>25</v>
      </c>
      <c r="D13" t="s">
        <v>16</v>
      </c>
      <c r="E13" t="s">
        <v>17</v>
      </c>
      <c r="F13">
        <v>93</v>
      </c>
      <c r="G13">
        <v>41</v>
      </c>
      <c r="H13">
        <v>17</v>
      </c>
      <c r="I13">
        <v>117</v>
      </c>
      <c r="J13">
        <v>30</v>
      </c>
      <c r="K13">
        <v>5</v>
      </c>
    </row>
    <row r="14" spans="1:11" x14ac:dyDescent="0.35">
      <c r="A14" t="s">
        <v>11</v>
      </c>
      <c r="B14" t="s">
        <v>12</v>
      </c>
      <c r="C14" t="s">
        <v>25</v>
      </c>
      <c r="D14" t="s">
        <v>18</v>
      </c>
      <c r="E14" t="s">
        <v>19</v>
      </c>
      <c r="F14">
        <v>105</v>
      </c>
      <c r="G14">
        <v>49</v>
      </c>
      <c r="H14">
        <v>47</v>
      </c>
      <c r="I14">
        <v>107</v>
      </c>
      <c r="J14">
        <v>61</v>
      </c>
      <c r="K14">
        <v>5</v>
      </c>
    </row>
    <row r="15" spans="1:11" x14ac:dyDescent="0.35">
      <c r="A15" t="s">
        <v>11</v>
      </c>
      <c r="B15" t="s">
        <v>12</v>
      </c>
      <c r="C15" t="s">
        <v>25</v>
      </c>
      <c r="D15" t="s">
        <v>20</v>
      </c>
      <c r="E15" t="s">
        <v>21</v>
      </c>
      <c r="F15">
        <v>169</v>
      </c>
      <c r="G15">
        <v>53</v>
      </c>
      <c r="H15">
        <v>31</v>
      </c>
      <c r="I15">
        <v>191</v>
      </c>
      <c r="J15">
        <v>33</v>
      </c>
      <c r="K15">
        <v>2</v>
      </c>
    </row>
    <row r="16" spans="1:11" x14ac:dyDescent="0.35">
      <c r="A16" t="s">
        <v>11</v>
      </c>
      <c r="B16" t="s">
        <v>12</v>
      </c>
      <c r="C16" t="s">
        <v>25</v>
      </c>
      <c r="D16" t="s">
        <v>22</v>
      </c>
      <c r="E16" t="s">
        <v>23</v>
      </c>
      <c r="F16">
        <v>199</v>
      </c>
      <c r="G16">
        <v>2</v>
      </c>
      <c r="H16">
        <v>4</v>
      </c>
      <c r="I16">
        <v>197</v>
      </c>
      <c r="J16">
        <v>9</v>
      </c>
      <c r="K16">
        <v>4</v>
      </c>
    </row>
    <row r="17" spans="1:11" x14ac:dyDescent="0.35">
      <c r="A17" t="s">
        <v>11</v>
      </c>
      <c r="B17" t="s">
        <v>26</v>
      </c>
      <c r="C17" t="s">
        <v>27</v>
      </c>
      <c r="D17" t="s">
        <v>14</v>
      </c>
      <c r="E17" t="s">
        <v>15</v>
      </c>
      <c r="F17">
        <v>150</v>
      </c>
      <c r="G17">
        <v>37</v>
      </c>
      <c r="H17">
        <v>18</v>
      </c>
      <c r="I17">
        <v>169</v>
      </c>
      <c r="J17">
        <v>24</v>
      </c>
      <c r="K17">
        <v>5</v>
      </c>
    </row>
    <row r="18" spans="1:11" x14ac:dyDescent="0.35">
      <c r="A18" t="s">
        <v>11</v>
      </c>
      <c r="B18" t="s">
        <v>26</v>
      </c>
      <c r="C18" t="s">
        <v>27</v>
      </c>
      <c r="D18" t="s">
        <v>16</v>
      </c>
      <c r="E18" t="s">
        <v>17</v>
      </c>
      <c r="F18">
        <v>103</v>
      </c>
      <c r="G18">
        <v>2</v>
      </c>
      <c r="H18">
        <v>9</v>
      </c>
      <c r="I18">
        <v>96</v>
      </c>
      <c r="J18">
        <v>12</v>
      </c>
      <c r="K18">
        <v>2</v>
      </c>
    </row>
    <row r="19" spans="1:11" x14ac:dyDescent="0.35">
      <c r="A19" t="s">
        <v>11</v>
      </c>
      <c r="B19" t="s">
        <v>26</v>
      </c>
      <c r="C19" t="s">
        <v>27</v>
      </c>
      <c r="D19" t="s">
        <v>18</v>
      </c>
      <c r="E19" t="s">
        <v>19</v>
      </c>
      <c r="F19">
        <v>190</v>
      </c>
      <c r="G19">
        <v>48</v>
      </c>
      <c r="H19">
        <v>20</v>
      </c>
      <c r="I19">
        <v>218</v>
      </c>
      <c r="J19">
        <v>24</v>
      </c>
      <c r="K19">
        <v>4</v>
      </c>
    </row>
    <row r="20" spans="1:11" x14ac:dyDescent="0.35">
      <c r="A20" t="s">
        <v>11</v>
      </c>
      <c r="B20" t="s">
        <v>26</v>
      </c>
      <c r="C20" t="s">
        <v>27</v>
      </c>
      <c r="D20" t="s">
        <v>20</v>
      </c>
      <c r="E20" t="s">
        <v>21</v>
      </c>
      <c r="F20">
        <v>204</v>
      </c>
      <c r="G20">
        <v>26</v>
      </c>
      <c r="H20">
        <v>15</v>
      </c>
      <c r="I20">
        <v>215</v>
      </c>
      <c r="J20">
        <v>20</v>
      </c>
      <c r="K20">
        <v>2</v>
      </c>
    </row>
    <row r="21" spans="1:11" x14ac:dyDescent="0.35">
      <c r="A21" t="s">
        <v>11</v>
      </c>
      <c r="B21" t="s">
        <v>26</v>
      </c>
      <c r="C21" t="s">
        <v>27</v>
      </c>
      <c r="D21" t="s">
        <v>22</v>
      </c>
      <c r="E21" t="s">
        <v>23</v>
      </c>
      <c r="F21">
        <v>176</v>
      </c>
      <c r="G21">
        <v>5</v>
      </c>
      <c r="H21">
        <v>14</v>
      </c>
      <c r="I21">
        <v>167</v>
      </c>
      <c r="J21">
        <v>20</v>
      </c>
      <c r="K21">
        <v>4</v>
      </c>
    </row>
    <row r="22" spans="1:11" x14ac:dyDescent="0.35">
      <c r="A22" t="s">
        <v>11</v>
      </c>
      <c r="B22" t="s">
        <v>28</v>
      </c>
      <c r="C22" t="s">
        <v>29</v>
      </c>
      <c r="D22" t="s">
        <v>30</v>
      </c>
      <c r="E22" t="s">
        <v>15</v>
      </c>
      <c r="F22">
        <v>177</v>
      </c>
      <c r="G22">
        <v>52</v>
      </c>
      <c r="H22">
        <v>15</v>
      </c>
      <c r="I22">
        <v>214</v>
      </c>
      <c r="J22">
        <v>29</v>
      </c>
      <c r="K22">
        <v>3</v>
      </c>
    </row>
    <row r="23" spans="1:11" x14ac:dyDescent="0.35">
      <c r="A23" t="s">
        <v>11</v>
      </c>
      <c r="B23" t="s">
        <v>28</v>
      </c>
      <c r="C23" t="s">
        <v>29</v>
      </c>
      <c r="D23" t="s">
        <v>16</v>
      </c>
      <c r="E23" t="s">
        <v>17</v>
      </c>
      <c r="F23">
        <v>123</v>
      </c>
      <c r="G23">
        <v>46</v>
      </c>
      <c r="H23">
        <v>21</v>
      </c>
      <c r="I23">
        <v>148</v>
      </c>
      <c r="J23">
        <v>30</v>
      </c>
      <c r="K23">
        <v>4</v>
      </c>
    </row>
    <row r="24" spans="1:11" x14ac:dyDescent="0.35">
      <c r="A24" t="s">
        <v>11</v>
      </c>
      <c r="B24" t="s">
        <v>28</v>
      </c>
      <c r="C24" t="s">
        <v>29</v>
      </c>
      <c r="D24" t="s">
        <v>18</v>
      </c>
      <c r="E24" t="s">
        <v>19</v>
      </c>
      <c r="F24">
        <v>121</v>
      </c>
      <c r="G24">
        <v>49</v>
      </c>
      <c r="H24">
        <v>47</v>
      </c>
      <c r="I24">
        <v>123</v>
      </c>
      <c r="J24">
        <v>50</v>
      </c>
      <c r="K24">
        <v>3</v>
      </c>
    </row>
    <row r="25" spans="1:11" x14ac:dyDescent="0.35">
      <c r="A25" t="s">
        <v>11</v>
      </c>
      <c r="B25" t="s">
        <v>28</v>
      </c>
      <c r="C25" t="s">
        <v>29</v>
      </c>
      <c r="D25" t="s">
        <v>20</v>
      </c>
      <c r="E25" t="s">
        <v>21</v>
      </c>
      <c r="F25">
        <v>207</v>
      </c>
      <c r="G25">
        <v>37</v>
      </c>
      <c r="H25">
        <v>19</v>
      </c>
      <c r="I25">
        <v>225</v>
      </c>
      <c r="J25">
        <v>25</v>
      </c>
      <c r="K25">
        <v>3</v>
      </c>
    </row>
    <row r="26" spans="1:11" x14ac:dyDescent="0.35">
      <c r="A26" t="s">
        <v>11</v>
      </c>
      <c r="B26" t="s">
        <v>28</v>
      </c>
      <c r="C26" t="s">
        <v>29</v>
      </c>
      <c r="D26" t="s">
        <v>22</v>
      </c>
      <c r="E26" t="s">
        <v>23</v>
      </c>
      <c r="F26">
        <v>136</v>
      </c>
      <c r="G26">
        <v>29</v>
      </c>
      <c r="H26">
        <v>6</v>
      </c>
      <c r="I26">
        <v>159</v>
      </c>
      <c r="J26">
        <v>6</v>
      </c>
      <c r="K26">
        <v>4</v>
      </c>
    </row>
    <row r="27" spans="1:11" x14ac:dyDescent="0.35">
      <c r="A27" t="s">
        <v>11</v>
      </c>
      <c r="B27" t="s">
        <v>31</v>
      </c>
      <c r="C27" t="s">
        <v>32</v>
      </c>
      <c r="D27" t="s">
        <v>14</v>
      </c>
      <c r="E27" t="s">
        <v>15</v>
      </c>
      <c r="F27">
        <v>108</v>
      </c>
      <c r="G27">
        <v>36</v>
      </c>
      <c r="H27">
        <v>29</v>
      </c>
      <c r="I27">
        <v>115</v>
      </c>
      <c r="J27">
        <v>29</v>
      </c>
      <c r="K27">
        <v>2</v>
      </c>
    </row>
    <row r="28" spans="1:11" x14ac:dyDescent="0.35">
      <c r="A28" t="s">
        <v>11</v>
      </c>
      <c r="B28" t="s">
        <v>31</v>
      </c>
      <c r="C28" t="s">
        <v>32</v>
      </c>
      <c r="D28" t="s">
        <v>16</v>
      </c>
      <c r="E28" t="s">
        <v>17</v>
      </c>
      <c r="F28">
        <v>192</v>
      </c>
      <c r="G28">
        <v>19</v>
      </c>
      <c r="H28">
        <v>33</v>
      </c>
      <c r="I28">
        <v>178</v>
      </c>
      <c r="J28">
        <v>48</v>
      </c>
      <c r="K28">
        <v>1</v>
      </c>
    </row>
    <row r="29" spans="1:11" x14ac:dyDescent="0.35">
      <c r="A29" t="s">
        <v>11</v>
      </c>
      <c r="B29" t="s">
        <v>31</v>
      </c>
      <c r="C29" t="s">
        <v>32</v>
      </c>
      <c r="D29" t="s">
        <v>18</v>
      </c>
      <c r="E29" t="s">
        <v>19</v>
      </c>
      <c r="F29">
        <v>213</v>
      </c>
      <c r="G29">
        <v>16</v>
      </c>
      <c r="H29">
        <v>18</v>
      </c>
      <c r="I29">
        <v>211</v>
      </c>
      <c r="J29">
        <v>20</v>
      </c>
      <c r="K29">
        <v>1</v>
      </c>
    </row>
    <row r="30" spans="1:11" x14ac:dyDescent="0.35">
      <c r="A30" t="s">
        <v>11</v>
      </c>
      <c r="B30" t="s">
        <v>31</v>
      </c>
      <c r="C30" t="s">
        <v>32</v>
      </c>
      <c r="D30" t="s">
        <v>20</v>
      </c>
      <c r="E30" t="s">
        <v>21</v>
      </c>
      <c r="F30">
        <v>178</v>
      </c>
      <c r="G30">
        <v>57</v>
      </c>
      <c r="H30">
        <v>34</v>
      </c>
      <c r="I30">
        <v>201</v>
      </c>
      <c r="J30">
        <v>37</v>
      </c>
      <c r="K30">
        <v>3</v>
      </c>
    </row>
    <row r="31" spans="1:11" x14ac:dyDescent="0.35">
      <c r="A31" t="s">
        <v>11</v>
      </c>
      <c r="B31" t="s">
        <v>31</v>
      </c>
      <c r="C31" t="s">
        <v>32</v>
      </c>
      <c r="D31" t="s">
        <v>22</v>
      </c>
      <c r="E31" t="s">
        <v>23</v>
      </c>
      <c r="F31">
        <v>138</v>
      </c>
      <c r="G31">
        <v>41</v>
      </c>
      <c r="H31">
        <v>17</v>
      </c>
      <c r="I31">
        <v>162</v>
      </c>
      <c r="J31">
        <v>17</v>
      </c>
      <c r="K31">
        <v>4</v>
      </c>
    </row>
    <row r="32" spans="1:11" x14ac:dyDescent="0.35">
      <c r="A32" t="s">
        <v>11</v>
      </c>
      <c r="B32" t="s">
        <v>33</v>
      </c>
      <c r="C32" t="s">
        <v>34</v>
      </c>
      <c r="D32" t="s">
        <v>14</v>
      </c>
      <c r="E32" t="s">
        <v>15</v>
      </c>
      <c r="F32">
        <v>110</v>
      </c>
      <c r="G32">
        <v>16</v>
      </c>
      <c r="H32">
        <v>11</v>
      </c>
      <c r="I32">
        <v>115</v>
      </c>
      <c r="J32">
        <v>21</v>
      </c>
      <c r="K32">
        <v>3</v>
      </c>
    </row>
    <row r="33" spans="1:11" x14ac:dyDescent="0.35">
      <c r="A33" t="s">
        <v>11</v>
      </c>
      <c r="B33" t="s">
        <v>33</v>
      </c>
      <c r="C33" t="s">
        <v>34</v>
      </c>
      <c r="D33" t="s">
        <v>16</v>
      </c>
      <c r="E33" t="s">
        <v>17</v>
      </c>
      <c r="F33">
        <v>130</v>
      </c>
      <c r="G33">
        <v>4</v>
      </c>
      <c r="H33">
        <v>28</v>
      </c>
      <c r="I33">
        <v>106</v>
      </c>
      <c r="J33">
        <v>32</v>
      </c>
      <c r="K33">
        <v>3</v>
      </c>
    </row>
    <row r="34" spans="1:11" x14ac:dyDescent="0.35">
      <c r="A34" t="s">
        <v>11</v>
      </c>
      <c r="B34" t="s">
        <v>33</v>
      </c>
      <c r="C34" t="s">
        <v>34</v>
      </c>
      <c r="D34" t="s">
        <v>18</v>
      </c>
      <c r="E34" t="s">
        <v>19</v>
      </c>
      <c r="F34">
        <v>209</v>
      </c>
      <c r="G34">
        <v>15</v>
      </c>
      <c r="H34">
        <v>48</v>
      </c>
      <c r="I34">
        <v>176</v>
      </c>
      <c r="J34">
        <v>55</v>
      </c>
      <c r="K34">
        <v>3</v>
      </c>
    </row>
    <row r="35" spans="1:11" x14ac:dyDescent="0.35">
      <c r="A35" t="s">
        <v>11</v>
      </c>
      <c r="B35" t="s">
        <v>33</v>
      </c>
      <c r="C35" t="s">
        <v>34</v>
      </c>
      <c r="D35" t="s">
        <v>20</v>
      </c>
      <c r="E35" t="s">
        <v>21</v>
      </c>
      <c r="F35">
        <v>218</v>
      </c>
      <c r="G35">
        <v>41</v>
      </c>
      <c r="H35">
        <v>32</v>
      </c>
      <c r="I35">
        <v>227</v>
      </c>
      <c r="J35">
        <v>38</v>
      </c>
      <c r="K35">
        <v>1</v>
      </c>
    </row>
    <row r="36" spans="1:11" x14ac:dyDescent="0.35">
      <c r="A36" t="s">
        <v>11</v>
      </c>
      <c r="B36" t="s">
        <v>33</v>
      </c>
      <c r="C36" t="s">
        <v>34</v>
      </c>
      <c r="D36" t="s">
        <v>22</v>
      </c>
      <c r="E36" t="s">
        <v>23</v>
      </c>
      <c r="F36">
        <v>111</v>
      </c>
      <c r="G36">
        <v>49</v>
      </c>
      <c r="H36">
        <v>3</v>
      </c>
      <c r="I36">
        <v>157</v>
      </c>
      <c r="J36">
        <v>4</v>
      </c>
      <c r="K36">
        <v>2</v>
      </c>
    </row>
    <row r="37" spans="1:11" x14ac:dyDescent="0.35">
      <c r="A37" t="s">
        <v>35</v>
      </c>
      <c r="B37" t="s">
        <v>12</v>
      </c>
      <c r="C37" t="s">
        <v>13</v>
      </c>
      <c r="D37" t="s">
        <v>14</v>
      </c>
      <c r="E37" t="s">
        <v>15</v>
      </c>
      <c r="F37">
        <v>193</v>
      </c>
      <c r="G37">
        <v>49</v>
      </c>
      <c r="H37">
        <v>21</v>
      </c>
      <c r="I37">
        <v>221</v>
      </c>
      <c r="J37">
        <v>25</v>
      </c>
      <c r="K37">
        <v>2</v>
      </c>
    </row>
    <row r="38" spans="1:11" x14ac:dyDescent="0.35">
      <c r="A38" t="s">
        <v>35</v>
      </c>
      <c r="B38" t="s">
        <v>12</v>
      </c>
      <c r="C38" t="s">
        <v>13</v>
      </c>
      <c r="D38" t="s">
        <v>16</v>
      </c>
      <c r="E38" t="s">
        <v>17</v>
      </c>
      <c r="F38">
        <v>154</v>
      </c>
      <c r="G38">
        <v>35</v>
      </c>
      <c r="H38">
        <v>14</v>
      </c>
      <c r="I38">
        <v>175</v>
      </c>
      <c r="J38">
        <v>15</v>
      </c>
      <c r="K38">
        <v>2</v>
      </c>
    </row>
    <row r="39" spans="1:11" x14ac:dyDescent="0.35">
      <c r="A39" t="s">
        <v>35</v>
      </c>
      <c r="B39" t="s">
        <v>12</v>
      </c>
      <c r="C39" t="s">
        <v>13</v>
      </c>
      <c r="D39" t="s">
        <v>18</v>
      </c>
      <c r="E39" t="s">
        <v>19</v>
      </c>
      <c r="F39">
        <v>220</v>
      </c>
      <c r="G39">
        <v>24</v>
      </c>
      <c r="H39">
        <v>50</v>
      </c>
      <c r="I39">
        <v>194</v>
      </c>
      <c r="J39">
        <v>55</v>
      </c>
      <c r="K39">
        <v>2</v>
      </c>
    </row>
    <row r="40" spans="1:11" x14ac:dyDescent="0.35">
      <c r="A40" t="s">
        <v>35</v>
      </c>
      <c r="B40" t="s">
        <v>12</v>
      </c>
      <c r="C40" t="s">
        <v>13</v>
      </c>
      <c r="D40" t="s">
        <v>20</v>
      </c>
      <c r="E40" t="s">
        <v>21</v>
      </c>
      <c r="F40">
        <v>183</v>
      </c>
      <c r="G40">
        <v>44</v>
      </c>
      <c r="H40">
        <v>17</v>
      </c>
      <c r="I40">
        <v>210</v>
      </c>
      <c r="J40">
        <v>28</v>
      </c>
      <c r="K40">
        <v>4</v>
      </c>
    </row>
    <row r="41" spans="1:11" x14ac:dyDescent="0.35">
      <c r="A41" t="s">
        <v>35</v>
      </c>
      <c r="B41" t="s">
        <v>12</v>
      </c>
      <c r="C41" t="s">
        <v>13</v>
      </c>
      <c r="D41" t="s">
        <v>22</v>
      </c>
      <c r="E41" t="s">
        <v>23</v>
      </c>
      <c r="F41">
        <v>108</v>
      </c>
      <c r="G41">
        <v>3</v>
      </c>
      <c r="H41">
        <v>4</v>
      </c>
      <c r="I41">
        <v>107</v>
      </c>
      <c r="J41">
        <v>13</v>
      </c>
      <c r="K41">
        <v>3</v>
      </c>
    </row>
    <row r="42" spans="1:11" x14ac:dyDescent="0.35">
      <c r="A42" t="s">
        <v>35</v>
      </c>
      <c r="B42" t="s">
        <v>12</v>
      </c>
      <c r="C42" t="s">
        <v>24</v>
      </c>
      <c r="D42" t="s">
        <v>14</v>
      </c>
      <c r="E42" t="s">
        <v>15</v>
      </c>
      <c r="F42">
        <v>79</v>
      </c>
      <c r="G42">
        <v>57</v>
      </c>
      <c r="H42">
        <v>35</v>
      </c>
      <c r="I42">
        <v>101</v>
      </c>
      <c r="J42">
        <v>40</v>
      </c>
      <c r="K42">
        <v>4</v>
      </c>
    </row>
    <row r="43" spans="1:11" x14ac:dyDescent="0.35">
      <c r="A43" t="s">
        <v>35</v>
      </c>
      <c r="B43" t="s">
        <v>12</v>
      </c>
      <c r="C43" t="s">
        <v>24</v>
      </c>
      <c r="D43" t="s">
        <v>16</v>
      </c>
      <c r="E43" t="s">
        <v>17</v>
      </c>
      <c r="F43">
        <v>211</v>
      </c>
      <c r="G43">
        <v>7</v>
      </c>
      <c r="H43">
        <v>11</v>
      </c>
      <c r="I43">
        <v>207</v>
      </c>
      <c r="J43">
        <v>13</v>
      </c>
      <c r="K43">
        <v>2</v>
      </c>
    </row>
    <row r="44" spans="1:11" x14ac:dyDescent="0.35">
      <c r="A44" t="s">
        <v>35</v>
      </c>
      <c r="B44" t="s">
        <v>12</v>
      </c>
      <c r="C44" t="s">
        <v>24</v>
      </c>
      <c r="D44" t="s">
        <v>18</v>
      </c>
      <c r="E44" t="s">
        <v>19</v>
      </c>
      <c r="F44">
        <v>108</v>
      </c>
      <c r="G44">
        <v>51</v>
      </c>
      <c r="H44">
        <v>25</v>
      </c>
      <c r="I44">
        <v>134</v>
      </c>
      <c r="J44">
        <v>37</v>
      </c>
      <c r="K44">
        <v>2</v>
      </c>
    </row>
    <row r="45" spans="1:11" x14ac:dyDescent="0.35">
      <c r="A45" t="s">
        <v>35</v>
      </c>
      <c r="B45" t="s">
        <v>12</v>
      </c>
      <c r="C45" t="s">
        <v>24</v>
      </c>
      <c r="D45" t="s">
        <v>20</v>
      </c>
      <c r="E45" t="s">
        <v>21</v>
      </c>
      <c r="F45">
        <v>147</v>
      </c>
      <c r="G45">
        <v>51</v>
      </c>
      <c r="H45">
        <v>21</v>
      </c>
      <c r="I45">
        <v>177</v>
      </c>
      <c r="J45">
        <v>32</v>
      </c>
      <c r="K45">
        <v>5</v>
      </c>
    </row>
    <row r="46" spans="1:11" x14ac:dyDescent="0.35">
      <c r="A46" t="s">
        <v>35</v>
      </c>
      <c r="B46" t="s">
        <v>12</v>
      </c>
      <c r="C46" t="s">
        <v>24</v>
      </c>
      <c r="D46" t="s">
        <v>22</v>
      </c>
      <c r="E46" t="s">
        <v>23</v>
      </c>
      <c r="F46">
        <v>172</v>
      </c>
      <c r="G46">
        <v>13</v>
      </c>
      <c r="H46">
        <v>13</v>
      </c>
      <c r="I46">
        <v>172</v>
      </c>
      <c r="J46">
        <v>21</v>
      </c>
      <c r="K46">
        <v>1</v>
      </c>
    </row>
    <row r="47" spans="1:11" x14ac:dyDescent="0.35">
      <c r="A47" t="s">
        <v>35</v>
      </c>
      <c r="B47" t="s">
        <v>12</v>
      </c>
      <c r="C47" t="s">
        <v>25</v>
      </c>
      <c r="D47" t="s">
        <v>14</v>
      </c>
      <c r="E47" t="s">
        <v>15</v>
      </c>
      <c r="F47">
        <v>134</v>
      </c>
      <c r="G47">
        <v>18</v>
      </c>
      <c r="H47">
        <v>18</v>
      </c>
      <c r="I47">
        <v>134</v>
      </c>
      <c r="J47">
        <v>19</v>
      </c>
      <c r="K47">
        <v>5</v>
      </c>
    </row>
    <row r="48" spans="1:11" x14ac:dyDescent="0.35">
      <c r="A48" t="s">
        <v>35</v>
      </c>
      <c r="B48" t="s">
        <v>12</v>
      </c>
      <c r="C48" t="s">
        <v>25</v>
      </c>
      <c r="D48" t="s">
        <v>16</v>
      </c>
      <c r="E48" t="s">
        <v>17</v>
      </c>
      <c r="F48">
        <v>117</v>
      </c>
      <c r="G48">
        <v>43</v>
      </c>
      <c r="H48">
        <v>17</v>
      </c>
      <c r="I48">
        <v>143</v>
      </c>
      <c r="J48">
        <v>32</v>
      </c>
      <c r="K48">
        <v>3</v>
      </c>
    </row>
    <row r="49" spans="1:11" x14ac:dyDescent="0.35">
      <c r="A49" t="s">
        <v>35</v>
      </c>
      <c r="B49" t="s">
        <v>12</v>
      </c>
      <c r="C49" t="s">
        <v>25</v>
      </c>
      <c r="D49" t="s">
        <v>18</v>
      </c>
      <c r="E49" t="s">
        <v>19</v>
      </c>
      <c r="F49">
        <v>107</v>
      </c>
      <c r="G49">
        <v>13</v>
      </c>
      <c r="H49">
        <v>21</v>
      </c>
      <c r="I49">
        <v>99</v>
      </c>
      <c r="J49">
        <v>27</v>
      </c>
      <c r="K49">
        <v>3</v>
      </c>
    </row>
    <row r="50" spans="1:11" x14ac:dyDescent="0.35">
      <c r="A50" t="s">
        <v>35</v>
      </c>
      <c r="B50" t="s">
        <v>12</v>
      </c>
      <c r="C50" t="s">
        <v>25</v>
      </c>
      <c r="D50" t="s">
        <v>20</v>
      </c>
      <c r="E50" t="s">
        <v>21</v>
      </c>
      <c r="F50">
        <v>191</v>
      </c>
      <c r="G50">
        <v>31</v>
      </c>
      <c r="H50">
        <v>31</v>
      </c>
      <c r="I50">
        <v>-5</v>
      </c>
      <c r="J50">
        <v>37</v>
      </c>
      <c r="K50">
        <v>5</v>
      </c>
    </row>
    <row r="51" spans="1:11" x14ac:dyDescent="0.35">
      <c r="A51" t="s">
        <v>35</v>
      </c>
      <c r="B51" t="s">
        <v>12</v>
      </c>
      <c r="C51" t="s">
        <v>25</v>
      </c>
      <c r="D51" t="s">
        <v>22</v>
      </c>
      <c r="E51" t="s">
        <v>23</v>
      </c>
      <c r="F51">
        <v>197</v>
      </c>
      <c r="G51">
        <v>16</v>
      </c>
      <c r="H51">
        <v>18</v>
      </c>
      <c r="I51">
        <v>195</v>
      </c>
      <c r="J51">
        <v>25</v>
      </c>
      <c r="K51">
        <v>5</v>
      </c>
    </row>
    <row r="52" spans="1:11" x14ac:dyDescent="0.35">
      <c r="A52" t="s">
        <v>35</v>
      </c>
      <c r="B52" t="s">
        <v>26</v>
      </c>
      <c r="C52" t="s">
        <v>27</v>
      </c>
      <c r="D52" t="s">
        <v>14</v>
      </c>
      <c r="E52" t="s">
        <v>15</v>
      </c>
      <c r="F52">
        <v>169</v>
      </c>
      <c r="G52">
        <v>41</v>
      </c>
      <c r="H52">
        <v>14</v>
      </c>
      <c r="I52">
        <v>196</v>
      </c>
      <c r="J52">
        <v>26</v>
      </c>
      <c r="K52">
        <v>4</v>
      </c>
    </row>
    <row r="53" spans="1:11" x14ac:dyDescent="0.35">
      <c r="A53" t="s">
        <v>35</v>
      </c>
      <c r="B53" t="s">
        <v>26</v>
      </c>
      <c r="C53" t="s">
        <v>27</v>
      </c>
      <c r="D53" t="s">
        <v>16</v>
      </c>
      <c r="E53" t="s">
        <v>17</v>
      </c>
      <c r="F53">
        <v>96</v>
      </c>
      <c r="G53">
        <v>34</v>
      </c>
      <c r="H53">
        <v>23</v>
      </c>
      <c r="I53">
        <v>107</v>
      </c>
      <c r="J53">
        <v>34</v>
      </c>
      <c r="K53">
        <v>3</v>
      </c>
    </row>
    <row r="54" spans="1:11" x14ac:dyDescent="0.35">
      <c r="A54" t="s">
        <v>35</v>
      </c>
      <c r="B54" t="s">
        <v>26</v>
      </c>
      <c r="C54" t="s">
        <v>27</v>
      </c>
      <c r="D54" t="s">
        <v>18</v>
      </c>
      <c r="E54" t="s">
        <v>19</v>
      </c>
      <c r="F54">
        <v>218</v>
      </c>
      <c r="G54">
        <v>4</v>
      </c>
      <c r="H54">
        <v>34</v>
      </c>
      <c r="I54">
        <v>188</v>
      </c>
      <c r="J54">
        <v>48</v>
      </c>
      <c r="K54">
        <v>1</v>
      </c>
    </row>
    <row r="55" spans="1:11" x14ac:dyDescent="0.35">
      <c r="A55" t="s">
        <v>35</v>
      </c>
      <c r="B55" t="s">
        <v>26</v>
      </c>
      <c r="C55" t="s">
        <v>27</v>
      </c>
      <c r="D55" t="s">
        <v>20</v>
      </c>
      <c r="E55" t="s">
        <v>21</v>
      </c>
      <c r="F55">
        <v>215</v>
      </c>
      <c r="G55">
        <v>45</v>
      </c>
      <c r="H55">
        <v>50</v>
      </c>
      <c r="I55">
        <v>210</v>
      </c>
      <c r="J55">
        <v>54</v>
      </c>
      <c r="K55">
        <v>1</v>
      </c>
    </row>
    <row r="56" spans="1:11" x14ac:dyDescent="0.35">
      <c r="A56" t="s">
        <v>35</v>
      </c>
      <c r="B56" t="s">
        <v>26</v>
      </c>
      <c r="C56" t="s">
        <v>27</v>
      </c>
      <c r="D56" t="s">
        <v>22</v>
      </c>
      <c r="E56" t="s">
        <v>23</v>
      </c>
      <c r="F56">
        <v>167</v>
      </c>
      <c r="G56">
        <v>5</v>
      </c>
      <c r="H56">
        <v>14</v>
      </c>
      <c r="I56">
        <v>158</v>
      </c>
      <c r="J56">
        <v>18</v>
      </c>
      <c r="K56">
        <v>2</v>
      </c>
    </row>
    <row r="57" spans="1:11" x14ac:dyDescent="0.35">
      <c r="A57" t="s">
        <v>35</v>
      </c>
      <c r="B57" t="s">
        <v>28</v>
      </c>
      <c r="C57" t="s">
        <v>29</v>
      </c>
      <c r="D57" t="s">
        <v>14</v>
      </c>
      <c r="E57" t="s">
        <v>15</v>
      </c>
      <c r="F57">
        <v>214</v>
      </c>
      <c r="G57">
        <v>26</v>
      </c>
      <c r="H57">
        <v>19</v>
      </c>
      <c r="I57">
        <v>221</v>
      </c>
      <c r="J57">
        <v>26</v>
      </c>
      <c r="K57">
        <v>1</v>
      </c>
    </row>
    <row r="58" spans="1:11" x14ac:dyDescent="0.35">
      <c r="A58" t="s">
        <v>35</v>
      </c>
      <c r="B58" t="s">
        <v>28</v>
      </c>
      <c r="C58" t="s">
        <v>29</v>
      </c>
      <c r="D58" t="s">
        <v>16</v>
      </c>
      <c r="E58" t="s">
        <v>17</v>
      </c>
      <c r="F58">
        <v>148</v>
      </c>
      <c r="G58">
        <v>12</v>
      </c>
      <c r="H58">
        <v>27</v>
      </c>
      <c r="I58">
        <v>133</v>
      </c>
      <c r="J58">
        <v>40</v>
      </c>
      <c r="K58">
        <v>4</v>
      </c>
    </row>
    <row r="59" spans="1:11" x14ac:dyDescent="0.35">
      <c r="A59" t="s">
        <v>35</v>
      </c>
      <c r="B59" t="s">
        <v>28</v>
      </c>
      <c r="C59" t="s">
        <v>29</v>
      </c>
      <c r="D59" t="s">
        <v>18</v>
      </c>
      <c r="E59" t="s">
        <v>19</v>
      </c>
      <c r="F59">
        <v>123</v>
      </c>
      <c r="G59">
        <v>41</v>
      </c>
      <c r="H59">
        <v>48</v>
      </c>
      <c r="I59">
        <v>116</v>
      </c>
      <c r="J59">
        <v>59</v>
      </c>
      <c r="K59">
        <v>5</v>
      </c>
    </row>
    <row r="60" spans="1:11" x14ac:dyDescent="0.35">
      <c r="A60" t="s">
        <v>35</v>
      </c>
      <c r="B60" t="s">
        <v>28</v>
      </c>
      <c r="C60" t="s">
        <v>29</v>
      </c>
      <c r="D60" t="s">
        <v>20</v>
      </c>
      <c r="E60" t="s">
        <v>21</v>
      </c>
      <c r="F60">
        <v>225</v>
      </c>
      <c r="G60">
        <v>17</v>
      </c>
      <c r="H60">
        <v>36</v>
      </c>
      <c r="I60">
        <v>206</v>
      </c>
      <c r="J60">
        <v>44</v>
      </c>
      <c r="K60">
        <v>2</v>
      </c>
    </row>
    <row r="61" spans="1:11" x14ac:dyDescent="0.35">
      <c r="A61" t="s">
        <v>35</v>
      </c>
      <c r="B61" t="s">
        <v>28</v>
      </c>
      <c r="C61" t="s">
        <v>29</v>
      </c>
      <c r="D61" t="s">
        <v>22</v>
      </c>
      <c r="E61" t="s">
        <v>23</v>
      </c>
      <c r="F61">
        <v>159</v>
      </c>
      <c r="G61">
        <v>52</v>
      </c>
      <c r="H61">
        <v>9</v>
      </c>
      <c r="I61">
        <v>202</v>
      </c>
      <c r="K61">
        <v>1</v>
      </c>
    </row>
    <row r="62" spans="1:11" x14ac:dyDescent="0.35">
      <c r="A62" t="s">
        <v>35</v>
      </c>
      <c r="B62" t="s">
        <v>31</v>
      </c>
      <c r="C62" t="s">
        <v>32</v>
      </c>
      <c r="D62" t="s">
        <v>14</v>
      </c>
      <c r="E62" t="s">
        <v>15</v>
      </c>
      <c r="F62">
        <v>115</v>
      </c>
      <c r="G62">
        <v>50</v>
      </c>
      <c r="H62">
        <v>27</v>
      </c>
      <c r="I62">
        <v>138</v>
      </c>
      <c r="J62">
        <v>42</v>
      </c>
      <c r="K62">
        <v>3</v>
      </c>
    </row>
    <row r="63" spans="1:11" x14ac:dyDescent="0.35">
      <c r="A63" t="s">
        <v>35</v>
      </c>
      <c r="B63" t="s">
        <v>31</v>
      </c>
      <c r="C63" t="s">
        <v>32</v>
      </c>
      <c r="D63" t="s">
        <v>16</v>
      </c>
      <c r="E63" t="s">
        <v>17</v>
      </c>
      <c r="F63">
        <v>178</v>
      </c>
      <c r="G63">
        <v>42</v>
      </c>
      <c r="H63">
        <v>15</v>
      </c>
      <c r="I63">
        <v>205</v>
      </c>
      <c r="J63">
        <v>24</v>
      </c>
      <c r="K63">
        <v>4</v>
      </c>
    </row>
    <row r="64" spans="1:11" x14ac:dyDescent="0.35">
      <c r="A64" t="s">
        <v>35</v>
      </c>
      <c r="B64" t="s">
        <v>31</v>
      </c>
      <c r="C64" t="s">
        <v>32</v>
      </c>
      <c r="D64" t="s">
        <v>18</v>
      </c>
      <c r="E64" t="s">
        <v>19</v>
      </c>
      <c r="F64">
        <v>211</v>
      </c>
      <c r="G64">
        <v>24</v>
      </c>
      <c r="H64">
        <v>41</v>
      </c>
      <c r="I64">
        <v>194</v>
      </c>
      <c r="J64">
        <v>53</v>
      </c>
      <c r="K64">
        <v>2</v>
      </c>
    </row>
    <row r="65" spans="1:11" x14ac:dyDescent="0.35">
      <c r="A65" t="s">
        <v>35</v>
      </c>
      <c r="B65" t="s">
        <v>31</v>
      </c>
      <c r="C65" t="s">
        <v>32</v>
      </c>
      <c r="D65" t="s">
        <v>20</v>
      </c>
      <c r="E65" t="s">
        <v>21</v>
      </c>
      <c r="F65">
        <v>201</v>
      </c>
      <c r="G65">
        <v>9</v>
      </c>
      <c r="H65">
        <v>28</v>
      </c>
      <c r="I65">
        <v>182</v>
      </c>
      <c r="J65">
        <v>29</v>
      </c>
      <c r="K65">
        <v>4</v>
      </c>
    </row>
    <row r="66" spans="1:11" x14ac:dyDescent="0.35">
      <c r="A66" t="s">
        <v>35</v>
      </c>
      <c r="B66" t="s">
        <v>31</v>
      </c>
      <c r="C66" t="s">
        <v>32</v>
      </c>
      <c r="D66" t="s">
        <v>22</v>
      </c>
      <c r="E66" t="s">
        <v>23</v>
      </c>
      <c r="F66">
        <v>162</v>
      </c>
      <c r="G66">
        <v>58</v>
      </c>
      <c r="H66">
        <v>5</v>
      </c>
      <c r="I66">
        <v>215</v>
      </c>
      <c r="J66">
        <v>14</v>
      </c>
      <c r="K66">
        <v>3</v>
      </c>
    </row>
    <row r="67" spans="1:11" x14ac:dyDescent="0.35">
      <c r="A67" t="s">
        <v>35</v>
      </c>
      <c r="B67" t="s">
        <v>33</v>
      </c>
      <c r="C67" t="s">
        <v>34</v>
      </c>
      <c r="D67" t="s">
        <v>14</v>
      </c>
      <c r="E67" t="s">
        <v>15</v>
      </c>
      <c r="F67">
        <v>115</v>
      </c>
      <c r="G67">
        <v>28</v>
      </c>
      <c r="H67">
        <v>17</v>
      </c>
      <c r="I67">
        <v>126</v>
      </c>
      <c r="J67">
        <v>26</v>
      </c>
      <c r="K67">
        <v>4</v>
      </c>
    </row>
    <row r="68" spans="1:11" x14ac:dyDescent="0.35">
      <c r="A68" t="s">
        <v>35</v>
      </c>
      <c r="B68" t="s">
        <v>33</v>
      </c>
      <c r="C68" t="s">
        <v>34</v>
      </c>
      <c r="D68" t="s">
        <v>16</v>
      </c>
      <c r="E68" t="s">
        <v>17</v>
      </c>
      <c r="F68">
        <v>106</v>
      </c>
      <c r="G68">
        <v>20</v>
      </c>
      <c r="H68">
        <v>30</v>
      </c>
      <c r="I68">
        <v>96</v>
      </c>
      <c r="J68">
        <v>42</v>
      </c>
      <c r="K68">
        <v>3</v>
      </c>
    </row>
    <row r="69" spans="1:11" x14ac:dyDescent="0.35">
      <c r="A69" t="s">
        <v>35</v>
      </c>
      <c r="B69" t="s">
        <v>33</v>
      </c>
      <c r="C69" t="s">
        <v>36</v>
      </c>
      <c r="D69" t="s">
        <v>18</v>
      </c>
      <c r="E69" t="s">
        <v>19</v>
      </c>
      <c r="F69">
        <v>176</v>
      </c>
      <c r="G69">
        <v>0</v>
      </c>
      <c r="H69">
        <v>28</v>
      </c>
      <c r="I69">
        <v>148</v>
      </c>
      <c r="J69">
        <v>33</v>
      </c>
      <c r="K69">
        <v>2</v>
      </c>
    </row>
    <row r="70" spans="1:11" x14ac:dyDescent="0.35">
      <c r="A70" t="s">
        <v>35</v>
      </c>
      <c r="B70" t="s">
        <v>33</v>
      </c>
      <c r="C70" t="s">
        <v>34</v>
      </c>
      <c r="D70" t="s">
        <v>20</v>
      </c>
      <c r="E70" t="s">
        <v>21</v>
      </c>
      <c r="F70">
        <v>227</v>
      </c>
      <c r="G70">
        <v>37</v>
      </c>
      <c r="H70">
        <v>29</v>
      </c>
      <c r="I70">
        <v>235</v>
      </c>
      <c r="J70">
        <v>37</v>
      </c>
      <c r="K70">
        <v>2</v>
      </c>
    </row>
    <row r="71" spans="1:11" x14ac:dyDescent="0.35">
      <c r="A71" t="s">
        <v>35</v>
      </c>
      <c r="B71" t="s">
        <v>33</v>
      </c>
      <c r="C71" t="s">
        <v>34</v>
      </c>
      <c r="D71" t="s">
        <v>22</v>
      </c>
      <c r="E71" t="s">
        <v>23</v>
      </c>
      <c r="F71">
        <v>157</v>
      </c>
      <c r="G71">
        <v>55</v>
      </c>
      <c r="H71">
        <v>4</v>
      </c>
      <c r="I71">
        <v>208</v>
      </c>
      <c r="J71">
        <v>18</v>
      </c>
      <c r="K71">
        <v>1</v>
      </c>
    </row>
    <row r="72" spans="1:11" x14ac:dyDescent="0.35">
      <c r="A72" t="s">
        <v>37</v>
      </c>
      <c r="B72" t="s">
        <v>12</v>
      </c>
      <c r="C72" t="s">
        <v>38</v>
      </c>
      <c r="D72" t="s">
        <v>14</v>
      </c>
      <c r="E72" t="s">
        <v>15</v>
      </c>
      <c r="F72">
        <v>221</v>
      </c>
      <c r="G72">
        <v>27</v>
      </c>
      <c r="H72">
        <v>29</v>
      </c>
      <c r="I72">
        <v>219</v>
      </c>
      <c r="J72">
        <v>38</v>
      </c>
      <c r="K72">
        <v>3</v>
      </c>
    </row>
    <row r="73" spans="1:11" x14ac:dyDescent="0.35">
      <c r="A73" t="s">
        <v>37</v>
      </c>
      <c r="B73" t="s">
        <v>12</v>
      </c>
      <c r="C73" t="s">
        <v>13</v>
      </c>
      <c r="D73" t="s">
        <v>16</v>
      </c>
      <c r="E73" t="s">
        <v>17</v>
      </c>
      <c r="F73">
        <v>175</v>
      </c>
      <c r="G73">
        <v>3</v>
      </c>
      <c r="H73">
        <v>14</v>
      </c>
      <c r="I73">
        <v>164</v>
      </c>
      <c r="J73">
        <v>19</v>
      </c>
      <c r="K73">
        <v>5</v>
      </c>
    </row>
    <row r="74" spans="1:11" x14ac:dyDescent="0.35">
      <c r="A74" t="s">
        <v>37</v>
      </c>
      <c r="B74" t="s">
        <v>12</v>
      </c>
      <c r="C74" t="s">
        <v>13</v>
      </c>
      <c r="D74" t="s">
        <v>18</v>
      </c>
      <c r="E74" t="s">
        <v>19</v>
      </c>
      <c r="F74">
        <v>194</v>
      </c>
      <c r="G74">
        <v>7</v>
      </c>
      <c r="H74">
        <v>18</v>
      </c>
      <c r="I74">
        <v>183</v>
      </c>
      <c r="J74">
        <v>21</v>
      </c>
      <c r="K74">
        <v>1</v>
      </c>
    </row>
    <row r="75" spans="1:11" x14ac:dyDescent="0.35">
      <c r="A75" t="s">
        <v>37</v>
      </c>
      <c r="B75" t="s">
        <v>12</v>
      </c>
      <c r="C75" t="s">
        <v>13</v>
      </c>
      <c r="D75" t="s">
        <v>20</v>
      </c>
      <c r="E75" t="s">
        <v>21</v>
      </c>
      <c r="F75">
        <v>210</v>
      </c>
      <c r="G75">
        <v>22</v>
      </c>
      <c r="H75">
        <v>46</v>
      </c>
      <c r="I75">
        <v>186</v>
      </c>
      <c r="J75">
        <v>49</v>
      </c>
      <c r="K75">
        <v>5</v>
      </c>
    </row>
    <row r="76" spans="1:11" x14ac:dyDescent="0.35">
      <c r="A76" t="s">
        <v>37</v>
      </c>
      <c r="B76" t="s">
        <v>12</v>
      </c>
      <c r="C76" t="s">
        <v>13</v>
      </c>
      <c r="D76" t="s">
        <v>22</v>
      </c>
      <c r="E76" t="s">
        <v>23</v>
      </c>
      <c r="F76">
        <v>107</v>
      </c>
      <c r="G76">
        <v>9</v>
      </c>
      <c r="H76">
        <v>8</v>
      </c>
      <c r="I76">
        <v>108</v>
      </c>
      <c r="J76">
        <v>13</v>
      </c>
      <c r="K76">
        <v>3</v>
      </c>
    </row>
    <row r="77" spans="1:11" x14ac:dyDescent="0.35">
      <c r="A77" t="s">
        <v>37</v>
      </c>
      <c r="B77" t="s">
        <v>12</v>
      </c>
      <c r="C77" t="s">
        <v>24</v>
      </c>
      <c r="D77" t="s">
        <v>14</v>
      </c>
      <c r="E77" t="s">
        <v>15</v>
      </c>
      <c r="F77">
        <v>101</v>
      </c>
      <c r="G77">
        <v>49</v>
      </c>
      <c r="H77">
        <v>20</v>
      </c>
      <c r="I77">
        <v>130</v>
      </c>
      <c r="J77">
        <v>24</v>
      </c>
      <c r="K77">
        <v>4</v>
      </c>
    </row>
    <row r="78" spans="1:11" x14ac:dyDescent="0.35">
      <c r="A78" t="s">
        <v>37</v>
      </c>
      <c r="B78" t="s">
        <v>12</v>
      </c>
      <c r="C78" t="s">
        <v>24</v>
      </c>
      <c r="D78" t="s">
        <v>16</v>
      </c>
      <c r="E78" t="s">
        <v>17</v>
      </c>
      <c r="F78">
        <v>207</v>
      </c>
      <c r="G78">
        <v>56</v>
      </c>
      <c r="H78">
        <v>26</v>
      </c>
      <c r="I78">
        <v>237</v>
      </c>
      <c r="J78">
        <v>38</v>
      </c>
      <c r="K78">
        <v>4</v>
      </c>
    </row>
    <row r="79" spans="1:11" x14ac:dyDescent="0.35">
      <c r="A79" t="s">
        <v>37</v>
      </c>
      <c r="B79" t="s">
        <v>12</v>
      </c>
      <c r="C79" t="s">
        <v>24</v>
      </c>
      <c r="D79" t="s">
        <v>18</v>
      </c>
      <c r="E79" t="s">
        <v>19</v>
      </c>
      <c r="F79">
        <v>134</v>
      </c>
      <c r="G79">
        <v>27</v>
      </c>
      <c r="H79">
        <v>41</v>
      </c>
      <c r="I79">
        <v>120</v>
      </c>
      <c r="J79">
        <v>53</v>
      </c>
      <c r="K79">
        <v>1</v>
      </c>
    </row>
    <row r="80" spans="1:11" x14ac:dyDescent="0.35">
      <c r="A80" t="s">
        <v>37</v>
      </c>
      <c r="B80" t="s">
        <v>12</v>
      </c>
      <c r="C80" t="s">
        <v>24</v>
      </c>
      <c r="D80" t="s">
        <v>20</v>
      </c>
      <c r="E80" t="s">
        <v>21</v>
      </c>
      <c r="F80">
        <v>177</v>
      </c>
      <c r="G80">
        <v>1</v>
      </c>
      <c r="H80">
        <v>42</v>
      </c>
      <c r="I80">
        <v>136</v>
      </c>
      <c r="J80">
        <v>43</v>
      </c>
      <c r="K80">
        <v>5</v>
      </c>
    </row>
    <row r="81" spans="1:11" x14ac:dyDescent="0.35">
      <c r="A81" t="s">
        <v>37</v>
      </c>
      <c r="B81" t="s">
        <v>12</v>
      </c>
      <c r="C81" t="s">
        <v>24</v>
      </c>
      <c r="D81" t="s">
        <v>30</v>
      </c>
      <c r="E81" t="s">
        <v>23</v>
      </c>
      <c r="F81">
        <v>172</v>
      </c>
      <c r="G81">
        <v>34</v>
      </c>
      <c r="H81">
        <v>4</v>
      </c>
      <c r="I81">
        <v>202</v>
      </c>
      <c r="J81">
        <v>9</v>
      </c>
      <c r="K81">
        <v>5</v>
      </c>
    </row>
    <row r="82" spans="1:11" x14ac:dyDescent="0.35">
      <c r="A82" t="s">
        <v>37</v>
      </c>
      <c r="B82" t="s">
        <v>12</v>
      </c>
      <c r="C82" t="s">
        <v>25</v>
      </c>
      <c r="D82" t="s">
        <v>14</v>
      </c>
      <c r="E82" t="s">
        <v>15</v>
      </c>
      <c r="F82">
        <v>134</v>
      </c>
      <c r="G82">
        <v>1</v>
      </c>
      <c r="H82">
        <v>32</v>
      </c>
      <c r="I82">
        <v>103</v>
      </c>
      <c r="J82">
        <v>36</v>
      </c>
      <c r="K82">
        <v>1</v>
      </c>
    </row>
    <row r="83" spans="1:11" x14ac:dyDescent="0.35">
      <c r="A83" t="s">
        <v>37</v>
      </c>
      <c r="B83" t="s">
        <v>12</v>
      </c>
      <c r="C83" t="s">
        <v>25</v>
      </c>
      <c r="D83" t="s">
        <v>16</v>
      </c>
      <c r="E83" t="s">
        <v>17</v>
      </c>
      <c r="F83">
        <v>143</v>
      </c>
      <c r="G83">
        <v>9</v>
      </c>
      <c r="H83">
        <v>23</v>
      </c>
      <c r="I83">
        <v>129</v>
      </c>
      <c r="J83">
        <v>31</v>
      </c>
      <c r="K83">
        <v>3</v>
      </c>
    </row>
    <row r="84" spans="1:11" x14ac:dyDescent="0.35">
      <c r="A84" t="s">
        <v>37</v>
      </c>
      <c r="B84" t="s">
        <v>12</v>
      </c>
      <c r="C84" t="s">
        <v>25</v>
      </c>
      <c r="D84" t="s">
        <v>18</v>
      </c>
      <c r="E84" t="s">
        <v>19</v>
      </c>
      <c r="F84">
        <v>99</v>
      </c>
      <c r="G84">
        <v>46</v>
      </c>
      <c r="H84">
        <v>20</v>
      </c>
      <c r="I84">
        <v>125</v>
      </c>
      <c r="J84">
        <v>25</v>
      </c>
      <c r="K84">
        <v>4</v>
      </c>
    </row>
    <row r="85" spans="1:11" x14ac:dyDescent="0.35">
      <c r="A85" t="s">
        <v>37</v>
      </c>
      <c r="B85" t="s">
        <v>12</v>
      </c>
      <c r="C85" t="s">
        <v>25</v>
      </c>
      <c r="D85" t="s">
        <v>20</v>
      </c>
      <c r="E85" t="s">
        <v>21</v>
      </c>
      <c r="F85">
        <v>191</v>
      </c>
      <c r="G85">
        <v>39</v>
      </c>
      <c r="H85">
        <v>24</v>
      </c>
      <c r="I85">
        <v>206</v>
      </c>
      <c r="J85">
        <v>31</v>
      </c>
      <c r="K85">
        <v>3</v>
      </c>
    </row>
    <row r="86" spans="1:11" x14ac:dyDescent="0.35">
      <c r="A86" t="s">
        <v>37</v>
      </c>
      <c r="B86" t="s">
        <v>12</v>
      </c>
      <c r="C86" t="s">
        <v>25</v>
      </c>
      <c r="D86" t="s">
        <v>22</v>
      </c>
      <c r="E86" t="s">
        <v>23</v>
      </c>
      <c r="F86">
        <v>195</v>
      </c>
      <c r="G86">
        <v>57</v>
      </c>
      <c r="H86">
        <v>9</v>
      </c>
      <c r="I86">
        <v>243</v>
      </c>
      <c r="J86">
        <v>22</v>
      </c>
      <c r="K86">
        <v>2</v>
      </c>
    </row>
    <row r="87" spans="1:11" x14ac:dyDescent="0.35">
      <c r="A87" t="s">
        <v>37</v>
      </c>
      <c r="B87" t="s">
        <v>26</v>
      </c>
      <c r="C87" t="s">
        <v>27</v>
      </c>
      <c r="D87" t="s">
        <v>14</v>
      </c>
      <c r="E87" t="s">
        <v>15</v>
      </c>
      <c r="F87">
        <v>196</v>
      </c>
      <c r="G87">
        <v>42</v>
      </c>
      <c r="H87">
        <v>29</v>
      </c>
      <c r="I87">
        <v>209</v>
      </c>
      <c r="J87">
        <v>40</v>
      </c>
      <c r="K87">
        <v>1</v>
      </c>
    </row>
    <row r="88" spans="1:11" x14ac:dyDescent="0.35">
      <c r="A88" t="s">
        <v>37</v>
      </c>
      <c r="B88" t="s">
        <v>26</v>
      </c>
      <c r="C88" t="s">
        <v>27</v>
      </c>
      <c r="D88" t="s">
        <v>16</v>
      </c>
      <c r="E88" t="s">
        <v>17</v>
      </c>
      <c r="F88">
        <v>107</v>
      </c>
      <c r="G88">
        <v>40</v>
      </c>
      <c r="H88">
        <v>17</v>
      </c>
      <c r="I88">
        <v>130</v>
      </c>
      <c r="J88">
        <v>22</v>
      </c>
      <c r="K88">
        <v>3</v>
      </c>
    </row>
    <row r="89" spans="1:11" x14ac:dyDescent="0.35">
      <c r="A89" t="s">
        <v>37</v>
      </c>
      <c r="B89" t="s">
        <v>26</v>
      </c>
      <c r="C89" t="s">
        <v>27</v>
      </c>
      <c r="D89" t="s">
        <v>18</v>
      </c>
      <c r="E89" t="s">
        <v>19</v>
      </c>
      <c r="F89">
        <v>188</v>
      </c>
      <c r="G89">
        <v>51</v>
      </c>
      <c r="H89">
        <v>16</v>
      </c>
      <c r="I89">
        <v>223</v>
      </c>
      <c r="J89">
        <v>17</v>
      </c>
      <c r="K89">
        <v>5</v>
      </c>
    </row>
    <row r="90" spans="1:11" x14ac:dyDescent="0.35">
      <c r="A90" t="s">
        <v>37</v>
      </c>
      <c r="B90" t="s">
        <v>26</v>
      </c>
      <c r="C90" t="s">
        <v>27</v>
      </c>
      <c r="D90" t="s">
        <v>20</v>
      </c>
      <c r="E90" t="s">
        <v>21</v>
      </c>
      <c r="F90">
        <v>210</v>
      </c>
      <c r="G90">
        <v>35</v>
      </c>
      <c r="H90">
        <v>22</v>
      </c>
      <c r="I90">
        <v>223</v>
      </c>
      <c r="J90">
        <v>32</v>
      </c>
      <c r="K90">
        <v>2</v>
      </c>
    </row>
    <row r="91" spans="1:11" x14ac:dyDescent="0.35">
      <c r="A91" t="s">
        <v>39</v>
      </c>
      <c r="B91" t="s">
        <v>26</v>
      </c>
      <c r="C91" t="s">
        <v>27</v>
      </c>
      <c r="D91" t="s">
        <v>22</v>
      </c>
      <c r="E91" t="s">
        <v>23</v>
      </c>
      <c r="F91">
        <v>158</v>
      </c>
      <c r="G91">
        <v>30</v>
      </c>
      <c r="H91">
        <v>9</v>
      </c>
      <c r="I91">
        <v>179</v>
      </c>
      <c r="J91">
        <v>18</v>
      </c>
      <c r="K91">
        <v>3</v>
      </c>
    </row>
    <row r="92" spans="1:11" x14ac:dyDescent="0.35">
      <c r="A92" t="s">
        <v>37</v>
      </c>
      <c r="B92" t="s">
        <v>28</v>
      </c>
      <c r="C92" t="s">
        <v>29</v>
      </c>
      <c r="D92" t="s">
        <v>14</v>
      </c>
      <c r="E92" t="s">
        <v>15</v>
      </c>
      <c r="F92">
        <v>221</v>
      </c>
      <c r="G92">
        <v>17</v>
      </c>
      <c r="H92">
        <v>14</v>
      </c>
      <c r="I92">
        <v>224</v>
      </c>
      <c r="J92">
        <v>27</v>
      </c>
      <c r="K92">
        <v>2</v>
      </c>
    </row>
    <row r="93" spans="1:11" x14ac:dyDescent="0.35">
      <c r="A93" t="s">
        <v>37</v>
      </c>
      <c r="B93" t="s">
        <v>28</v>
      </c>
      <c r="C93" t="s">
        <v>29</v>
      </c>
      <c r="D93" t="s">
        <v>16</v>
      </c>
      <c r="E93" t="s">
        <v>17</v>
      </c>
      <c r="F93">
        <v>133</v>
      </c>
      <c r="G93">
        <v>13</v>
      </c>
      <c r="H93">
        <v>14</v>
      </c>
      <c r="I93">
        <v>132</v>
      </c>
      <c r="J93">
        <v>14</v>
      </c>
      <c r="K93">
        <v>4</v>
      </c>
    </row>
    <row r="94" spans="1:11" x14ac:dyDescent="0.35">
      <c r="A94" t="s">
        <v>37</v>
      </c>
      <c r="B94" t="s">
        <v>28</v>
      </c>
      <c r="C94" t="s">
        <v>29</v>
      </c>
      <c r="D94" t="s">
        <v>18</v>
      </c>
      <c r="E94" t="s">
        <v>19</v>
      </c>
      <c r="F94">
        <v>116</v>
      </c>
      <c r="G94">
        <v>48</v>
      </c>
      <c r="H94">
        <v>31</v>
      </c>
      <c r="I94">
        <v>133</v>
      </c>
      <c r="J94">
        <v>39</v>
      </c>
      <c r="K94">
        <v>5</v>
      </c>
    </row>
    <row r="95" spans="1:11" x14ac:dyDescent="0.35">
      <c r="A95" t="s">
        <v>37</v>
      </c>
      <c r="B95" t="s">
        <v>28</v>
      </c>
      <c r="C95" t="s">
        <v>29</v>
      </c>
      <c r="D95" t="s">
        <v>20</v>
      </c>
      <c r="E95" t="s">
        <v>21</v>
      </c>
      <c r="F95">
        <v>206</v>
      </c>
      <c r="G95">
        <v>49</v>
      </c>
      <c r="H95">
        <v>22</v>
      </c>
      <c r="I95">
        <v>233</v>
      </c>
      <c r="J95">
        <v>27</v>
      </c>
      <c r="K95">
        <v>1</v>
      </c>
    </row>
    <row r="96" spans="1:11" x14ac:dyDescent="0.35">
      <c r="A96" t="s">
        <v>37</v>
      </c>
      <c r="B96" t="s">
        <v>28</v>
      </c>
      <c r="C96" t="s">
        <v>29</v>
      </c>
      <c r="D96" t="s">
        <v>22</v>
      </c>
      <c r="E96" t="s">
        <v>23</v>
      </c>
      <c r="F96">
        <v>202</v>
      </c>
      <c r="G96">
        <v>27</v>
      </c>
      <c r="H96">
        <v>16</v>
      </c>
      <c r="I96">
        <v>213</v>
      </c>
      <c r="J96">
        <v>18</v>
      </c>
      <c r="K96">
        <v>3</v>
      </c>
    </row>
    <row r="97" spans="1:11" x14ac:dyDescent="0.35">
      <c r="A97" t="s">
        <v>37</v>
      </c>
      <c r="B97" t="s">
        <v>31</v>
      </c>
      <c r="C97" t="s">
        <v>32</v>
      </c>
      <c r="D97" t="s">
        <v>14</v>
      </c>
      <c r="E97" t="s">
        <v>15</v>
      </c>
      <c r="F97">
        <v>138</v>
      </c>
      <c r="G97">
        <v>60</v>
      </c>
      <c r="H97">
        <v>18</v>
      </c>
      <c r="I97">
        <v>180</v>
      </c>
      <c r="J97">
        <v>28</v>
      </c>
      <c r="K97">
        <v>2</v>
      </c>
    </row>
    <row r="98" spans="1:11" x14ac:dyDescent="0.35">
      <c r="A98" t="s">
        <v>37</v>
      </c>
      <c r="B98" t="s">
        <v>31</v>
      </c>
      <c r="C98" t="s">
        <v>32</v>
      </c>
      <c r="D98" t="s">
        <v>16</v>
      </c>
      <c r="E98" t="s">
        <v>17</v>
      </c>
      <c r="F98">
        <v>205</v>
      </c>
      <c r="G98">
        <v>32</v>
      </c>
      <c r="H98">
        <v>22</v>
      </c>
      <c r="I98">
        <v>215</v>
      </c>
      <c r="J98">
        <v>29</v>
      </c>
      <c r="K98">
        <v>4</v>
      </c>
    </row>
    <row r="99" spans="1:11" x14ac:dyDescent="0.35">
      <c r="A99" t="s">
        <v>37</v>
      </c>
      <c r="B99" t="s">
        <v>31</v>
      </c>
      <c r="C99" t="s">
        <v>32</v>
      </c>
      <c r="D99" t="s">
        <v>18</v>
      </c>
      <c r="E99" t="s">
        <v>19</v>
      </c>
      <c r="F99">
        <v>194</v>
      </c>
      <c r="G99">
        <v>10</v>
      </c>
      <c r="H99">
        <v>40</v>
      </c>
      <c r="I99">
        <v>164</v>
      </c>
      <c r="J99">
        <v>40</v>
      </c>
      <c r="K99">
        <v>5</v>
      </c>
    </row>
    <row r="100" spans="1:11" x14ac:dyDescent="0.35">
      <c r="A100" t="s">
        <v>37</v>
      </c>
      <c r="B100" t="s">
        <v>31</v>
      </c>
      <c r="C100" t="s">
        <v>32</v>
      </c>
      <c r="D100" t="s">
        <v>20</v>
      </c>
      <c r="E100" t="s">
        <v>21</v>
      </c>
      <c r="F100">
        <v>182</v>
      </c>
      <c r="G100">
        <v>6</v>
      </c>
      <c r="H100">
        <v>15</v>
      </c>
      <c r="I100">
        <v>173</v>
      </c>
      <c r="J100">
        <v>26</v>
      </c>
      <c r="K100">
        <v>5</v>
      </c>
    </row>
    <row r="101" spans="1:11" x14ac:dyDescent="0.35">
      <c r="A101" t="s">
        <v>37</v>
      </c>
      <c r="B101" t="s">
        <v>31</v>
      </c>
      <c r="C101" t="s">
        <v>32</v>
      </c>
      <c r="D101" t="s">
        <v>22</v>
      </c>
      <c r="E101" t="s">
        <v>23</v>
      </c>
      <c r="F101">
        <v>215</v>
      </c>
      <c r="G101">
        <v>33</v>
      </c>
      <c r="H101">
        <v>6</v>
      </c>
      <c r="I101">
        <v>242</v>
      </c>
      <c r="J101">
        <v>7</v>
      </c>
      <c r="K101">
        <v>4</v>
      </c>
    </row>
    <row r="102" spans="1:11" x14ac:dyDescent="0.35">
      <c r="A102" t="s">
        <v>37</v>
      </c>
      <c r="B102" t="s">
        <v>33</v>
      </c>
      <c r="C102" t="s">
        <v>34</v>
      </c>
      <c r="D102" t="s">
        <v>14</v>
      </c>
      <c r="E102" t="s">
        <v>15</v>
      </c>
      <c r="F102">
        <v>126</v>
      </c>
      <c r="G102">
        <v>47</v>
      </c>
      <c r="H102">
        <v>16</v>
      </c>
      <c r="I102">
        <v>157</v>
      </c>
      <c r="J102">
        <v>27</v>
      </c>
      <c r="K102">
        <v>5</v>
      </c>
    </row>
    <row r="103" spans="1:11" x14ac:dyDescent="0.35">
      <c r="A103" t="s">
        <v>37</v>
      </c>
      <c r="B103" t="s">
        <v>33</v>
      </c>
      <c r="C103" t="s">
        <v>34</v>
      </c>
      <c r="D103" t="s">
        <v>16</v>
      </c>
      <c r="E103" t="s">
        <v>17</v>
      </c>
      <c r="F103">
        <v>96</v>
      </c>
      <c r="G103">
        <v>48</v>
      </c>
      <c r="H103">
        <v>8</v>
      </c>
      <c r="I103">
        <v>136</v>
      </c>
      <c r="J103">
        <v>15</v>
      </c>
      <c r="K103">
        <v>2</v>
      </c>
    </row>
    <row r="104" spans="1:11" x14ac:dyDescent="0.35">
      <c r="A104" t="s">
        <v>37</v>
      </c>
      <c r="B104" t="s">
        <v>33</v>
      </c>
      <c r="C104" t="s">
        <v>34</v>
      </c>
      <c r="D104" t="s">
        <v>18</v>
      </c>
      <c r="E104" t="s">
        <v>19</v>
      </c>
      <c r="F104">
        <v>148</v>
      </c>
      <c r="G104">
        <v>20</v>
      </c>
      <c r="H104">
        <v>49</v>
      </c>
      <c r="I104">
        <v>119</v>
      </c>
      <c r="J104">
        <v>52</v>
      </c>
      <c r="K104">
        <v>2</v>
      </c>
    </row>
    <row r="105" spans="1:11" x14ac:dyDescent="0.35">
      <c r="A105" t="s">
        <v>37</v>
      </c>
      <c r="B105" t="s">
        <v>33</v>
      </c>
      <c r="C105" t="s">
        <v>34</v>
      </c>
      <c r="D105" t="s">
        <v>20</v>
      </c>
      <c r="E105" t="s">
        <v>21</v>
      </c>
      <c r="F105">
        <v>235</v>
      </c>
      <c r="G105">
        <v>55</v>
      </c>
      <c r="H105">
        <v>40</v>
      </c>
      <c r="I105">
        <v>250</v>
      </c>
      <c r="J105">
        <v>51</v>
      </c>
      <c r="K105">
        <v>4</v>
      </c>
    </row>
    <row r="106" spans="1:11" x14ac:dyDescent="0.35">
      <c r="A106" t="s">
        <v>37</v>
      </c>
      <c r="B106" t="s">
        <v>33</v>
      </c>
      <c r="C106" t="s">
        <v>34</v>
      </c>
      <c r="D106" t="s">
        <v>22</v>
      </c>
      <c r="E106" t="s">
        <v>23</v>
      </c>
      <c r="F106">
        <v>208</v>
      </c>
      <c r="G106">
        <v>56</v>
      </c>
      <c r="H106">
        <v>13</v>
      </c>
      <c r="I106">
        <v>251</v>
      </c>
      <c r="J106">
        <v>26</v>
      </c>
      <c r="K106">
        <v>5</v>
      </c>
    </row>
    <row r="107" spans="1:11" x14ac:dyDescent="0.35">
      <c r="A107" t="s">
        <v>40</v>
      </c>
      <c r="B107" t="s">
        <v>12</v>
      </c>
      <c r="C107" t="s">
        <v>13</v>
      </c>
      <c r="D107" t="s">
        <v>14</v>
      </c>
      <c r="E107" t="s">
        <v>15</v>
      </c>
      <c r="F107">
        <v>219</v>
      </c>
      <c r="G107">
        <v>42</v>
      </c>
      <c r="H107">
        <v>20</v>
      </c>
      <c r="I107">
        <v>241</v>
      </c>
      <c r="J107">
        <v>21</v>
      </c>
      <c r="K107">
        <v>2</v>
      </c>
    </row>
    <row r="108" spans="1:11" x14ac:dyDescent="0.35">
      <c r="A108" t="s">
        <v>40</v>
      </c>
      <c r="B108" t="s">
        <v>12</v>
      </c>
      <c r="C108" t="s">
        <v>13</v>
      </c>
      <c r="D108" t="s">
        <v>16</v>
      </c>
      <c r="E108" t="s">
        <v>17</v>
      </c>
      <c r="F108">
        <v>164</v>
      </c>
      <c r="G108">
        <v>37</v>
      </c>
      <c r="H108">
        <v>33</v>
      </c>
      <c r="I108">
        <v>168</v>
      </c>
      <c r="J108">
        <v>48</v>
      </c>
      <c r="K108">
        <v>4</v>
      </c>
    </row>
    <row r="109" spans="1:11" x14ac:dyDescent="0.35">
      <c r="A109" t="s">
        <v>40</v>
      </c>
      <c r="B109" t="s">
        <v>12</v>
      </c>
      <c r="C109" t="s">
        <v>13</v>
      </c>
      <c r="D109" t="s">
        <v>18</v>
      </c>
      <c r="E109" t="s">
        <v>19</v>
      </c>
      <c r="F109">
        <v>183</v>
      </c>
      <c r="G109">
        <v>59</v>
      </c>
      <c r="H109">
        <v>49</v>
      </c>
      <c r="I109">
        <v>193</v>
      </c>
      <c r="J109">
        <v>59</v>
      </c>
      <c r="K109">
        <v>4</v>
      </c>
    </row>
    <row r="110" spans="1:11" x14ac:dyDescent="0.35">
      <c r="A110" t="s">
        <v>40</v>
      </c>
      <c r="B110" t="s">
        <v>12</v>
      </c>
      <c r="C110" t="s">
        <v>13</v>
      </c>
      <c r="D110" t="s">
        <v>20</v>
      </c>
      <c r="E110" t="s">
        <v>21</v>
      </c>
      <c r="F110">
        <v>186</v>
      </c>
      <c r="G110">
        <v>24</v>
      </c>
      <c r="H110">
        <v>27</v>
      </c>
      <c r="I110">
        <v>183</v>
      </c>
      <c r="J110">
        <v>41</v>
      </c>
      <c r="K110">
        <v>3</v>
      </c>
    </row>
    <row r="111" spans="1:11" x14ac:dyDescent="0.35">
      <c r="A111" t="s">
        <v>40</v>
      </c>
      <c r="B111" t="s">
        <v>12</v>
      </c>
      <c r="C111" t="s">
        <v>13</v>
      </c>
      <c r="D111" t="s">
        <v>22</v>
      </c>
      <c r="E111" t="s">
        <v>23</v>
      </c>
      <c r="F111">
        <v>108</v>
      </c>
      <c r="G111">
        <v>37</v>
      </c>
      <c r="H111">
        <v>17</v>
      </c>
      <c r="I111">
        <v>128</v>
      </c>
      <c r="J111">
        <v>24</v>
      </c>
      <c r="K111">
        <v>4</v>
      </c>
    </row>
    <row r="112" spans="1:11" x14ac:dyDescent="0.35">
      <c r="A112" t="s">
        <v>40</v>
      </c>
      <c r="B112" t="s">
        <v>12</v>
      </c>
      <c r="C112" t="s">
        <v>24</v>
      </c>
      <c r="D112" t="s">
        <v>14</v>
      </c>
      <c r="E112" t="s">
        <v>15</v>
      </c>
      <c r="F112">
        <v>130</v>
      </c>
      <c r="G112">
        <v>39</v>
      </c>
      <c r="H112">
        <v>14</v>
      </c>
      <c r="I112">
        <v>155</v>
      </c>
      <c r="J112">
        <v>17</v>
      </c>
      <c r="K112">
        <v>3</v>
      </c>
    </row>
    <row r="113" spans="1:11" x14ac:dyDescent="0.35">
      <c r="A113" t="s">
        <v>40</v>
      </c>
      <c r="B113" t="s">
        <v>12</v>
      </c>
      <c r="C113" t="s">
        <v>24</v>
      </c>
      <c r="D113" t="s">
        <v>16</v>
      </c>
      <c r="E113" t="s">
        <v>17</v>
      </c>
      <c r="F113">
        <v>237</v>
      </c>
      <c r="G113">
        <v>20</v>
      </c>
      <c r="H113">
        <v>8</v>
      </c>
      <c r="I113">
        <v>249</v>
      </c>
      <c r="J113">
        <v>14</v>
      </c>
      <c r="K113">
        <v>3</v>
      </c>
    </row>
    <row r="114" spans="1:11" x14ac:dyDescent="0.35">
      <c r="A114" t="s">
        <v>40</v>
      </c>
      <c r="B114" t="s">
        <v>12</v>
      </c>
      <c r="C114" t="s">
        <v>24</v>
      </c>
      <c r="D114" t="s">
        <v>18</v>
      </c>
      <c r="E114" t="s">
        <v>19</v>
      </c>
      <c r="F114">
        <v>120</v>
      </c>
      <c r="G114">
        <v>15</v>
      </c>
      <c r="H114">
        <v>33</v>
      </c>
      <c r="I114">
        <v>102</v>
      </c>
      <c r="J114">
        <v>47</v>
      </c>
      <c r="K114">
        <v>2</v>
      </c>
    </row>
    <row r="115" spans="1:11" x14ac:dyDescent="0.35">
      <c r="A115" t="s">
        <v>40</v>
      </c>
      <c r="B115" t="s">
        <v>12</v>
      </c>
      <c r="C115" t="s">
        <v>24</v>
      </c>
      <c r="D115" t="s">
        <v>20</v>
      </c>
      <c r="E115" t="s">
        <v>21</v>
      </c>
      <c r="F115">
        <v>136</v>
      </c>
      <c r="G115">
        <v>20</v>
      </c>
      <c r="H115">
        <v>20</v>
      </c>
      <c r="I115">
        <v>136</v>
      </c>
      <c r="J115">
        <v>31</v>
      </c>
      <c r="K115">
        <v>4</v>
      </c>
    </row>
    <row r="116" spans="1:11" x14ac:dyDescent="0.35">
      <c r="A116" t="s">
        <v>40</v>
      </c>
      <c r="B116" t="s">
        <v>12</v>
      </c>
      <c r="C116" t="s">
        <v>24</v>
      </c>
      <c r="D116" t="s">
        <v>22</v>
      </c>
      <c r="E116" t="s">
        <v>23</v>
      </c>
      <c r="F116">
        <v>202</v>
      </c>
      <c r="G116">
        <v>41</v>
      </c>
      <c r="H116">
        <v>17</v>
      </c>
      <c r="I116">
        <v>226</v>
      </c>
      <c r="J116">
        <v>17</v>
      </c>
      <c r="K116">
        <v>4</v>
      </c>
    </row>
    <row r="117" spans="1:11" x14ac:dyDescent="0.35">
      <c r="A117" t="s">
        <v>40</v>
      </c>
      <c r="B117" t="s">
        <v>12</v>
      </c>
      <c r="C117" t="s">
        <v>36</v>
      </c>
      <c r="D117" t="s">
        <v>14</v>
      </c>
      <c r="E117" t="s">
        <v>15</v>
      </c>
      <c r="F117">
        <v>103</v>
      </c>
      <c r="G117">
        <v>16</v>
      </c>
      <c r="H117">
        <v>16</v>
      </c>
      <c r="I117">
        <v>103</v>
      </c>
      <c r="J117">
        <v>16</v>
      </c>
      <c r="K117">
        <v>2</v>
      </c>
    </row>
    <row r="118" spans="1:11" x14ac:dyDescent="0.35">
      <c r="A118" t="s">
        <v>40</v>
      </c>
      <c r="B118" t="s">
        <v>12</v>
      </c>
      <c r="C118" t="s">
        <v>25</v>
      </c>
      <c r="D118" t="s">
        <v>16</v>
      </c>
      <c r="E118" t="s">
        <v>17</v>
      </c>
      <c r="F118">
        <v>129</v>
      </c>
      <c r="G118">
        <v>27</v>
      </c>
      <c r="H118">
        <v>22</v>
      </c>
      <c r="I118">
        <v>134</v>
      </c>
      <c r="J118">
        <v>26</v>
      </c>
      <c r="K118">
        <v>4</v>
      </c>
    </row>
    <row r="119" spans="1:11" x14ac:dyDescent="0.35">
      <c r="A119" t="s">
        <v>40</v>
      </c>
      <c r="B119" t="s">
        <v>12</v>
      </c>
      <c r="C119" t="s">
        <v>25</v>
      </c>
      <c r="D119" t="s">
        <v>18</v>
      </c>
      <c r="E119" t="s">
        <v>19</v>
      </c>
      <c r="F119">
        <v>125</v>
      </c>
      <c r="G119">
        <v>37</v>
      </c>
      <c r="H119">
        <v>28</v>
      </c>
      <c r="I119">
        <v>134</v>
      </c>
      <c r="J119">
        <v>29</v>
      </c>
      <c r="K119">
        <v>1</v>
      </c>
    </row>
    <row r="120" spans="1:11" x14ac:dyDescent="0.35">
      <c r="A120" t="s">
        <v>40</v>
      </c>
      <c r="B120" t="s">
        <v>12</v>
      </c>
      <c r="C120" t="s">
        <v>25</v>
      </c>
      <c r="D120" t="s">
        <v>20</v>
      </c>
      <c r="E120" t="s">
        <v>21</v>
      </c>
      <c r="F120">
        <v>206</v>
      </c>
      <c r="G120">
        <v>5</v>
      </c>
      <c r="H120">
        <v>18</v>
      </c>
      <c r="I120">
        <v>193</v>
      </c>
      <c r="J120">
        <v>30</v>
      </c>
      <c r="K120">
        <v>2</v>
      </c>
    </row>
    <row r="121" spans="1:11" x14ac:dyDescent="0.35">
      <c r="A121" t="s">
        <v>40</v>
      </c>
      <c r="B121" t="s">
        <v>12</v>
      </c>
      <c r="C121" t="s">
        <v>25</v>
      </c>
      <c r="D121" t="s">
        <v>22</v>
      </c>
      <c r="E121" t="s">
        <v>23</v>
      </c>
      <c r="F121">
        <v>243</v>
      </c>
      <c r="G121">
        <v>19</v>
      </c>
      <c r="H121">
        <v>18</v>
      </c>
      <c r="I121">
        <v>244</v>
      </c>
      <c r="J121">
        <v>24</v>
      </c>
      <c r="K121">
        <v>2</v>
      </c>
    </row>
    <row r="122" spans="1:11" x14ac:dyDescent="0.35">
      <c r="A122" t="s">
        <v>40</v>
      </c>
      <c r="B122" t="s">
        <v>26</v>
      </c>
      <c r="C122" t="s">
        <v>27</v>
      </c>
      <c r="D122" t="s">
        <v>14</v>
      </c>
      <c r="E122" t="s">
        <v>15</v>
      </c>
      <c r="F122">
        <v>209</v>
      </c>
      <c r="G122">
        <v>11</v>
      </c>
      <c r="H122">
        <v>31</v>
      </c>
      <c r="I122">
        <v>189</v>
      </c>
      <c r="J122">
        <v>31</v>
      </c>
      <c r="K122">
        <v>4</v>
      </c>
    </row>
    <row r="123" spans="1:11" x14ac:dyDescent="0.35">
      <c r="A123" t="s">
        <v>40</v>
      </c>
      <c r="B123" t="s">
        <v>26</v>
      </c>
      <c r="C123" t="s">
        <v>27</v>
      </c>
      <c r="D123" t="s">
        <v>16</v>
      </c>
      <c r="E123" t="s">
        <v>17</v>
      </c>
      <c r="F123">
        <v>130</v>
      </c>
      <c r="G123">
        <v>13</v>
      </c>
      <c r="H123">
        <v>29</v>
      </c>
      <c r="I123">
        <v>114</v>
      </c>
      <c r="J123">
        <v>36</v>
      </c>
      <c r="K123">
        <v>2</v>
      </c>
    </row>
    <row r="124" spans="1:11" x14ac:dyDescent="0.35">
      <c r="A124" t="s">
        <v>40</v>
      </c>
      <c r="B124" t="s">
        <v>26</v>
      </c>
      <c r="C124" t="s">
        <v>27</v>
      </c>
      <c r="D124" t="s">
        <v>18</v>
      </c>
      <c r="E124" t="s">
        <v>19</v>
      </c>
      <c r="F124">
        <v>223</v>
      </c>
      <c r="G124">
        <v>20</v>
      </c>
      <c r="H124">
        <v>20</v>
      </c>
      <c r="I124">
        <v>223</v>
      </c>
      <c r="J124">
        <v>20</v>
      </c>
      <c r="K124">
        <v>2</v>
      </c>
    </row>
    <row r="125" spans="1:11" x14ac:dyDescent="0.35">
      <c r="A125" t="s">
        <v>40</v>
      </c>
      <c r="B125" t="s">
        <v>26</v>
      </c>
      <c r="C125" t="s">
        <v>27</v>
      </c>
      <c r="D125" t="s">
        <v>30</v>
      </c>
      <c r="E125" t="s">
        <v>21</v>
      </c>
      <c r="F125">
        <v>223</v>
      </c>
      <c r="G125">
        <v>26</v>
      </c>
      <c r="H125">
        <v>43</v>
      </c>
      <c r="I125">
        <v>206</v>
      </c>
      <c r="J125">
        <v>56</v>
      </c>
      <c r="K125">
        <v>5</v>
      </c>
    </row>
    <row r="126" spans="1:11" x14ac:dyDescent="0.35">
      <c r="A126" t="s">
        <v>40</v>
      </c>
      <c r="B126" t="s">
        <v>26</v>
      </c>
      <c r="C126" t="s">
        <v>27</v>
      </c>
      <c r="D126" t="s">
        <v>22</v>
      </c>
      <c r="E126" t="s">
        <v>23</v>
      </c>
      <c r="F126">
        <v>179</v>
      </c>
      <c r="G126">
        <v>10</v>
      </c>
      <c r="H126">
        <v>6</v>
      </c>
      <c r="I126">
        <v>183</v>
      </c>
      <c r="J126">
        <v>18</v>
      </c>
      <c r="K126">
        <v>3</v>
      </c>
    </row>
    <row r="127" spans="1:11" x14ac:dyDescent="0.35">
      <c r="A127" t="s">
        <v>40</v>
      </c>
      <c r="B127" t="s">
        <v>28</v>
      </c>
      <c r="C127" t="s">
        <v>29</v>
      </c>
      <c r="D127" t="s">
        <v>14</v>
      </c>
      <c r="E127" t="s">
        <v>15</v>
      </c>
      <c r="F127">
        <v>224</v>
      </c>
      <c r="G127">
        <v>21</v>
      </c>
      <c r="H127">
        <v>21</v>
      </c>
      <c r="I127">
        <v>224</v>
      </c>
      <c r="J127">
        <v>29</v>
      </c>
      <c r="K127">
        <v>1</v>
      </c>
    </row>
    <row r="128" spans="1:11" x14ac:dyDescent="0.35">
      <c r="A128" t="s">
        <v>40</v>
      </c>
      <c r="B128" t="s">
        <v>28</v>
      </c>
      <c r="C128" t="s">
        <v>29</v>
      </c>
      <c r="D128" t="s">
        <v>16</v>
      </c>
      <c r="E128" t="s">
        <v>17</v>
      </c>
      <c r="F128">
        <v>132</v>
      </c>
      <c r="G128">
        <v>7</v>
      </c>
      <c r="H128">
        <v>10</v>
      </c>
      <c r="I128">
        <v>129</v>
      </c>
      <c r="J128">
        <v>13</v>
      </c>
      <c r="K128">
        <v>5</v>
      </c>
    </row>
    <row r="129" spans="1:11" x14ac:dyDescent="0.35">
      <c r="A129" t="s">
        <v>40</v>
      </c>
      <c r="B129" t="s">
        <v>28</v>
      </c>
      <c r="C129" t="s">
        <v>29</v>
      </c>
      <c r="D129" t="s">
        <v>30</v>
      </c>
      <c r="E129" t="s">
        <v>19</v>
      </c>
      <c r="F129">
        <v>133</v>
      </c>
      <c r="G129">
        <v>16</v>
      </c>
      <c r="H129">
        <v>44</v>
      </c>
      <c r="I129">
        <v>105</v>
      </c>
      <c r="J129">
        <v>54</v>
      </c>
      <c r="K129">
        <v>2</v>
      </c>
    </row>
    <row r="130" spans="1:11" x14ac:dyDescent="0.35">
      <c r="A130" t="s">
        <v>40</v>
      </c>
      <c r="B130" t="s">
        <v>28</v>
      </c>
      <c r="C130" t="s">
        <v>29</v>
      </c>
      <c r="D130" t="s">
        <v>20</v>
      </c>
      <c r="E130" t="s">
        <v>21</v>
      </c>
      <c r="F130">
        <v>233</v>
      </c>
      <c r="G130">
        <v>45</v>
      </c>
      <c r="H130">
        <v>19</v>
      </c>
      <c r="I130">
        <v>259</v>
      </c>
      <c r="J130">
        <v>23</v>
      </c>
      <c r="K130">
        <v>3</v>
      </c>
    </row>
    <row r="131" spans="1:11" x14ac:dyDescent="0.35">
      <c r="A131" t="s">
        <v>40</v>
      </c>
      <c r="B131" t="s">
        <v>28</v>
      </c>
      <c r="C131" t="s">
        <v>29</v>
      </c>
      <c r="D131" t="s">
        <v>22</v>
      </c>
      <c r="E131" t="s">
        <v>23</v>
      </c>
      <c r="F131">
        <v>213</v>
      </c>
      <c r="G131">
        <v>26</v>
      </c>
      <c r="H131">
        <v>13</v>
      </c>
      <c r="I131">
        <v>226</v>
      </c>
      <c r="J131">
        <v>13</v>
      </c>
      <c r="K131">
        <v>5</v>
      </c>
    </row>
    <row r="132" spans="1:11" x14ac:dyDescent="0.35">
      <c r="A132" t="s">
        <v>40</v>
      </c>
      <c r="B132" t="s">
        <v>31</v>
      </c>
      <c r="C132" t="s">
        <v>32</v>
      </c>
      <c r="D132" t="s">
        <v>14</v>
      </c>
      <c r="E132" t="s">
        <v>15</v>
      </c>
      <c r="F132">
        <v>180</v>
      </c>
      <c r="G132">
        <v>35</v>
      </c>
      <c r="H132">
        <v>16</v>
      </c>
      <c r="I132">
        <v>199</v>
      </c>
      <c r="J132">
        <v>23</v>
      </c>
      <c r="K132">
        <v>4</v>
      </c>
    </row>
    <row r="133" spans="1:11" x14ac:dyDescent="0.35">
      <c r="A133" t="s">
        <v>40</v>
      </c>
      <c r="B133" t="s">
        <v>31</v>
      </c>
      <c r="C133" t="s">
        <v>32</v>
      </c>
      <c r="D133" t="s">
        <v>16</v>
      </c>
      <c r="E133" t="s">
        <v>17</v>
      </c>
      <c r="F133">
        <v>215</v>
      </c>
      <c r="G133">
        <v>36</v>
      </c>
      <c r="H133">
        <v>14</v>
      </c>
      <c r="I133">
        <v>237</v>
      </c>
      <c r="J133">
        <v>16</v>
      </c>
      <c r="K133">
        <v>3</v>
      </c>
    </row>
    <row r="134" spans="1:11" x14ac:dyDescent="0.35">
      <c r="A134" t="s">
        <v>40</v>
      </c>
      <c r="B134" t="s">
        <v>31</v>
      </c>
      <c r="C134" t="s">
        <v>32</v>
      </c>
      <c r="D134" t="s">
        <v>18</v>
      </c>
      <c r="E134" t="s">
        <v>19</v>
      </c>
      <c r="F134">
        <v>164</v>
      </c>
      <c r="G134">
        <v>8</v>
      </c>
      <c r="H134">
        <v>23</v>
      </c>
      <c r="I134">
        <v>149</v>
      </c>
      <c r="J134">
        <v>38</v>
      </c>
      <c r="K134">
        <v>2</v>
      </c>
    </row>
    <row r="135" spans="1:11" x14ac:dyDescent="0.35">
      <c r="A135" t="s">
        <v>40</v>
      </c>
      <c r="B135" t="s">
        <v>31</v>
      </c>
      <c r="C135" t="s">
        <v>32</v>
      </c>
      <c r="D135" t="s">
        <v>20</v>
      </c>
      <c r="E135" t="s">
        <v>21</v>
      </c>
      <c r="F135">
        <v>173</v>
      </c>
      <c r="G135">
        <v>42</v>
      </c>
      <c r="H135">
        <v>23</v>
      </c>
      <c r="I135">
        <v>192</v>
      </c>
      <c r="J135">
        <v>31</v>
      </c>
      <c r="K135">
        <v>3</v>
      </c>
    </row>
    <row r="136" spans="1:11" x14ac:dyDescent="0.35">
      <c r="A136" t="s">
        <v>40</v>
      </c>
      <c r="B136" t="s">
        <v>31</v>
      </c>
      <c r="C136" t="s">
        <v>32</v>
      </c>
      <c r="D136" t="s">
        <v>22</v>
      </c>
      <c r="E136" t="s">
        <v>23</v>
      </c>
      <c r="F136">
        <v>242</v>
      </c>
      <c r="G136">
        <v>36</v>
      </c>
      <c r="H136">
        <v>6</v>
      </c>
      <c r="I136">
        <v>272</v>
      </c>
      <c r="J136">
        <v>8</v>
      </c>
      <c r="K136">
        <v>1</v>
      </c>
    </row>
    <row r="137" spans="1:11" x14ac:dyDescent="0.35">
      <c r="A137" t="s">
        <v>40</v>
      </c>
      <c r="B137" t="s">
        <v>33</v>
      </c>
      <c r="C137" t="s">
        <v>34</v>
      </c>
      <c r="D137" t="s">
        <v>14</v>
      </c>
      <c r="E137" t="s">
        <v>15</v>
      </c>
      <c r="F137">
        <v>157</v>
      </c>
      <c r="G137">
        <v>1</v>
      </c>
      <c r="H137">
        <v>12</v>
      </c>
      <c r="I137">
        <v>146</v>
      </c>
      <c r="J137">
        <v>19</v>
      </c>
      <c r="K137">
        <v>3</v>
      </c>
    </row>
    <row r="138" spans="1:11" x14ac:dyDescent="0.35">
      <c r="A138" t="s">
        <v>40</v>
      </c>
      <c r="B138" t="s">
        <v>33</v>
      </c>
      <c r="C138" t="s">
        <v>34</v>
      </c>
      <c r="D138" t="s">
        <v>16</v>
      </c>
      <c r="E138" t="s">
        <v>17</v>
      </c>
      <c r="F138">
        <v>136</v>
      </c>
      <c r="G138">
        <v>1</v>
      </c>
      <c r="H138">
        <v>31</v>
      </c>
      <c r="I138">
        <v>106</v>
      </c>
      <c r="J138">
        <v>32</v>
      </c>
      <c r="K138">
        <v>4</v>
      </c>
    </row>
    <row r="139" spans="1:11" x14ac:dyDescent="0.35">
      <c r="A139" t="s">
        <v>40</v>
      </c>
      <c r="B139" t="s">
        <v>33</v>
      </c>
      <c r="C139" t="s">
        <v>34</v>
      </c>
      <c r="D139" t="s">
        <v>18</v>
      </c>
      <c r="E139" t="s">
        <v>19</v>
      </c>
      <c r="F139">
        <v>119</v>
      </c>
      <c r="G139">
        <v>48</v>
      </c>
      <c r="H139">
        <v>17</v>
      </c>
      <c r="I139">
        <v>150</v>
      </c>
      <c r="J139">
        <v>18</v>
      </c>
      <c r="K139">
        <v>1</v>
      </c>
    </row>
    <row r="140" spans="1:11" x14ac:dyDescent="0.35">
      <c r="A140" t="s">
        <v>40</v>
      </c>
      <c r="B140" t="s">
        <v>33</v>
      </c>
      <c r="C140" t="s">
        <v>34</v>
      </c>
      <c r="D140" t="s">
        <v>20</v>
      </c>
      <c r="E140" t="s">
        <v>21</v>
      </c>
      <c r="F140">
        <v>250</v>
      </c>
      <c r="G140">
        <v>24</v>
      </c>
      <c r="H140">
        <v>15</v>
      </c>
      <c r="I140">
        <v>-5</v>
      </c>
      <c r="J140">
        <v>30</v>
      </c>
      <c r="K140">
        <v>2</v>
      </c>
    </row>
    <row r="141" spans="1:11" x14ac:dyDescent="0.35">
      <c r="A141" t="s">
        <v>40</v>
      </c>
      <c r="B141" t="s">
        <v>33</v>
      </c>
      <c r="C141" t="s">
        <v>36</v>
      </c>
      <c r="D141" t="s">
        <v>22</v>
      </c>
      <c r="E141" t="s">
        <v>23</v>
      </c>
      <c r="F141">
        <v>251</v>
      </c>
      <c r="G141">
        <v>29</v>
      </c>
      <c r="H141">
        <v>18</v>
      </c>
      <c r="I141">
        <v>262</v>
      </c>
      <c r="J141">
        <v>27</v>
      </c>
      <c r="K141">
        <v>5</v>
      </c>
    </row>
    <row r="142" spans="1:11" x14ac:dyDescent="0.35">
      <c r="A142" t="s">
        <v>41</v>
      </c>
      <c r="B142" t="s">
        <v>12</v>
      </c>
      <c r="C142" t="s">
        <v>13</v>
      </c>
      <c r="D142" t="s">
        <v>14</v>
      </c>
      <c r="E142" t="s">
        <v>15</v>
      </c>
      <c r="F142">
        <v>241</v>
      </c>
      <c r="G142">
        <v>57</v>
      </c>
      <c r="H142">
        <v>27</v>
      </c>
      <c r="I142">
        <v>271</v>
      </c>
      <c r="J142">
        <v>29</v>
      </c>
      <c r="K142">
        <v>5</v>
      </c>
    </row>
    <row r="143" spans="1:11" x14ac:dyDescent="0.35">
      <c r="A143" t="s">
        <v>41</v>
      </c>
      <c r="B143" t="s">
        <v>12</v>
      </c>
      <c r="C143" t="s">
        <v>13</v>
      </c>
      <c r="D143" t="s">
        <v>16</v>
      </c>
      <c r="E143" t="s">
        <v>17</v>
      </c>
      <c r="F143">
        <v>168</v>
      </c>
      <c r="G143">
        <v>60</v>
      </c>
      <c r="H143">
        <v>20</v>
      </c>
      <c r="I143">
        <v>208</v>
      </c>
      <c r="J143">
        <v>23</v>
      </c>
      <c r="K143">
        <v>2</v>
      </c>
    </row>
    <row r="144" spans="1:11" x14ac:dyDescent="0.35">
      <c r="A144" t="s">
        <v>42</v>
      </c>
      <c r="B144" t="s">
        <v>12</v>
      </c>
      <c r="C144" t="s">
        <v>13</v>
      </c>
      <c r="D144" t="s">
        <v>18</v>
      </c>
      <c r="E144" t="s">
        <v>19</v>
      </c>
      <c r="F144">
        <v>193</v>
      </c>
      <c r="G144">
        <v>56</v>
      </c>
      <c r="H144">
        <v>46</v>
      </c>
      <c r="I144">
        <v>203</v>
      </c>
      <c r="J144">
        <v>57</v>
      </c>
      <c r="K144">
        <v>5</v>
      </c>
    </row>
    <row r="145" spans="1:11" x14ac:dyDescent="0.35">
      <c r="A145" t="s">
        <v>41</v>
      </c>
      <c r="B145" t="s">
        <v>12</v>
      </c>
      <c r="C145" t="s">
        <v>13</v>
      </c>
      <c r="D145" t="s">
        <v>20</v>
      </c>
      <c r="E145" t="s">
        <v>21</v>
      </c>
      <c r="F145">
        <v>183</v>
      </c>
      <c r="G145">
        <v>1</v>
      </c>
      <c r="H145">
        <v>45</v>
      </c>
      <c r="I145">
        <v>139</v>
      </c>
      <c r="J145">
        <v>46</v>
      </c>
      <c r="K145">
        <v>1</v>
      </c>
    </row>
    <row r="146" spans="1:11" x14ac:dyDescent="0.35">
      <c r="A146" t="s">
        <v>41</v>
      </c>
      <c r="B146" t="s">
        <v>12</v>
      </c>
      <c r="C146" t="s">
        <v>13</v>
      </c>
      <c r="D146" t="s">
        <v>22</v>
      </c>
      <c r="E146" t="s">
        <v>23</v>
      </c>
      <c r="F146">
        <v>128</v>
      </c>
      <c r="G146">
        <v>33</v>
      </c>
      <c r="H146">
        <v>14</v>
      </c>
      <c r="I146">
        <v>147</v>
      </c>
      <c r="J146">
        <v>28</v>
      </c>
      <c r="K146">
        <v>5</v>
      </c>
    </row>
    <row r="147" spans="1:11" x14ac:dyDescent="0.35">
      <c r="A147" t="s">
        <v>41</v>
      </c>
      <c r="B147" t="s">
        <v>12</v>
      </c>
      <c r="C147" t="s">
        <v>24</v>
      </c>
      <c r="D147" t="s">
        <v>14</v>
      </c>
      <c r="E147" t="s">
        <v>15</v>
      </c>
      <c r="F147">
        <v>155</v>
      </c>
      <c r="G147">
        <v>53</v>
      </c>
      <c r="H147">
        <v>16</v>
      </c>
      <c r="I147">
        <v>192</v>
      </c>
      <c r="J147">
        <v>31</v>
      </c>
      <c r="K147">
        <v>1</v>
      </c>
    </row>
    <row r="148" spans="1:11" x14ac:dyDescent="0.35">
      <c r="A148" t="s">
        <v>41</v>
      </c>
      <c r="B148" t="s">
        <v>12</v>
      </c>
      <c r="C148" t="s">
        <v>24</v>
      </c>
      <c r="D148" t="s">
        <v>16</v>
      </c>
      <c r="E148" t="s">
        <v>17</v>
      </c>
      <c r="F148">
        <v>249</v>
      </c>
      <c r="G148">
        <v>3</v>
      </c>
      <c r="H148">
        <v>18</v>
      </c>
      <c r="I148">
        <v>234</v>
      </c>
      <c r="J148">
        <v>26</v>
      </c>
      <c r="K148">
        <v>1</v>
      </c>
    </row>
    <row r="149" spans="1:11" x14ac:dyDescent="0.35">
      <c r="A149" t="s">
        <v>41</v>
      </c>
      <c r="B149" t="s">
        <v>12</v>
      </c>
      <c r="C149" t="s">
        <v>24</v>
      </c>
      <c r="D149" t="s">
        <v>18</v>
      </c>
      <c r="E149" t="s">
        <v>19</v>
      </c>
      <c r="F149">
        <v>102</v>
      </c>
      <c r="G149">
        <v>27</v>
      </c>
      <c r="H149">
        <v>16</v>
      </c>
      <c r="I149">
        <v>113</v>
      </c>
      <c r="J149">
        <v>25</v>
      </c>
      <c r="K149">
        <v>3</v>
      </c>
    </row>
    <row r="150" spans="1:11" x14ac:dyDescent="0.35">
      <c r="A150" t="s">
        <v>41</v>
      </c>
      <c r="B150" t="s">
        <v>12</v>
      </c>
      <c r="C150" t="s">
        <v>24</v>
      </c>
      <c r="D150" t="s">
        <v>20</v>
      </c>
      <c r="E150" t="s">
        <v>21</v>
      </c>
      <c r="F150">
        <v>136</v>
      </c>
      <c r="G150">
        <v>39</v>
      </c>
      <c r="H150">
        <v>38</v>
      </c>
      <c r="I150">
        <v>137</v>
      </c>
      <c r="J150">
        <v>40</v>
      </c>
      <c r="K150">
        <v>2</v>
      </c>
    </row>
    <row r="151" spans="1:11" x14ac:dyDescent="0.35">
      <c r="A151" t="s">
        <v>41</v>
      </c>
      <c r="B151" t="s">
        <v>12</v>
      </c>
      <c r="C151" t="s">
        <v>24</v>
      </c>
      <c r="D151" t="s">
        <v>22</v>
      </c>
      <c r="E151" t="s">
        <v>23</v>
      </c>
      <c r="F151">
        <v>226</v>
      </c>
      <c r="G151">
        <v>10</v>
      </c>
      <c r="H151">
        <v>18</v>
      </c>
      <c r="I151">
        <v>218</v>
      </c>
      <c r="J151">
        <v>26</v>
      </c>
      <c r="K151">
        <v>5</v>
      </c>
    </row>
    <row r="152" spans="1:11" x14ac:dyDescent="0.35">
      <c r="A152" t="s">
        <v>41</v>
      </c>
      <c r="B152" t="s">
        <v>12</v>
      </c>
      <c r="C152" t="s">
        <v>25</v>
      </c>
      <c r="D152" t="s">
        <v>14</v>
      </c>
      <c r="E152" t="s">
        <v>15</v>
      </c>
      <c r="F152">
        <v>103</v>
      </c>
      <c r="G152">
        <v>42</v>
      </c>
      <c r="H152">
        <v>21</v>
      </c>
      <c r="I152">
        <v>124</v>
      </c>
      <c r="J152">
        <v>25</v>
      </c>
      <c r="K152">
        <v>1</v>
      </c>
    </row>
    <row r="153" spans="1:11" x14ac:dyDescent="0.35">
      <c r="A153" t="s">
        <v>41</v>
      </c>
      <c r="B153" t="s">
        <v>12</v>
      </c>
      <c r="C153" t="s">
        <v>25</v>
      </c>
      <c r="D153" t="s">
        <v>16</v>
      </c>
      <c r="E153" t="s">
        <v>17</v>
      </c>
      <c r="F153">
        <v>134</v>
      </c>
      <c r="G153">
        <v>37</v>
      </c>
      <c r="H153">
        <v>13</v>
      </c>
      <c r="I153">
        <v>158</v>
      </c>
      <c r="J153">
        <v>14</v>
      </c>
      <c r="K153">
        <v>4</v>
      </c>
    </row>
    <row r="154" spans="1:11" x14ac:dyDescent="0.35">
      <c r="A154" t="s">
        <v>41</v>
      </c>
      <c r="B154" t="s">
        <v>12</v>
      </c>
      <c r="C154" t="s">
        <v>25</v>
      </c>
      <c r="D154" t="s">
        <v>18</v>
      </c>
      <c r="E154" t="s">
        <v>19</v>
      </c>
      <c r="F154">
        <v>134</v>
      </c>
      <c r="G154">
        <v>33</v>
      </c>
      <c r="H154" t="s">
        <v>43</v>
      </c>
      <c r="I154">
        <v>138</v>
      </c>
      <c r="J154">
        <v>40</v>
      </c>
      <c r="K154">
        <v>4</v>
      </c>
    </row>
    <row r="155" spans="1:11" x14ac:dyDescent="0.35">
      <c r="A155" t="s">
        <v>41</v>
      </c>
      <c r="B155" t="s">
        <v>12</v>
      </c>
      <c r="C155" t="s">
        <v>25</v>
      </c>
      <c r="D155" t="s">
        <v>20</v>
      </c>
      <c r="E155" t="s">
        <v>21</v>
      </c>
      <c r="F155">
        <v>193</v>
      </c>
      <c r="G155">
        <v>35</v>
      </c>
      <c r="H155">
        <v>22</v>
      </c>
      <c r="I155">
        <v>206</v>
      </c>
      <c r="J155">
        <v>22</v>
      </c>
      <c r="K155">
        <v>3</v>
      </c>
    </row>
    <row r="156" spans="1:11" x14ac:dyDescent="0.35">
      <c r="A156" t="s">
        <v>41</v>
      </c>
      <c r="B156" t="s">
        <v>12</v>
      </c>
      <c r="C156" t="s">
        <v>25</v>
      </c>
      <c r="D156" t="s">
        <v>22</v>
      </c>
      <c r="E156" t="s">
        <v>23</v>
      </c>
      <c r="F156">
        <v>244</v>
      </c>
      <c r="G156">
        <v>37</v>
      </c>
      <c r="H156">
        <v>13</v>
      </c>
      <c r="I156">
        <v>268</v>
      </c>
      <c r="J156">
        <v>18</v>
      </c>
      <c r="K156">
        <v>1</v>
      </c>
    </row>
    <row r="157" spans="1:11" x14ac:dyDescent="0.35">
      <c r="A157" t="s">
        <v>41</v>
      </c>
      <c r="B157" t="s">
        <v>26</v>
      </c>
      <c r="C157" t="s">
        <v>27</v>
      </c>
      <c r="D157" t="s">
        <v>14</v>
      </c>
      <c r="E157" t="s">
        <v>15</v>
      </c>
      <c r="F157">
        <v>189</v>
      </c>
      <c r="G157">
        <v>47</v>
      </c>
      <c r="H157">
        <v>17</v>
      </c>
      <c r="I157">
        <v>219</v>
      </c>
      <c r="J157">
        <v>32</v>
      </c>
      <c r="K157">
        <v>4</v>
      </c>
    </row>
    <row r="158" spans="1:11" x14ac:dyDescent="0.35">
      <c r="A158" t="s">
        <v>41</v>
      </c>
      <c r="B158" t="s">
        <v>26</v>
      </c>
      <c r="C158" t="s">
        <v>27</v>
      </c>
      <c r="D158" t="s">
        <v>16</v>
      </c>
      <c r="E158" t="s">
        <v>17</v>
      </c>
      <c r="F158">
        <v>114</v>
      </c>
      <c r="G158">
        <v>26</v>
      </c>
      <c r="H158">
        <v>26</v>
      </c>
      <c r="I158">
        <v>114</v>
      </c>
      <c r="J158">
        <v>27</v>
      </c>
      <c r="K158">
        <v>3</v>
      </c>
    </row>
    <row r="159" spans="1:11" x14ac:dyDescent="0.35">
      <c r="A159" t="s">
        <v>41</v>
      </c>
      <c r="B159" t="s">
        <v>26</v>
      </c>
      <c r="C159" t="s">
        <v>27</v>
      </c>
      <c r="D159" t="s">
        <v>18</v>
      </c>
      <c r="E159" t="s">
        <v>19</v>
      </c>
      <c r="F159">
        <v>223</v>
      </c>
      <c r="G159">
        <v>43</v>
      </c>
      <c r="H159">
        <v>31</v>
      </c>
      <c r="I159">
        <v>235</v>
      </c>
      <c r="J159">
        <v>44</v>
      </c>
      <c r="K159">
        <v>4</v>
      </c>
    </row>
    <row r="160" spans="1:11" x14ac:dyDescent="0.35">
      <c r="A160" t="s">
        <v>41</v>
      </c>
      <c r="B160" t="s">
        <v>26</v>
      </c>
      <c r="C160" t="s">
        <v>27</v>
      </c>
      <c r="D160" t="s">
        <v>20</v>
      </c>
      <c r="E160" t="s">
        <v>21</v>
      </c>
      <c r="F160">
        <v>206</v>
      </c>
      <c r="G160">
        <v>57</v>
      </c>
      <c r="H160">
        <v>36</v>
      </c>
      <c r="I160">
        <v>227</v>
      </c>
      <c r="J160">
        <v>47</v>
      </c>
      <c r="K160">
        <v>5</v>
      </c>
    </row>
    <row r="161" spans="1:11" x14ac:dyDescent="0.35">
      <c r="A161" t="s">
        <v>41</v>
      </c>
      <c r="B161" t="s">
        <v>26</v>
      </c>
      <c r="C161" t="s">
        <v>27</v>
      </c>
      <c r="D161" t="s">
        <v>22</v>
      </c>
      <c r="E161" t="s">
        <v>23</v>
      </c>
      <c r="F161">
        <v>183</v>
      </c>
      <c r="G161">
        <v>11</v>
      </c>
      <c r="H161">
        <v>10</v>
      </c>
      <c r="I161">
        <v>184</v>
      </c>
      <c r="J161">
        <v>23</v>
      </c>
      <c r="K161">
        <v>1</v>
      </c>
    </row>
    <row r="162" spans="1:11" x14ac:dyDescent="0.35">
      <c r="A162" t="s">
        <v>41</v>
      </c>
      <c r="B162" t="s">
        <v>28</v>
      </c>
      <c r="C162" t="s">
        <v>29</v>
      </c>
      <c r="D162" t="s">
        <v>14</v>
      </c>
      <c r="E162" t="s">
        <v>15</v>
      </c>
      <c r="F162">
        <v>224</v>
      </c>
      <c r="G162">
        <v>50</v>
      </c>
      <c r="H162">
        <v>28</v>
      </c>
      <c r="I162">
        <v>246</v>
      </c>
      <c r="J162">
        <v>41</v>
      </c>
      <c r="K162">
        <v>3</v>
      </c>
    </row>
    <row r="163" spans="1:11" x14ac:dyDescent="0.35">
      <c r="A163" t="s">
        <v>41</v>
      </c>
      <c r="B163" t="s">
        <v>28</v>
      </c>
      <c r="C163" t="s">
        <v>29</v>
      </c>
      <c r="D163" t="s">
        <v>16</v>
      </c>
      <c r="E163" t="s">
        <v>17</v>
      </c>
      <c r="F163">
        <v>129</v>
      </c>
      <c r="G163">
        <v>7</v>
      </c>
      <c r="H163">
        <v>15</v>
      </c>
      <c r="I163">
        <v>121</v>
      </c>
      <c r="J163">
        <v>24</v>
      </c>
      <c r="K163">
        <v>3</v>
      </c>
    </row>
    <row r="164" spans="1:11" x14ac:dyDescent="0.35">
      <c r="A164" t="s">
        <v>41</v>
      </c>
      <c r="B164" t="s">
        <v>28</v>
      </c>
      <c r="C164" t="s">
        <v>29</v>
      </c>
      <c r="D164" t="s">
        <v>18</v>
      </c>
      <c r="E164" t="s">
        <v>19</v>
      </c>
      <c r="F164">
        <v>105</v>
      </c>
      <c r="G164">
        <v>22</v>
      </c>
      <c r="H164">
        <v>41</v>
      </c>
      <c r="I164">
        <v>86</v>
      </c>
      <c r="J164">
        <v>48</v>
      </c>
      <c r="K164">
        <v>4</v>
      </c>
    </row>
    <row r="165" spans="1:11" x14ac:dyDescent="0.35">
      <c r="A165" t="s">
        <v>41</v>
      </c>
      <c r="B165" t="s">
        <v>28</v>
      </c>
      <c r="C165" t="s">
        <v>29</v>
      </c>
      <c r="D165" t="s">
        <v>20</v>
      </c>
      <c r="E165" t="s">
        <v>21</v>
      </c>
      <c r="F165">
        <v>259</v>
      </c>
      <c r="G165">
        <v>4</v>
      </c>
      <c r="H165">
        <v>19</v>
      </c>
      <c r="I165">
        <v>244</v>
      </c>
      <c r="J165">
        <v>29</v>
      </c>
      <c r="K165">
        <v>2</v>
      </c>
    </row>
    <row r="166" spans="1:11" x14ac:dyDescent="0.35">
      <c r="A166" t="s">
        <v>41</v>
      </c>
      <c r="B166" t="s">
        <v>28</v>
      </c>
      <c r="C166" t="s">
        <v>29</v>
      </c>
      <c r="D166" t="s">
        <v>30</v>
      </c>
      <c r="E166" t="s">
        <v>23</v>
      </c>
      <c r="F166">
        <v>226</v>
      </c>
      <c r="G166">
        <v>55</v>
      </c>
      <c r="H166">
        <v>6</v>
      </c>
      <c r="I166">
        <v>275</v>
      </c>
      <c r="J166">
        <v>7</v>
      </c>
      <c r="K166">
        <v>3</v>
      </c>
    </row>
    <row r="167" spans="1:11" x14ac:dyDescent="0.35">
      <c r="A167" t="s">
        <v>41</v>
      </c>
      <c r="B167" t="s">
        <v>31</v>
      </c>
      <c r="C167" t="s">
        <v>32</v>
      </c>
      <c r="D167" t="s">
        <v>14</v>
      </c>
      <c r="E167" t="s">
        <v>15</v>
      </c>
      <c r="F167">
        <v>199</v>
      </c>
      <c r="G167">
        <v>24</v>
      </c>
      <c r="H167">
        <v>17</v>
      </c>
      <c r="I167">
        <v>206</v>
      </c>
      <c r="J167">
        <v>17</v>
      </c>
      <c r="K167">
        <v>1</v>
      </c>
    </row>
    <row r="168" spans="1:11" x14ac:dyDescent="0.35">
      <c r="A168" t="s">
        <v>41</v>
      </c>
      <c r="B168" t="s">
        <v>31</v>
      </c>
      <c r="C168" t="s">
        <v>32</v>
      </c>
      <c r="D168" t="s">
        <v>16</v>
      </c>
      <c r="E168" t="s">
        <v>17</v>
      </c>
      <c r="F168">
        <v>237</v>
      </c>
      <c r="G168">
        <v>53</v>
      </c>
      <c r="H168">
        <v>31</v>
      </c>
      <c r="I168">
        <v>259</v>
      </c>
      <c r="J168">
        <v>41</v>
      </c>
      <c r="K168">
        <v>5</v>
      </c>
    </row>
    <row r="169" spans="1:11" x14ac:dyDescent="0.35">
      <c r="A169" t="s">
        <v>41</v>
      </c>
      <c r="B169" t="s">
        <v>31</v>
      </c>
      <c r="C169" t="s">
        <v>32</v>
      </c>
      <c r="D169" t="s">
        <v>18</v>
      </c>
      <c r="E169" t="s">
        <v>19</v>
      </c>
      <c r="F169">
        <v>149</v>
      </c>
      <c r="G169">
        <v>22</v>
      </c>
      <c r="H169">
        <v>47</v>
      </c>
      <c r="I169">
        <v>124</v>
      </c>
      <c r="J169">
        <v>56</v>
      </c>
      <c r="K169">
        <v>3</v>
      </c>
    </row>
    <row r="170" spans="1:11" x14ac:dyDescent="0.35">
      <c r="A170" t="s">
        <v>41</v>
      </c>
      <c r="B170" t="s">
        <v>31</v>
      </c>
      <c r="C170" t="s">
        <v>32</v>
      </c>
      <c r="D170" t="s">
        <v>20</v>
      </c>
      <c r="E170" t="s">
        <v>21</v>
      </c>
      <c r="F170">
        <v>192</v>
      </c>
      <c r="G170">
        <v>3</v>
      </c>
      <c r="H170">
        <v>23</v>
      </c>
      <c r="I170">
        <v>172</v>
      </c>
      <c r="J170">
        <v>32</v>
      </c>
      <c r="K170">
        <v>4</v>
      </c>
    </row>
    <row r="171" spans="1:11" x14ac:dyDescent="0.35">
      <c r="A171" t="s">
        <v>41</v>
      </c>
      <c r="B171" t="s">
        <v>31</v>
      </c>
      <c r="C171" t="s">
        <v>32</v>
      </c>
      <c r="D171" t="s">
        <v>22</v>
      </c>
      <c r="E171" t="s">
        <v>23</v>
      </c>
      <c r="F171">
        <v>272</v>
      </c>
      <c r="G171">
        <v>44</v>
      </c>
      <c r="H171">
        <v>3</v>
      </c>
      <c r="I171">
        <v>313</v>
      </c>
      <c r="J171">
        <v>18</v>
      </c>
      <c r="K171">
        <v>1</v>
      </c>
    </row>
    <row r="172" spans="1:11" x14ac:dyDescent="0.35">
      <c r="A172" t="s">
        <v>41</v>
      </c>
      <c r="B172" t="s">
        <v>33</v>
      </c>
      <c r="C172" t="s">
        <v>34</v>
      </c>
      <c r="D172" t="s">
        <v>14</v>
      </c>
      <c r="E172" t="s">
        <v>15</v>
      </c>
      <c r="F172">
        <v>146</v>
      </c>
      <c r="G172">
        <v>24</v>
      </c>
      <c r="H172">
        <v>30</v>
      </c>
      <c r="I172">
        <v>140</v>
      </c>
      <c r="J172">
        <v>39</v>
      </c>
      <c r="K172">
        <v>3</v>
      </c>
    </row>
    <row r="173" spans="1:11" x14ac:dyDescent="0.35">
      <c r="A173" t="s">
        <v>41</v>
      </c>
      <c r="B173" t="s">
        <v>33</v>
      </c>
      <c r="C173" t="s">
        <v>34</v>
      </c>
      <c r="D173" t="s">
        <v>16</v>
      </c>
      <c r="E173" t="s">
        <v>17</v>
      </c>
      <c r="F173">
        <v>106</v>
      </c>
      <c r="G173">
        <v>41</v>
      </c>
      <c r="H173">
        <v>22</v>
      </c>
      <c r="I173">
        <v>125</v>
      </c>
      <c r="J173">
        <v>28</v>
      </c>
      <c r="K173">
        <v>5</v>
      </c>
    </row>
    <row r="174" spans="1:11" x14ac:dyDescent="0.35">
      <c r="A174" t="s">
        <v>41</v>
      </c>
      <c r="B174" t="s">
        <v>33</v>
      </c>
      <c r="C174" t="s">
        <v>34</v>
      </c>
      <c r="D174" t="s">
        <v>18</v>
      </c>
      <c r="E174" t="s">
        <v>19</v>
      </c>
      <c r="F174">
        <v>150</v>
      </c>
      <c r="G174">
        <v>3</v>
      </c>
      <c r="H174">
        <v>37</v>
      </c>
      <c r="I174">
        <v>116</v>
      </c>
      <c r="J174">
        <v>39</v>
      </c>
      <c r="K174">
        <v>1</v>
      </c>
    </row>
    <row r="175" spans="1:11" x14ac:dyDescent="0.35">
      <c r="A175" t="s">
        <v>41</v>
      </c>
      <c r="B175" t="s">
        <v>33</v>
      </c>
      <c r="C175" t="s">
        <v>34</v>
      </c>
      <c r="D175" t="s">
        <v>20</v>
      </c>
      <c r="E175" t="s">
        <v>21</v>
      </c>
      <c r="F175">
        <v>259</v>
      </c>
      <c r="G175">
        <v>50</v>
      </c>
      <c r="H175">
        <v>31</v>
      </c>
      <c r="I175">
        <v>278</v>
      </c>
      <c r="J175">
        <v>32</v>
      </c>
      <c r="K175">
        <v>5</v>
      </c>
    </row>
    <row r="176" spans="1:11" x14ac:dyDescent="0.35">
      <c r="A176" t="s">
        <v>41</v>
      </c>
      <c r="B176" t="s">
        <v>33</v>
      </c>
      <c r="C176" t="s">
        <v>34</v>
      </c>
      <c r="D176" t="s">
        <v>22</v>
      </c>
      <c r="E176" t="s">
        <v>23</v>
      </c>
      <c r="F176">
        <v>262</v>
      </c>
      <c r="G176">
        <v>34</v>
      </c>
      <c r="H176">
        <v>7</v>
      </c>
      <c r="I176">
        <v>289</v>
      </c>
      <c r="J176">
        <v>18</v>
      </c>
      <c r="K176">
        <v>2</v>
      </c>
    </row>
    <row r="177" spans="1:11" x14ac:dyDescent="0.35">
      <c r="A177" t="s">
        <v>44</v>
      </c>
      <c r="B177" t="s">
        <v>12</v>
      </c>
      <c r="C177" t="s">
        <v>13</v>
      </c>
      <c r="D177" t="s">
        <v>14</v>
      </c>
      <c r="E177" t="s">
        <v>15</v>
      </c>
      <c r="F177">
        <v>271</v>
      </c>
      <c r="G177">
        <v>23</v>
      </c>
      <c r="H177" t="s">
        <v>43</v>
      </c>
      <c r="I177">
        <v>280</v>
      </c>
      <c r="J177">
        <v>24</v>
      </c>
      <c r="K177">
        <v>2</v>
      </c>
    </row>
    <row r="178" spans="1:11" x14ac:dyDescent="0.35">
      <c r="A178" t="s">
        <v>44</v>
      </c>
      <c r="B178" t="s">
        <v>12</v>
      </c>
      <c r="C178" t="s">
        <v>13</v>
      </c>
      <c r="D178" t="s">
        <v>16</v>
      </c>
      <c r="E178" t="s">
        <v>17</v>
      </c>
      <c r="F178">
        <v>208</v>
      </c>
      <c r="G178">
        <v>46</v>
      </c>
      <c r="H178">
        <v>12</v>
      </c>
      <c r="I178">
        <v>242</v>
      </c>
      <c r="J178">
        <v>13</v>
      </c>
      <c r="K178">
        <v>4</v>
      </c>
    </row>
    <row r="179" spans="1:11" x14ac:dyDescent="0.35">
      <c r="A179" t="s">
        <v>44</v>
      </c>
      <c r="B179" t="s">
        <v>12</v>
      </c>
      <c r="C179" t="s">
        <v>13</v>
      </c>
      <c r="D179" t="s">
        <v>18</v>
      </c>
      <c r="E179" t="s">
        <v>19</v>
      </c>
      <c r="F179">
        <v>203</v>
      </c>
      <c r="G179">
        <v>28</v>
      </c>
      <c r="H179">
        <v>29</v>
      </c>
      <c r="I179">
        <v>202</v>
      </c>
      <c r="J179">
        <v>34</v>
      </c>
      <c r="K179">
        <v>3</v>
      </c>
    </row>
    <row r="180" spans="1:11" x14ac:dyDescent="0.35">
      <c r="A180" t="s">
        <v>44</v>
      </c>
      <c r="B180" t="s">
        <v>12</v>
      </c>
      <c r="C180" t="s">
        <v>13</v>
      </c>
      <c r="D180" t="s">
        <v>20</v>
      </c>
      <c r="E180" t="s">
        <v>21</v>
      </c>
      <c r="F180">
        <v>139</v>
      </c>
      <c r="G180">
        <v>49</v>
      </c>
      <c r="H180">
        <v>34</v>
      </c>
      <c r="I180">
        <v>154</v>
      </c>
      <c r="J180">
        <v>47</v>
      </c>
      <c r="K180">
        <v>4</v>
      </c>
    </row>
    <row r="181" spans="1:11" x14ac:dyDescent="0.35">
      <c r="A181" t="s">
        <v>44</v>
      </c>
      <c r="B181" t="s">
        <v>12</v>
      </c>
      <c r="C181" t="s">
        <v>13</v>
      </c>
      <c r="D181" t="s">
        <v>22</v>
      </c>
      <c r="E181" t="s">
        <v>23</v>
      </c>
      <c r="F181">
        <v>147</v>
      </c>
      <c r="G181">
        <v>10</v>
      </c>
      <c r="H181">
        <v>14</v>
      </c>
      <c r="I181">
        <v>143</v>
      </c>
      <c r="J181">
        <v>14</v>
      </c>
      <c r="K181">
        <v>4</v>
      </c>
    </row>
    <row r="182" spans="1:11" x14ac:dyDescent="0.35">
      <c r="A182" t="s">
        <v>44</v>
      </c>
      <c r="B182" t="s">
        <v>45</v>
      </c>
      <c r="C182" t="s">
        <v>24</v>
      </c>
      <c r="D182" t="s">
        <v>14</v>
      </c>
      <c r="E182" t="s">
        <v>15</v>
      </c>
      <c r="F182">
        <v>192</v>
      </c>
      <c r="G182">
        <v>54</v>
      </c>
      <c r="H182">
        <v>22</v>
      </c>
      <c r="I182">
        <v>224</v>
      </c>
      <c r="J182">
        <v>33</v>
      </c>
      <c r="K182">
        <v>2</v>
      </c>
    </row>
    <row r="183" spans="1:11" x14ac:dyDescent="0.35">
      <c r="A183" t="s">
        <v>44</v>
      </c>
      <c r="B183" t="s">
        <v>12</v>
      </c>
      <c r="C183" t="s">
        <v>24</v>
      </c>
      <c r="D183" t="s">
        <v>16</v>
      </c>
      <c r="E183" t="s">
        <v>17</v>
      </c>
      <c r="F183">
        <v>234</v>
      </c>
      <c r="G183">
        <v>23</v>
      </c>
      <c r="H183">
        <v>33</v>
      </c>
      <c r="I183">
        <v>224</v>
      </c>
      <c r="J183">
        <v>42</v>
      </c>
      <c r="K183">
        <v>3</v>
      </c>
    </row>
    <row r="184" spans="1:11" x14ac:dyDescent="0.35">
      <c r="A184" t="s">
        <v>44</v>
      </c>
      <c r="B184" t="s">
        <v>12</v>
      </c>
      <c r="C184" t="s">
        <v>24</v>
      </c>
      <c r="D184" t="s">
        <v>18</v>
      </c>
      <c r="E184" t="s">
        <v>19</v>
      </c>
      <c r="F184">
        <v>113</v>
      </c>
      <c r="G184">
        <v>56</v>
      </c>
      <c r="H184">
        <v>26</v>
      </c>
      <c r="I184">
        <v>143</v>
      </c>
      <c r="J184">
        <v>33</v>
      </c>
      <c r="K184">
        <v>5</v>
      </c>
    </row>
    <row r="185" spans="1:11" x14ac:dyDescent="0.35">
      <c r="A185" t="s">
        <v>44</v>
      </c>
      <c r="B185" t="s">
        <v>12</v>
      </c>
      <c r="C185" t="s">
        <v>24</v>
      </c>
      <c r="D185" t="s">
        <v>20</v>
      </c>
      <c r="E185" t="s">
        <v>21</v>
      </c>
      <c r="F185">
        <v>137</v>
      </c>
      <c r="G185">
        <v>19</v>
      </c>
      <c r="H185">
        <v>33</v>
      </c>
      <c r="I185">
        <v>123</v>
      </c>
      <c r="J185">
        <v>33</v>
      </c>
      <c r="K185">
        <v>4</v>
      </c>
    </row>
    <row r="186" spans="1:11" x14ac:dyDescent="0.35">
      <c r="A186" t="s">
        <v>44</v>
      </c>
      <c r="B186" t="s">
        <v>12</v>
      </c>
      <c r="C186" t="s">
        <v>24</v>
      </c>
      <c r="D186" t="s">
        <v>22</v>
      </c>
      <c r="E186" t="s">
        <v>23</v>
      </c>
      <c r="F186">
        <v>218</v>
      </c>
      <c r="G186">
        <v>38</v>
      </c>
      <c r="H186">
        <v>5</v>
      </c>
      <c r="I186">
        <v>251</v>
      </c>
      <c r="J186">
        <v>20</v>
      </c>
      <c r="K186">
        <v>1</v>
      </c>
    </row>
    <row r="187" spans="1:11" x14ac:dyDescent="0.35">
      <c r="A187" t="s">
        <v>44</v>
      </c>
      <c r="B187" t="s">
        <v>12</v>
      </c>
      <c r="C187" t="s">
        <v>25</v>
      </c>
      <c r="D187" t="s">
        <v>14</v>
      </c>
      <c r="E187" t="s">
        <v>15</v>
      </c>
      <c r="F187">
        <v>124</v>
      </c>
      <c r="G187">
        <v>33</v>
      </c>
      <c r="H187">
        <v>18</v>
      </c>
      <c r="I187">
        <v>139</v>
      </c>
      <c r="J187">
        <v>31</v>
      </c>
      <c r="K187">
        <v>2</v>
      </c>
    </row>
    <row r="188" spans="1:11" x14ac:dyDescent="0.35">
      <c r="A188" t="s">
        <v>44</v>
      </c>
      <c r="B188" t="s">
        <v>12</v>
      </c>
      <c r="C188" t="s">
        <v>25</v>
      </c>
      <c r="D188" t="s">
        <v>16</v>
      </c>
      <c r="E188" t="s">
        <v>17</v>
      </c>
      <c r="F188">
        <v>158</v>
      </c>
      <c r="G188">
        <v>33</v>
      </c>
      <c r="H188">
        <v>24</v>
      </c>
      <c r="I188">
        <v>167</v>
      </c>
      <c r="J188">
        <v>27</v>
      </c>
      <c r="K188">
        <v>1</v>
      </c>
    </row>
    <row r="189" spans="1:11" x14ac:dyDescent="0.35">
      <c r="A189" t="s">
        <v>44</v>
      </c>
      <c r="B189" t="s">
        <v>12</v>
      </c>
      <c r="C189" t="s">
        <v>25</v>
      </c>
      <c r="D189" t="s">
        <v>18</v>
      </c>
      <c r="E189" t="s">
        <v>19</v>
      </c>
      <c r="F189">
        <v>138</v>
      </c>
      <c r="G189">
        <v>46</v>
      </c>
      <c r="H189">
        <v>47</v>
      </c>
      <c r="I189">
        <v>137</v>
      </c>
      <c r="J189">
        <v>50</v>
      </c>
      <c r="K189">
        <v>4</v>
      </c>
    </row>
    <row r="190" spans="1:11" x14ac:dyDescent="0.35">
      <c r="A190" t="s">
        <v>44</v>
      </c>
      <c r="B190" t="s">
        <v>12</v>
      </c>
      <c r="C190" t="s">
        <v>25</v>
      </c>
      <c r="D190" t="s">
        <v>20</v>
      </c>
      <c r="E190" t="s">
        <v>21</v>
      </c>
      <c r="F190">
        <v>206</v>
      </c>
      <c r="G190">
        <v>22</v>
      </c>
      <c r="H190">
        <v>36</v>
      </c>
      <c r="I190">
        <v>192</v>
      </c>
      <c r="J190">
        <v>40</v>
      </c>
      <c r="K190">
        <v>4</v>
      </c>
    </row>
    <row r="191" spans="1:11" x14ac:dyDescent="0.35">
      <c r="A191" t="s">
        <v>44</v>
      </c>
      <c r="B191" t="s">
        <v>12</v>
      </c>
      <c r="C191" t="s">
        <v>25</v>
      </c>
      <c r="D191" t="s">
        <v>22</v>
      </c>
      <c r="E191" t="s">
        <v>23</v>
      </c>
      <c r="F191">
        <v>268</v>
      </c>
      <c r="G191">
        <v>16</v>
      </c>
      <c r="H191">
        <v>5</v>
      </c>
      <c r="I191">
        <v>279</v>
      </c>
      <c r="J191">
        <v>18</v>
      </c>
      <c r="K191">
        <v>4</v>
      </c>
    </row>
    <row r="192" spans="1:11" x14ac:dyDescent="0.35">
      <c r="A192" t="s">
        <v>44</v>
      </c>
      <c r="B192" t="s">
        <v>26</v>
      </c>
      <c r="C192" t="s">
        <v>27</v>
      </c>
      <c r="D192" t="s">
        <v>14</v>
      </c>
      <c r="E192" t="s">
        <v>15</v>
      </c>
      <c r="F192">
        <v>219</v>
      </c>
      <c r="G192">
        <v>59</v>
      </c>
      <c r="H192">
        <v>29</v>
      </c>
      <c r="I192">
        <v>249</v>
      </c>
      <c r="J192">
        <v>31</v>
      </c>
      <c r="K192">
        <v>2</v>
      </c>
    </row>
    <row r="193" spans="1:11" x14ac:dyDescent="0.35">
      <c r="A193" t="s">
        <v>44</v>
      </c>
      <c r="B193" t="s">
        <v>26</v>
      </c>
      <c r="C193" t="s">
        <v>27</v>
      </c>
      <c r="D193" t="s">
        <v>16</v>
      </c>
      <c r="E193" t="s">
        <v>17</v>
      </c>
      <c r="F193">
        <v>114</v>
      </c>
      <c r="G193">
        <v>35</v>
      </c>
      <c r="H193">
        <v>29</v>
      </c>
      <c r="I193">
        <v>120</v>
      </c>
      <c r="J193">
        <v>32</v>
      </c>
      <c r="K193">
        <v>4</v>
      </c>
    </row>
    <row r="194" spans="1:11" x14ac:dyDescent="0.35">
      <c r="A194" t="s">
        <v>44</v>
      </c>
      <c r="B194" t="s">
        <v>26</v>
      </c>
      <c r="C194" t="s">
        <v>27</v>
      </c>
      <c r="D194" t="s">
        <v>18</v>
      </c>
      <c r="E194" t="s">
        <v>19</v>
      </c>
      <c r="F194">
        <v>235</v>
      </c>
      <c r="G194">
        <v>22</v>
      </c>
      <c r="H194">
        <v>33</v>
      </c>
      <c r="I194">
        <v>224</v>
      </c>
      <c r="J194">
        <v>46</v>
      </c>
      <c r="K194">
        <v>4</v>
      </c>
    </row>
    <row r="195" spans="1:11" x14ac:dyDescent="0.35">
      <c r="A195" t="s">
        <v>44</v>
      </c>
      <c r="B195" t="s">
        <v>26</v>
      </c>
      <c r="C195" t="s">
        <v>27</v>
      </c>
      <c r="D195" t="s">
        <v>20</v>
      </c>
      <c r="E195" t="s">
        <v>21</v>
      </c>
      <c r="F195">
        <v>227</v>
      </c>
      <c r="G195">
        <v>36</v>
      </c>
      <c r="H195">
        <v>24</v>
      </c>
      <c r="I195">
        <v>239</v>
      </c>
      <c r="J195">
        <v>37</v>
      </c>
      <c r="K195">
        <v>1</v>
      </c>
    </row>
    <row r="196" spans="1:11" x14ac:dyDescent="0.35">
      <c r="A196" t="s">
        <v>44</v>
      </c>
      <c r="B196" t="s">
        <v>26</v>
      </c>
      <c r="C196" t="s">
        <v>27</v>
      </c>
      <c r="D196" t="s">
        <v>22</v>
      </c>
      <c r="E196" t="s">
        <v>23</v>
      </c>
      <c r="F196">
        <v>184</v>
      </c>
      <c r="G196">
        <v>14</v>
      </c>
      <c r="H196">
        <v>16</v>
      </c>
      <c r="I196">
        <v>182</v>
      </c>
      <c r="J196">
        <v>25</v>
      </c>
      <c r="K196">
        <v>5</v>
      </c>
    </row>
    <row r="197" spans="1:11" x14ac:dyDescent="0.35">
      <c r="A197" t="s">
        <v>44</v>
      </c>
      <c r="B197" t="s">
        <v>28</v>
      </c>
      <c r="C197" t="s">
        <v>29</v>
      </c>
      <c r="D197" t="s">
        <v>14</v>
      </c>
      <c r="E197" t="s">
        <v>15</v>
      </c>
      <c r="F197">
        <v>246</v>
      </c>
      <c r="G197">
        <v>12</v>
      </c>
      <c r="H197">
        <v>28</v>
      </c>
      <c r="I197">
        <v>230</v>
      </c>
      <c r="J197">
        <v>34</v>
      </c>
      <c r="K197">
        <v>3</v>
      </c>
    </row>
    <row r="198" spans="1:11" x14ac:dyDescent="0.35">
      <c r="A198" t="s">
        <v>44</v>
      </c>
      <c r="B198" t="s">
        <v>28</v>
      </c>
      <c r="C198" t="s">
        <v>29</v>
      </c>
      <c r="D198" t="s">
        <v>16</v>
      </c>
      <c r="E198" t="s">
        <v>17</v>
      </c>
      <c r="F198">
        <v>121</v>
      </c>
      <c r="G198">
        <v>19</v>
      </c>
      <c r="H198">
        <v>22</v>
      </c>
      <c r="I198">
        <v>118</v>
      </c>
      <c r="J198">
        <v>25</v>
      </c>
      <c r="K198">
        <v>1</v>
      </c>
    </row>
    <row r="199" spans="1:11" x14ac:dyDescent="0.35">
      <c r="A199" t="s">
        <v>44</v>
      </c>
      <c r="B199" t="s">
        <v>28</v>
      </c>
      <c r="C199" t="s">
        <v>29</v>
      </c>
      <c r="D199" t="s">
        <v>18</v>
      </c>
      <c r="E199" t="s">
        <v>19</v>
      </c>
      <c r="F199">
        <v>86</v>
      </c>
      <c r="G199">
        <v>60</v>
      </c>
      <c r="H199">
        <v>39</v>
      </c>
      <c r="I199">
        <v>107</v>
      </c>
      <c r="J199">
        <v>43</v>
      </c>
      <c r="K199">
        <v>3</v>
      </c>
    </row>
    <row r="200" spans="1:11" x14ac:dyDescent="0.35">
      <c r="A200" t="s">
        <v>44</v>
      </c>
      <c r="B200" t="s">
        <v>28</v>
      </c>
      <c r="C200" t="s">
        <v>29</v>
      </c>
      <c r="D200" t="s">
        <v>20</v>
      </c>
      <c r="E200" t="s">
        <v>21</v>
      </c>
      <c r="F200">
        <v>244</v>
      </c>
      <c r="G200">
        <v>10</v>
      </c>
      <c r="H200">
        <v>45</v>
      </c>
      <c r="I200">
        <v>209</v>
      </c>
      <c r="J200">
        <v>48</v>
      </c>
      <c r="K200">
        <v>2</v>
      </c>
    </row>
    <row r="201" spans="1:11" x14ac:dyDescent="0.35">
      <c r="A201" t="s">
        <v>44</v>
      </c>
      <c r="B201" t="s">
        <v>28</v>
      </c>
      <c r="C201" t="s">
        <v>29</v>
      </c>
      <c r="D201" t="s">
        <v>22</v>
      </c>
      <c r="E201" t="s">
        <v>23</v>
      </c>
      <c r="F201">
        <v>275</v>
      </c>
      <c r="G201">
        <v>35</v>
      </c>
      <c r="H201">
        <v>17</v>
      </c>
      <c r="I201">
        <v>293</v>
      </c>
      <c r="J201">
        <v>21</v>
      </c>
      <c r="K201">
        <v>4</v>
      </c>
    </row>
    <row r="202" spans="1:11" x14ac:dyDescent="0.35">
      <c r="A202" t="s">
        <v>44</v>
      </c>
      <c r="B202" t="s">
        <v>45</v>
      </c>
      <c r="C202" t="s">
        <v>32</v>
      </c>
      <c r="D202" t="s">
        <v>14</v>
      </c>
      <c r="E202" t="s">
        <v>15</v>
      </c>
      <c r="F202">
        <v>206</v>
      </c>
      <c r="G202">
        <v>18</v>
      </c>
      <c r="H202">
        <v>33</v>
      </c>
      <c r="I202">
        <v>191</v>
      </c>
      <c r="J202">
        <v>36</v>
      </c>
      <c r="K202">
        <v>1</v>
      </c>
    </row>
    <row r="203" spans="1:11" x14ac:dyDescent="0.35">
      <c r="A203" t="s">
        <v>44</v>
      </c>
      <c r="B203" t="s">
        <v>31</v>
      </c>
      <c r="C203" t="s">
        <v>32</v>
      </c>
      <c r="D203" t="s">
        <v>16</v>
      </c>
      <c r="E203" t="s">
        <v>17</v>
      </c>
      <c r="F203">
        <v>259</v>
      </c>
      <c r="G203">
        <v>5</v>
      </c>
      <c r="H203">
        <v>21</v>
      </c>
      <c r="I203">
        <v>243</v>
      </c>
      <c r="J203">
        <v>34</v>
      </c>
      <c r="K203">
        <v>2</v>
      </c>
    </row>
    <row r="204" spans="1:11" x14ac:dyDescent="0.35">
      <c r="A204" t="s">
        <v>44</v>
      </c>
      <c r="B204" t="s">
        <v>31</v>
      </c>
      <c r="C204" t="s">
        <v>32</v>
      </c>
      <c r="D204" t="s">
        <v>18</v>
      </c>
      <c r="E204" t="s">
        <v>19</v>
      </c>
      <c r="F204">
        <v>124</v>
      </c>
      <c r="G204">
        <v>27</v>
      </c>
      <c r="H204">
        <v>38</v>
      </c>
      <c r="I204">
        <v>113</v>
      </c>
      <c r="J204">
        <v>47</v>
      </c>
      <c r="K204">
        <v>2</v>
      </c>
    </row>
    <row r="205" spans="1:11" x14ac:dyDescent="0.35">
      <c r="A205" t="s">
        <v>44</v>
      </c>
      <c r="B205" t="s">
        <v>31</v>
      </c>
      <c r="C205" t="s">
        <v>32</v>
      </c>
      <c r="D205" t="s">
        <v>20</v>
      </c>
      <c r="E205" t="s">
        <v>21</v>
      </c>
      <c r="F205">
        <v>172</v>
      </c>
      <c r="G205">
        <v>10</v>
      </c>
      <c r="H205">
        <v>17</v>
      </c>
      <c r="I205">
        <v>165</v>
      </c>
      <c r="J205">
        <v>21</v>
      </c>
      <c r="K205">
        <v>1</v>
      </c>
    </row>
    <row r="206" spans="1:11" x14ac:dyDescent="0.35">
      <c r="A206" t="s">
        <v>44</v>
      </c>
      <c r="B206" t="s">
        <v>31</v>
      </c>
      <c r="C206" t="s">
        <v>32</v>
      </c>
      <c r="D206" t="s">
        <v>22</v>
      </c>
      <c r="E206" t="s">
        <v>23</v>
      </c>
      <c r="F206">
        <v>313</v>
      </c>
      <c r="G206">
        <v>36</v>
      </c>
      <c r="H206">
        <v>18</v>
      </c>
      <c r="I206">
        <v>331</v>
      </c>
      <c r="J206">
        <v>25</v>
      </c>
      <c r="K206">
        <v>2</v>
      </c>
    </row>
    <row r="207" spans="1:11" x14ac:dyDescent="0.35">
      <c r="A207" t="s">
        <v>44</v>
      </c>
      <c r="B207" t="s">
        <v>33</v>
      </c>
      <c r="C207" t="s">
        <v>34</v>
      </c>
      <c r="D207" t="s">
        <v>14</v>
      </c>
      <c r="E207" t="s">
        <v>15</v>
      </c>
      <c r="F207">
        <v>140</v>
      </c>
      <c r="G207">
        <v>38</v>
      </c>
      <c r="H207">
        <v>25</v>
      </c>
      <c r="I207">
        <v>153</v>
      </c>
      <c r="J207">
        <v>31</v>
      </c>
      <c r="K207">
        <v>1</v>
      </c>
    </row>
    <row r="208" spans="1:11" x14ac:dyDescent="0.35">
      <c r="A208" t="s">
        <v>44</v>
      </c>
      <c r="B208" t="s">
        <v>33</v>
      </c>
      <c r="C208" t="s">
        <v>34</v>
      </c>
      <c r="D208" t="s">
        <v>16</v>
      </c>
      <c r="E208" t="s">
        <v>17</v>
      </c>
      <c r="F208">
        <v>125</v>
      </c>
      <c r="G208">
        <v>45</v>
      </c>
      <c r="H208">
        <v>25</v>
      </c>
      <c r="I208">
        <v>145</v>
      </c>
      <c r="J208">
        <v>38</v>
      </c>
      <c r="K208">
        <v>5</v>
      </c>
    </row>
    <row r="209" spans="1:11" x14ac:dyDescent="0.35">
      <c r="A209" t="s">
        <v>44</v>
      </c>
      <c r="B209" t="s">
        <v>33</v>
      </c>
      <c r="C209" t="s">
        <v>34</v>
      </c>
      <c r="D209" t="s">
        <v>18</v>
      </c>
      <c r="E209" t="s">
        <v>19</v>
      </c>
      <c r="F209">
        <v>116</v>
      </c>
      <c r="G209">
        <v>12</v>
      </c>
      <c r="H209">
        <v>34</v>
      </c>
      <c r="I209">
        <v>94</v>
      </c>
      <c r="J209">
        <v>43</v>
      </c>
      <c r="K209">
        <v>1</v>
      </c>
    </row>
    <row r="210" spans="1:11" x14ac:dyDescent="0.35">
      <c r="A210" t="s">
        <v>44</v>
      </c>
      <c r="B210" t="s">
        <v>33</v>
      </c>
      <c r="C210" t="s">
        <v>34</v>
      </c>
      <c r="D210" t="s">
        <v>20</v>
      </c>
      <c r="E210" t="s">
        <v>21</v>
      </c>
      <c r="F210">
        <v>278</v>
      </c>
      <c r="G210">
        <v>40</v>
      </c>
      <c r="H210">
        <v>39</v>
      </c>
      <c r="I210">
        <v>279</v>
      </c>
      <c r="J210">
        <v>50</v>
      </c>
      <c r="K210">
        <v>5</v>
      </c>
    </row>
    <row r="211" spans="1:11" x14ac:dyDescent="0.35">
      <c r="A211" t="s">
        <v>44</v>
      </c>
      <c r="B211" t="s">
        <v>33</v>
      </c>
      <c r="C211" t="s">
        <v>34</v>
      </c>
      <c r="D211" t="s">
        <v>22</v>
      </c>
      <c r="E211" t="s">
        <v>23</v>
      </c>
      <c r="F211">
        <v>289</v>
      </c>
      <c r="G211">
        <v>4</v>
      </c>
      <c r="H211">
        <v>15</v>
      </c>
      <c r="I211">
        <v>278</v>
      </c>
      <c r="J211">
        <v>25</v>
      </c>
      <c r="K211">
        <v>3</v>
      </c>
    </row>
    <row r="212" spans="1:11" x14ac:dyDescent="0.35">
      <c r="A212" t="s">
        <v>46</v>
      </c>
      <c r="B212" t="s">
        <v>12</v>
      </c>
      <c r="C212" t="s">
        <v>13</v>
      </c>
      <c r="D212" t="s">
        <v>14</v>
      </c>
      <c r="E212" t="s">
        <v>15</v>
      </c>
      <c r="F212">
        <v>280</v>
      </c>
      <c r="G212">
        <v>31</v>
      </c>
      <c r="H212">
        <v>13</v>
      </c>
      <c r="I212">
        <v>298</v>
      </c>
      <c r="J212">
        <v>20</v>
      </c>
      <c r="K212">
        <v>2</v>
      </c>
    </row>
    <row r="213" spans="1:11" x14ac:dyDescent="0.35">
      <c r="A213" t="s">
        <v>46</v>
      </c>
      <c r="B213" t="s">
        <v>12</v>
      </c>
      <c r="C213" t="s">
        <v>13</v>
      </c>
      <c r="D213" t="s">
        <v>16</v>
      </c>
      <c r="E213" t="s">
        <v>17</v>
      </c>
      <c r="F213">
        <v>242</v>
      </c>
      <c r="G213">
        <v>2</v>
      </c>
      <c r="H213">
        <v>21</v>
      </c>
      <c r="I213">
        <v>223</v>
      </c>
      <c r="J213">
        <v>24</v>
      </c>
      <c r="K213">
        <v>2</v>
      </c>
    </row>
    <row r="214" spans="1:11" x14ac:dyDescent="0.35">
      <c r="A214" t="s">
        <v>46</v>
      </c>
      <c r="B214" t="s">
        <v>12</v>
      </c>
      <c r="C214" t="s">
        <v>13</v>
      </c>
      <c r="D214" t="s">
        <v>18</v>
      </c>
      <c r="E214" t="s">
        <v>19</v>
      </c>
      <c r="F214">
        <v>202</v>
      </c>
      <c r="G214">
        <v>1</v>
      </c>
      <c r="H214">
        <v>39</v>
      </c>
      <c r="I214">
        <v>164</v>
      </c>
      <c r="J214">
        <v>53</v>
      </c>
      <c r="K214">
        <v>2</v>
      </c>
    </row>
    <row r="215" spans="1:11" x14ac:dyDescent="0.35">
      <c r="A215" t="s">
        <v>46</v>
      </c>
      <c r="B215" t="s">
        <v>12</v>
      </c>
      <c r="C215" t="s">
        <v>13</v>
      </c>
      <c r="D215" t="s">
        <v>20</v>
      </c>
      <c r="E215" t="s">
        <v>21</v>
      </c>
      <c r="F215">
        <v>154</v>
      </c>
      <c r="G215">
        <v>4</v>
      </c>
      <c r="H215">
        <v>30</v>
      </c>
      <c r="I215">
        <v>128</v>
      </c>
      <c r="J215">
        <v>45</v>
      </c>
      <c r="K215">
        <v>3</v>
      </c>
    </row>
    <row r="216" spans="1:11" x14ac:dyDescent="0.35">
      <c r="A216" t="s">
        <v>46</v>
      </c>
      <c r="B216" t="s">
        <v>12</v>
      </c>
      <c r="C216" t="s">
        <v>13</v>
      </c>
      <c r="D216" t="s">
        <v>22</v>
      </c>
      <c r="E216" t="s">
        <v>23</v>
      </c>
      <c r="F216">
        <v>143</v>
      </c>
      <c r="G216">
        <v>30</v>
      </c>
      <c r="H216">
        <v>15</v>
      </c>
      <c r="I216">
        <v>158</v>
      </c>
      <c r="J216">
        <v>17</v>
      </c>
      <c r="K216">
        <v>2</v>
      </c>
    </row>
    <row r="217" spans="1:11" x14ac:dyDescent="0.35">
      <c r="A217" t="s">
        <v>46</v>
      </c>
      <c r="B217" t="s">
        <v>12</v>
      </c>
      <c r="C217" t="s">
        <v>24</v>
      </c>
      <c r="D217" t="s">
        <v>30</v>
      </c>
      <c r="E217" t="s">
        <v>15</v>
      </c>
      <c r="F217">
        <v>224</v>
      </c>
      <c r="G217">
        <v>15</v>
      </c>
      <c r="H217">
        <v>23</v>
      </c>
      <c r="I217">
        <v>216</v>
      </c>
      <c r="J217">
        <v>37</v>
      </c>
      <c r="K217">
        <v>3</v>
      </c>
    </row>
    <row r="218" spans="1:11" x14ac:dyDescent="0.35">
      <c r="A218" t="s">
        <v>46</v>
      </c>
      <c r="B218" t="s">
        <v>12</v>
      </c>
      <c r="C218" t="s">
        <v>24</v>
      </c>
      <c r="D218" t="s">
        <v>16</v>
      </c>
      <c r="E218" t="s">
        <v>17</v>
      </c>
      <c r="F218">
        <v>224</v>
      </c>
      <c r="G218">
        <v>4</v>
      </c>
      <c r="H218">
        <v>21</v>
      </c>
      <c r="I218">
        <v>207</v>
      </c>
      <c r="J218">
        <v>25</v>
      </c>
      <c r="K218">
        <v>4</v>
      </c>
    </row>
    <row r="219" spans="1:11" x14ac:dyDescent="0.35">
      <c r="A219" t="s">
        <v>46</v>
      </c>
      <c r="B219" t="s">
        <v>12</v>
      </c>
      <c r="C219" t="s">
        <v>24</v>
      </c>
      <c r="D219" t="s">
        <v>18</v>
      </c>
      <c r="E219" t="s">
        <v>19</v>
      </c>
      <c r="F219">
        <v>143</v>
      </c>
      <c r="G219">
        <v>5</v>
      </c>
      <c r="H219">
        <v>41</v>
      </c>
      <c r="I219">
        <v>107</v>
      </c>
      <c r="J219">
        <v>45</v>
      </c>
      <c r="K219">
        <v>2</v>
      </c>
    </row>
    <row r="220" spans="1:11" x14ac:dyDescent="0.35">
      <c r="A220" t="s">
        <v>46</v>
      </c>
      <c r="B220" t="s">
        <v>12</v>
      </c>
      <c r="C220" t="s">
        <v>24</v>
      </c>
      <c r="D220" t="s">
        <v>20</v>
      </c>
      <c r="E220" t="s">
        <v>21</v>
      </c>
      <c r="F220">
        <v>123</v>
      </c>
      <c r="G220">
        <v>32</v>
      </c>
      <c r="H220">
        <v>27</v>
      </c>
      <c r="I220">
        <v>128</v>
      </c>
      <c r="J220">
        <v>28</v>
      </c>
      <c r="K220">
        <v>4</v>
      </c>
    </row>
    <row r="221" spans="1:11" x14ac:dyDescent="0.35">
      <c r="A221" t="s">
        <v>46</v>
      </c>
      <c r="B221" t="s">
        <v>12</v>
      </c>
      <c r="C221" t="s">
        <v>24</v>
      </c>
      <c r="D221" t="s">
        <v>22</v>
      </c>
      <c r="E221" t="s">
        <v>23</v>
      </c>
      <c r="F221">
        <v>251</v>
      </c>
      <c r="G221">
        <v>25</v>
      </c>
      <c r="H221">
        <v>18</v>
      </c>
      <c r="I221">
        <v>258</v>
      </c>
      <c r="J221">
        <v>33</v>
      </c>
      <c r="K221">
        <v>5</v>
      </c>
    </row>
    <row r="222" spans="1:11" x14ac:dyDescent="0.35">
      <c r="A222" t="s">
        <v>46</v>
      </c>
      <c r="B222" t="s">
        <v>12</v>
      </c>
      <c r="C222" t="s">
        <v>25</v>
      </c>
      <c r="D222" t="s">
        <v>14</v>
      </c>
      <c r="E222" t="s">
        <v>15</v>
      </c>
      <c r="F222">
        <v>139</v>
      </c>
      <c r="G222">
        <v>46</v>
      </c>
      <c r="H222">
        <v>13</v>
      </c>
      <c r="I222">
        <v>172</v>
      </c>
      <c r="J222">
        <v>26</v>
      </c>
      <c r="K222">
        <v>4</v>
      </c>
    </row>
    <row r="223" spans="1:11" x14ac:dyDescent="0.35">
      <c r="A223" t="s">
        <v>46</v>
      </c>
      <c r="B223" t="s">
        <v>12</v>
      </c>
      <c r="C223" t="s">
        <v>25</v>
      </c>
      <c r="D223" t="s">
        <v>16</v>
      </c>
      <c r="E223" t="s">
        <v>17</v>
      </c>
      <c r="F223">
        <v>167</v>
      </c>
      <c r="G223">
        <v>17</v>
      </c>
      <c r="H223">
        <v>32</v>
      </c>
      <c r="I223">
        <v>152</v>
      </c>
      <c r="J223">
        <v>44</v>
      </c>
      <c r="K223">
        <v>5</v>
      </c>
    </row>
    <row r="224" spans="1:11" x14ac:dyDescent="0.35">
      <c r="A224" t="s">
        <v>46</v>
      </c>
      <c r="B224" t="s">
        <v>12</v>
      </c>
      <c r="C224" t="s">
        <v>25</v>
      </c>
      <c r="D224" t="s">
        <v>18</v>
      </c>
      <c r="E224" t="s">
        <v>19</v>
      </c>
      <c r="F224">
        <v>137</v>
      </c>
      <c r="G224">
        <v>31</v>
      </c>
      <c r="H224">
        <v>22</v>
      </c>
      <c r="I224">
        <v>146</v>
      </c>
      <c r="J224">
        <v>33</v>
      </c>
      <c r="K224">
        <v>5</v>
      </c>
    </row>
    <row r="225" spans="1:11" x14ac:dyDescent="0.35">
      <c r="A225" t="s">
        <v>46</v>
      </c>
      <c r="B225" t="s">
        <v>12</v>
      </c>
      <c r="C225" t="s">
        <v>25</v>
      </c>
      <c r="D225" t="s">
        <v>20</v>
      </c>
      <c r="E225" t="s">
        <v>21</v>
      </c>
      <c r="F225">
        <v>192</v>
      </c>
      <c r="G225">
        <v>24</v>
      </c>
      <c r="H225">
        <v>48</v>
      </c>
      <c r="I225">
        <v>168</v>
      </c>
      <c r="J225">
        <v>52</v>
      </c>
      <c r="K225">
        <v>1</v>
      </c>
    </row>
    <row r="226" spans="1:11" x14ac:dyDescent="0.35">
      <c r="A226" t="s">
        <v>46</v>
      </c>
      <c r="B226" t="s">
        <v>12</v>
      </c>
      <c r="C226" t="s">
        <v>25</v>
      </c>
      <c r="D226" t="s">
        <v>22</v>
      </c>
      <c r="E226" t="s">
        <v>23</v>
      </c>
      <c r="F226">
        <v>279</v>
      </c>
      <c r="G226">
        <v>21</v>
      </c>
      <c r="H226">
        <v>5</v>
      </c>
      <c r="I226">
        <v>295</v>
      </c>
      <c r="J226">
        <v>6</v>
      </c>
      <c r="K226">
        <v>2</v>
      </c>
    </row>
    <row r="227" spans="1:11" x14ac:dyDescent="0.35">
      <c r="A227" t="s">
        <v>46</v>
      </c>
      <c r="B227" t="s">
        <v>26</v>
      </c>
      <c r="C227" t="s">
        <v>27</v>
      </c>
      <c r="D227" t="s">
        <v>14</v>
      </c>
      <c r="E227" t="s">
        <v>15</v>
      </c>
      <c r="F227">
        <v>249</v>
      </c>
      <c r="G227">
        <v>17</v>
      </c>
      <c r="H227">
        <v>23</v>
      </c>
      <c r="I227">
        <v>243</v>
      </c>
      <c r="J227">
        <v>30</v>
      </c>
      <c r="K227">
        <v>2</v>
      </c>
    </row>
    <row r="228" spans="1:11" x14ac:dyDescent="0.35">
      <c r="A228" t="s">
        <v>46</v>
      </c>
      <c r="B228" t="s">
        <v>26</v>
      </c>
      <c r="C228" t="s">
        <v>27</v>
      </c>
      <c r="D228" t="s">
        <v>16</v>
      </c>
      <c r="E228" t="s">
        <v>17</v>
      </c>
      <c r="F228">
        <v>120</v>
      </c>
      <c r="G228">
        <v>46</v>
      </c>
      <c r="H228">
        <v>15</v>
      </c>
      <c r="I228">
        <v>151</v>
      </c>
      <c r="J228">
        <v>25</v>
      </c>
      <c r="K228">
        <v>5</v>
      </c>
    </row>
    <row r="229" spans="1:11" x14ac:dyDescent="0.35">
      <c r="A229" t="s">
        <v>46</v>
      </c>
      <c r="B229" t="s">
        <v>26</v>
      </c>
      <c r="C229" t="s">
        <v>27</v>
      </c>
      <c r="D229" t="s">
        <v>18</v>
      </c>
      <c r="E229" t="s">
        <v>19</v>
      </c>
      <c r="F229">
        <v>224</v>
      </c>
      <c r="G229">
        <v>3</v>
      </c>
      <c r="H229">
        <v>49</v>
      </c>
      <c r="I229">
        <v>178</v>
      </c>
      <c r="J229">
        <v>53</v>
      </c>
      <c r="K229">
        <v>1</v>
      </c>
    </row>
    <row r="230" spans="1:11" x14ac:dyDescent="0.35">
      <c r="A230" t="s">
        <v>46</v>
      </c>
      <c r="B230" t="s">
        <v>26</v>
      </c>
      <c r="C230" t="s">
        <v>27</v>
      </c>
      <c r="D230" t="s">
        <v>20</v>
      </c>
      <c r="E230" t="s">
        <v>21</v>
      </c>
      <c r="F230">
        <v>239</v>
      </c>
      <c r="G230">
        <v>27</v>
      </c>
      <c r="H230">
        <v>34</v>
      </c>
      <c r="I230">
        <v>232</v>
      </c>
      <c r="J230">
        <v>34</v>
      </c>
      <c r="K230">
        <v>3</v>
      </c>
    </row>
    <row r="231" spans="1:11" x14ac:dyDescent="0.35">
      <c r="A231" t="s">
        <v>46</v>
      </c>
      <c r="B231" t="s">
        <v>26</v>
      </c>
      <c r="C231" t="s">
        <v>27</v>
      </c>
      <c r="D231" t="s">
        <v>22</v>
      </c>
      <c r="E231" t="s">
        <v>23</v>
      </c>
      <c r="F231">
        <v>182</v>
      </c>
      <c r="G231">
        <v>34</v>
      </c>
      <c r="H231">
        <v>6</v>
      </c>
      <c r="I231">
        <v>210</v>
      </c>
      <c r="J231">
        <v>13</v>
      </c>
      <c r="K231">
        <v>3</v>
      </c>
    </row>
    <row r="232" spans="1:11" x14ac:dyDescent="0.35">
      <c r="A232" t="s">
        <v>46</v>
      </c>
      <c r="B232" t="s">
        <v>28</v>
      </c>
      <c r="C232" t="s">
        <v>29</v>
      </c>
      <c r="D232" t="s">
        <v>14</v>
      </c>
      <c r="E232" t="s">
        <v>15</v>
      </c>
      <c r="F232">
        <v>230</v>
      </c>
      <c r="G232">
        <v>25</v>
      </c>
      <c r="H232" t="s">
        <v>43</v>
      </c>
      <c r="I232">
        <v>232</v>
      </c>
      <c r="J232">
        <v>27</v>
      </c>
      <c r="K232">
        <v>5</v>
      </c>
    </row>
    <row r="233" spans="1:11" x14ac:dyDescent="0.35">
      <c r="A233" t="s">
        <v>46</v>
      </c>
      <c r="B233" t="s">
        <v>28</v>
      </c>
      <c r="C233" t="s">
        <v>29</v>
      </c>
      <c r="D233" t="s">
        <v>16</v>
      </c>
      <c r="E233" t="s">
        <v>17</v>
      </c>
      <c r="F233">
        <v>118</v>
      </c>
      <c r="G233">
        <v>45</v>
      </c>
      <c r="H233">
        <v>12</v>
      </c>
      <c r="I233">
        <v>151</v>
      </c>
      <c r="J233">
        <v>25</v>
      </c>
      <c r="K233">
        <v>2</v>
      </c>
    </row>
    <row r="234" spans="1:11" x14ac:dyDescent="0.35">
      <c r="A234" t="s">
        <v>46</v>
      </c>
      <c r="B234" t="s">
        <v>28</v>
      </c>
      <c r="C234" t="s">
        <v>29</v>
      </c>
      <c r="D234" t="s">
        <v>18</v>
      </c>
      <c r="E234" t="s">
        <v>19</v>
      </c>
      <c r="F234">
        <v>107</v>
      </c>
      <c r="G234">
        <v>33</v>
      </c>
      <c r="H234">
        <v>30</v>
      </c>
      <c r="I234">
        <v>110</v>
      </c>
      <c r="J234">
        <v>36</v>
      </c>
      <c r="K234">
        <v>1</v>
      </c>
    </row>
    <row r="235" spans="1:11" x14ac:dyDescent="0.35">
      <c r="A235" t="s">
        <v>46</v>
      </c>
      <c r="B235" t="s">
        <v>28</v>
      </c>
      <c r="C235" t="s">
        <v>29</v>
      </c>
      <c r="D235" t="s">
        <v>20</v>
      </c>
      <c r="E235" t="s">
        <v>21</v>
      </c>
      <c r="F235">
        <v>209</v>
      </c>
      <c r="G235">
        <v>17</v>
      </c>
      <c r="H235">
        <v>35</v>
      </c>
      <c r="I235">
        <v>191</v>
      </c>
      <c r="J235">
        <v>39</v>
      </c>
      <c r="K235">
        <v>1</v>
      </c>
    </row>
    <row r="236" spans="1:11" x14ac:dyDescent="0.35">
      <c r="A236" t="s">
        <v>46</v>
      </c>
      <c r="B236" t="s">
        <v>28</v>
      </c>
      <c r="C236" t="s">
        <v>29</v>
      </c>
      <c r="D236" t="s">
        <v>22</v>
      </c>
      <c r="E236" t="s">
        <v>23</v>
      </c>
      <c r="F236">
        <v>293</v>
      </c>
      <c r="G236">
        <v>50</v>
      </c>
      <c r="H236">
        <v>14</v>
      </c>
      <c r="I236">
        <v>329</v>
      </c>
      <c r="K236">
        <v>3</v>
      </c>
    </row>
    <row r="237" spans="1:11" x14ac:dyDescent="0.35">
      <c r="A237" t="s">
        <v>46</v>
      </c>
      <c r="B237" t="s">
        <v>31</v>
      </c>
      <c r="C237" t="s">
        <v>32</v>
      </c>
      <c r="D237" t="s">
        <v>14</v>
      </c>
      <c r="E237" t="s">
        <v>15</v>
      </c>
      <c r="F237">
        <v>191</v>
      </c>
      <c r="G237">
        <v>30</v>
      </c>
      <c r="H237">
        <v>23</v>
      </c>
      <c r="I237">
        <v>198</v>
      </c>
      <c r="J237">
        <v>36</v>
      </c>
      <c r="K237">
        <v>5</v>
      </c>
    </row>
    <row r="238" spans="1:11" x14ac:dyDescent="0.35">
      <c r="A238" t="s">
        <v>46</v>
      </c>
      <c r="B238" t="s">
        <v>31</v>
      </c>
      <c r="C238" t="s">
        <v>32</v>
      </c>
      <c r="D238" t="s">
        <v>16</v>
      </c>
      <c r="E238" t="s">
        <v>17</v>
      </c>
      <c r="F238">
        <v>243</v>
      </c>
      <c r="G238">
        <v>24</v>
      </c>
      <c r="H238">
        <v>27</v>
      </c>
      <c r="I238">
        <v>240</v>
      </c>
      <c r="J238">
        <v>33</v>
      </c>
      <c r="K238">
        <v>4</v>
      </c>
    </row>
    <row r="239" spans="1:11" x14ac:dyDescent="0.35">
      <c r="A239" t="s">
        <v>46</v>
      </c>
      <c r="B239" t="s">
        <v>31</v>
      </c>
      <c r="C239" t="s">
        <v>32</v>
      </c>
      <c r="D239" t="s">
        <v>18</v>
      </c>
      <c r="E239" t="s">
        <v>19</v>
      </c>
      <c r="F239">
        <v>113</v>
      </c>
      <c r="G239">
        <v>28</v>
      </c>
      <c r="H239">
        <v>16</v>
      </c>
      <c r="I239">
        <v>125</v>
      </c>
      <c r="J239">
        <v>27</v>
      </c>
      <c r="K239">
        <v>5</v>
      </c>
    </row>
    <row r="240" spans="1:11" x14ac:dyDescent="0.35">
      <c r="A240" t="s">
        <v>46</v>
      </c>
      <c r="B240" t="s">
        <v>31</v>
      </c>
      <c r="C240" t="s">
        <v>32</v>
      </c>
      <c r="D240" t="s">
        <v>20</v>
      </c>
      <c r="E240" t="s">
        <v>21</v>
      </c>
      <c r="F240">
        <v>165</v>
      </c>
      <c r="G240">
        <v>12</v>
      </c>
      <c r="H240">
        <v>22</v>
      </c>
      <c r="I240">
        <v>155</v>
      </c>
      <c r="J240">
        <v>26</v>
      </c>
      <c r="K240">
        <v>3</v>
      </c>
    </row>
    <row r="241" spans="1:11" x14ac:dyDescent="0.35">
      <c r="A241" t="s">
        <v>46</v>
      </c>
      <c r="B241" t="s">
        <v>31</v>
      </c>
      <c r="C241" t="s">
        <v>32</v>
      </c>
      <c r="D241" t="s">
        <v>22</v>
      </c>
      <c r="E241" t="s">
        <v>23</v>
      </c>
      <c r="F241">
        <v>331</v>
      </c>
      <c r="G241">
        <v>7</v>
      </c>
      <c r="H241">
        <v>11</v>
      </c>
      <c r="I241">
        <v>327</v>
      </c>
      <c r="J241">
        <v>20</v>
      </c>
      <c r="K241">
        <v>5</v>
      </c>
    </row>
    <row r="242" spans="1:11" x14ac:dyDescent="0.35">
      <c r="A242" t="s">
        <v>46</v>
      </c>
      <c r="B242" t="s">
        <v>33</v>
      </c>
      <c r="C242" t="s">
        <v>34</v>
      </c>
      <c r="D242" t="s">
        <v>14</v>
      </c>
      <c r="E242" t="s">
        <v>15</v>
      </c>
      <c r="F242">
        <v>153</v>
      </c>
      <c r="G242">
        <v>1</v>
      </c>
      <c r="H242">
        <v>29</v>
      </c>
      <c r="I242">
        <v>125</v>
      </c>
      <c r="J242">
        <v>43</v>
      </c>
      <c r="K242">
        <v>2</v>
      </c>
    </row>
    <row r="243" spans="1:11" x14ac:dyDescent="0.35">
      <c r="A243" t="s">
        <v>46</v>
      </c>
      <c r="B243" t="s">
        <v>33</v>
      </c>
      <c r="C243" t="s">
        <v>36</v>
      </c>
      <c r="D243" t="s">
        <v>16</v>
      </c>
      <c r="E243" t="s">
        <v>17</v>
      </c>
      <c r="F243">
        <v>145</v>
      </c>
      <c r="G243">
        <v>49</v>
      </c>
      <c r="H243">
        <v>26</v>
      </c>
      <c r="I243">
        <v>168</v>
      </c>
      <c r="J243">
        <v>31</v>
      </c>
      <c r="K243">
        <v>5</v>
      </c>
    </row>
    <row r="244" spans="1:11" x14ac:dyDescent="0.35">
      <c r="A244" t="s">
        <v>46</v>
      </c>
      <c r="B244" t="s">
        <v>33</v>
      </c>
      <c r="C244" t="s">
        <v>34</v>
      </c>
      <c r="D244" t="s">
        <v>18</v>
      </c>
      <c r="E244" t="s">
        <v>19</v>
      </c>
      <c r="F244">
        <v>94</v>
      </c>
      <c r="G244">
        <v>55</v>
      </c>
      <c r="H244">
        <v>44</v>
      </c>
      <c r="I244">
        <v>105</v>
      </c>
      <c r="J244">
        <v>44</v>
      </c>
      <c r="K244">
        <v>3</v>
      </c>
    </row>
    <row r="245" spans="1:11" x14ac:dyDescent="0.35">
      <c r="A245" t="s">
        <v>46</v>
      </c>
      <c r="B245" t="s">
        <v>33</v>
      </c>
      <c r="C245" t="s">
        <v>34</v>
      </c>
      <c r="D245" t="s">
        <v>20</v>
      </c>
      <c r="E245" t="s">
        <v>21</v>
      </c>
      <c r="F245">
        <v>279</v>
      </c>
      <c r="G245">
        <v>7</v>
      </c>
      <c r="H245">
        <v>41</v>
      </c>
      <c r="I245">
        <v>245</v>
      </c>
      <c r="J245">
        <v>55</v>
      </c>
      <c r="K245">
        <v>5</v>
      </c>
    </row>
    <row r="246" spans="1:11" x14ac:dyDescent="0.35">
      <c r="A246" t="s">
        <v>46</v>
      </c>
      <c r="B246" t="s">
        <v>33</v>
      </c>
      <c r="C246" t="s">
        <v>34</v>
      </c>
      <c r="D246" t="s">
        <v>22</v>
      </c>
      <c r="E246" t="s">
        <v>23</v>
      </c>
      <c r="F246">
        <v>278</v>
      </c>
      <c r="G246">
        <v>8</v>
      </c>
      <c r="H246">
        <v>6</v>
      </c>
      <c r="I246">
        <v>280</v>
      </c>
      <c r="J246">
        <v>13</v>
      </c>
      <c r="K246">
        <v>4</v>
      </c>
    </row>
    <row r="247" spans="1:11" x14ac:dyDescent="0.35">
      <c r="A247" t="s">
        <v>47</v>
      </c>
      <c r="B247" t="s">
        <v>12</v>
      </c>
      <c r="C247" t="s">
        <v>13</v>
      </c>
      <c r="D247" t="s">
        <v>14</v>
      </c>
      <c r="E247" t="s">
        <v>15</v>
      </c>
      <c r="F247">
        <v>298</v>
      </c>
      <c r="G247">
        <v>51</v>
      </c>
      <c r="H247">
        <v>23</v>
      </c>
      <c r="I247">
        <v>326</v>
      </c>
      <c r="J247">
        <v>25</v>
      </c>
      <c r="K247">
        <v>3</v>
      </c>
    </row>
    <row r="248" spans="1:11" x14ac:dyDescent="0.35">
      <c r="A248" t="s">
        <v>47</v>
      </c>
      <c r="B248" t="s">
        <v>12</v>
      </c>
      <c r="C248" t="s">
        <v>13</v>
      </c>
      <c r="D248" t="s">
        <v>16</v>
      </c>
      <c r="E248" t="s">
        <v>17</v>
      </c>
      <c r="F248">
        <v>223</v>
      </c>
      <c r="G248">
        <v>24</v>
      </c>
      <c r="H248">
        <v>29</v>
      </c>
      <c r="I248">
        <v>218</v>
      </c>
      <c r="J248">
        <v>33</v>
      </c>
      <c r="K248">
        <v>5</v>
      </c>
    </row>
    <row r="249" spans="1:11" x14ac:dyDescent="0.35">
      <c r="A249" t="s">
        <v>47</v>
      </c>
      <c r="B249" t="s">
        <v>12</v>
      </c>
      <c r="C249" t="s">
        <v>13</v>
      </c>
      <c r="D249" t="s">
        <v>18</v>
      </c>
      <c r="E249" t="s">
        <v>19</v>
      </c>
      <c r="F249">
        <v>164</v>
      </c>
      <c r="G249">
        <v>0</v>
      </c>
      <c r="H249">
        <v>39</v>
      </c>
      <c r="I249">
        <v>125</v>
      </c>
      <c r="J249">
        <v>43</v>
      </c>
      <c r="K249">
        <v>4</v>
      </c>
    </row>
    <row r="250" spans="1:11" x14ac:dyDescent="0.35">
      <c r="A250" t="s">
        <v>47</v>
      </c>
      <c r="B250" t="s">
        <v>12</v>
      </c>
      <c r="C250" t="s">
        <v>13</v>
      </c>
      <c r="D250" t="s">
        <v>20</v>
      </c>
      <c r="E250" t="s">
        <v>21</v>
      </c>
      <c r="F250">
        <v>128</v>
      </c>
      <c r="G250">
        <v>48</v>
      </c>
      <c r="H250">
        <v>35</v>
      </c>
      <c r="I250">
        <v>141</v>
      </c>
      <c r="J250">
        <v>43</v>
      </c>
      <c r="K250">
        <v>5</v>
      </c>
    </row>
    <row r="251" spans="1:11" x14ac:dyDescent="0.35">
      <c r="A251" t="s">
        <v>47</v>
      </c>
      <c r="B251" t="s">
        <v>12</v>
      </c>
      <c r="C251" t="s">
        <v>13</v>
      </c>
      <c r="D251" t="s">
        <v>22</v>
      </c>
      <c r="E251" t="s">
        <v>23</v>
      </c>
      <c r="F251">
        <v>158</v>
      </c>
      <c r="G251">
        <v>14</v>
      </c>
      <c r="H251">
        <v>8</v>
      </c>
      <c r="I251">
        <v>164</v>
      </c>
      <c r="J251">
        <v>20</v>
      </c>
      <c r="K251">
        <v>5</v>
      </c>
    </row>
    <row r="252" spans="1:11" x14ac:dyDescent="0.35">
      <c r="A252" t="s">
        <v>47</v>
      </c>
      <c r="B252" t="s">
        <v>12</v>
      </c>
      <c r="C252" t="s">
        <v>24</v>
      </c>
      <c r="D252" t="s">
        <v>14</v>
      </c>
      <c r="E252" t="s">
        <v>15</v>
      </c>
      <c r="F252">
        <v>216</v>
      </c>
      <c r="G252">
        <v>21</v>
      </c>
      <c r="H252">
        <v>28</v>
      </c>
      <c r="I252">
        <v>209</v>
      </c>
      <c r="J252">
        <v>34</v>
      </c>
      <c r="K252">
        <v>5</v>
      </c>
    </row>
    <row r="253" spans="1:11" x14ac:dyDescent="0.35">
      <c r="A253" t="s">
        <v>47</v>
      </c>
      <c r="B253" t="s">
        <v>12</v>
      </c>
      <c r="C253" t="s">
        <v>24</v>
      </c>
      <c r="D253" t="s">
        <v>16</v>
      </c>
      <c r="E253" t="s">
        <v>17</v>
      </c>
      <c r="F253">
        <v>207</v>
      </c>
      <c r="G253">
        <v>17</v>
      </c>
      <c r="H253">
        <v>26</v>
      </c>
      <c r="I253">
        <v>198</v>
      </c>
      <c r="J253">
        <v>36</v>
      </c>
      <c r="K253">
        <v>4</v>
      </c>
    </row>
    <row r="254" spans="1:11" x14ac:dyDescent="0.35">
      <c r="A254" t="s">
        <v>47</v>
      </c>
      <c r="B254" t="s">
        <v>12</v>
      </c>
      <c r="C254" t="s">
        <v>24</v>
      </c>
      <c r="D254" t="s">
        <v>18</v>
      </c>
      <c r="E254" t="s">
        <v>19</v>
      </c>
      <c r="F254">
        <v>107</v>
      </c>
      <c r="G254">
        <v>35</v>
      </c>
      <c r="H254">
        <v>45</v>
      </c>
      <c r="I254">
        <v>97</v>
      </c>
      <c r="J254">
        <v>55</v>
      </c>
      <c r="K254">
        <v>3</v>
      </c>
    </row>
    <row r="255" spans="1:11" x14ac:dyDescent="0.35">
      <c r="A255" t="s">
        <v>47</v>
      </c>
      <c r="B255" t="s">
        <v>12</v>
      </c>
      <c r="C255" t="s">
        <v>24</v>
      </c>
      <c r="D255" t="s">
        <v>20</v>
      </c>
      <c r="E255" t="s">
        <v>21</v>
      </c>
      <c r="F255">
        <v>128</v>
      </c>
      <c r="G255">
        <v>55</v>
      </c>
      <c r="H255">
        <v>41</v>
      </c>
      <c r="I255">
        <v>142</v>
      </c>
      <c r="J255">
        <v>55</v>
      </c>
      <c r="K255">
        <v>3</v>
      </c>
    </row>
    <row r="256" spans="1:11" x14ac:dyDescent="0.35">
      <c r="A256" t="s">
        <v>47</v>
      </c>
      <c r="B256" t="s">
        <v>12</v>
      </c>
      <c r="C256" t="s">
        <v>24</v>
      </c>
      <c r="D256" t="s">
        <v>22</v>
      </c>
      <c r="E256" t="s">
        <v>23</v>
      </c>
      <c r="F256">
        <v>258</v>
      </c>
      <c r="G256">
        <v>24</v>
      </c>
      <c r="H256">
        <v>15</v>
      </c>
      <c r="I256">
        <v>267</v>
      </c>
      <c r="J256">
        <v>15</v>
      </c>
      <c r="K256">
        <v>3</v>
      </c>
    </row>
    <row r="257" spans="1:11" x14ac:dyDescent="0.35">
      <c r="A257" t="s">
        <v>47</v>
      </c>
      <c r="B257" t="s">
        <v>12</v>
      </c>
      <c r="C257" t="s">
        <v>25</v>
      </c>
      <c r="D257" t="s">
        <v>14</v>
      </c>
      <c r="E257" t="s">
        <v>15</v>
      </c>
      <c r="F257">
        <v>172</v>
      </c>
      <c r="G257">
        <v>33</v>
      </c>
      <c r="H257">
        <v>16</v>
      </c>
      <c r="I257">
        <v>189</v>
      </c>
      <c r="J257">
        <v>21</v>
      </c>
      <c r="K257">
        <v>4</v>
      </c>
    </row>
    <row r="258" spans="1:11" x14ac:dyDescent="0.35">
      <c r="A258" t="s">
        <v>47</v>
      </c>
      <c r="B258" t="s">
        <v>12</v>
      </c>
      <c r="C258" t="s">
        <v>25</v>
      </c>
      <c r="D258" t="s">
        <v>16</v>
      </c>
      <c r="E258" t="s">
        <v>17</v>
      </c>
      <c r="F258">
        <v>152</v>
      </c>
      <c r="G258">
        <v>45</v>
      </c>
      <c r="H258">
        <v>35</v>
      </c>
      <c r="I258">
        <v>162</v>
      </c>
      <c r="J258">
        <v>36</v>
      </c>
      <c r="K258">
        <v>2</v>
      </c>
    </row>
    <row r="259" spans="1:11" x14ac:dyDescent="0.35">
      <c r="A259" t="s">
        <v>47</v>
      </c>
      <c r="B259" t="s">
        <v>12</v>
      </c>
      <c r="C259" t="s">
        <v>25</v>
      </c>
      <c r="D259" t="s">
        <v>18</v>
      </c>
      <c r="E259" t="s">
        <v>19</v>
      </c>
      <c r="F259">
        <v>146</v>
      </c>
      <c r="G259">
        <v>58</v>
      </c>
      <c r="H259">
        <v>40</v>
      </c>
      <c r="I259">
        <v>164</v>
      </c>
      <c r="J259">
        <v>53</v>
      </c>
      <c r="K259">
        <v>1</v>
      </c>
    </row>
    <row r="260" spans="1:11" x14ac:dyDescent="0.35">
      <c r="A260" t="s">
        <v>47</v>
      </c>
      <c r="B260" t="s">
        <v>12</v>
      </c>
      <c r="C260" t="s">
        <v>25</v>
      </c>
      <c r="D260" t="s">
        <v>20</v>
      </c>
      <c r="E260" t="s">
        <v>21</v>
      </c>
      <c r="F260">
        <v>168</v>
      </c>
      <c r="G260">
        <v>5</v>
      </c>
      <c r="H260">
        <v>28</v>
      </c>
      <c r="I260">
        <v>145</v>
      </c>
      <c r="J260">
        <v>37</v>
      </c>
      <c r="K260">
        <v>5</v>
      </c>
    </row>
    <row r="261" spans="1:11" x14ac:dyDescent="0.35">
      <c r="A261" t="s">
        <v>47</v>
      </c>
      <c r="B261" t="s">
        <v>12</v>
      </c>
      <c r="C261" t="s">
        <v>25</v>
      </c>
      <c r="D261" t="s">
        <v>22</v>
      </c>
      <c r="E261" t="s">
        <v>23</v>
      </c>
      <c r="F261">
        <v>295</v>
      </c>
      <c r="G261">
        <v>14</v>
      </c>
      <c r="H261">
        <v>17</v>
      </c>
      <c r="I261">
        <v>292</v>
      </c>
      <c r="J261">
        <v>28</v>
      </c>
      <c r="K261">
        <v>2</v>
      </c>
    </row>
    <row r="262" spans="1:11" x14ac:dyDescent="0.35">
      <c r="A262" t="s">
        <v>47</v>
      </c>
      <c r="B262" t="s">
        <v>26</v>
      </c>
      <c r="C262" t="s">
        <v>27</v>
      </c>
      <c r="D262" t="s">
        <v>14</v>
      </c>
      <c r="E262" t="s">
        <v>15</v>
      </c>
      <c r="F262">
        <v>243</v>
      </c>
      <c r="G262">
        <v>34</v>
      </c>
      <c r="H262">
        <v>31</v>
      </c>
      <c r="I262">
        <v>246</v>
      </c>
      <c r="J262">
        <v>32</v>
      </c>
      <c r="K262">
        <v>1</v>
      </c>
    </row>
    <row r="263" spans="1:11" x14ac:dyDescent="0.35">
      <c r="A263" t="s">
        <v>47</v>
      </c>
      <c r="B263" t="s">
        <v>26</v>
      </c>
      <c r="C263" t="s">
        <v>27</v>
      </c>
      <c r="D263" t="s">
        <v>16</v>
      </c>
      <c r="E263" t="s">
        <v>17</v>
      </c>
      <c r="F263">
        <v>151</v>
      </c>
      <c r="G263">
        <v>38</v>
      </c>
      <c r="H263">
        <v>32</v>
      </c>
      <c r="I263">
        <v>157</v>
      </c>
      <c r="J263">
        <v>35</v>
      </c>
      <c r="K263">
        <v>2</v>
      </c>
    </row>
    <row r="264" spans="1:11" x14ac:dyDescent="0.35">
      <c r="A264" t="s">
        <v>47</v>
      </c>
      <c r="B264" t="s">
        <v>26</v>
      </c>
      <c r="C264" t="s">
        <v>27</v>
      </c>
      <c r="D264" t="s">
        <v>18</v>
      </c>
      <c r="E264" t="s">
        <v>19</v>
      </c>
      <c r="F264">
        <v>178</v>
      </c>
      <c r="G264">
        <v>50</v>
      </c>
      <c r="H264">
        <v>44</v>
      </c>
      <c r="I264">
        <v>184</v>
      </c>
      <c r="J264">
        <v>50</v>
      </c>
      <c r="K264">
        <v>3</v>
      </c>
    </row>
    <row r="265" spans="1:11" x14ac:dyDescent="0.35">
      <c r="A265" t="s">
        <v>47</v>
      </c>
      <c r="B265" t="s">
        <v>26</v>
      </c>
      <c r="C265" t="s">
        <v>27</v>
      </c>
      <c r="D265" t="s">
        <v>20</v>
      </c>
      <c r="E265" t="s">
        <v>21</v>
      </c>
      <c r="F265">
        <v>232</v>
      </c>
      <c r="G265">
        <v>34</v>
      </c>
      <c r="H265">
        <v>29</v>
      </c>
      <c r="I265">
        <v>237</v>
      </c>
      <c r="J265">
        <v>33</v>
      </c>
      <c r="K265">
        <v>4</v>
      </c>
    </row>
    <row r="266" spans="1:11" x14ac:dyDescent="0.35">
      <c r="A266" t="s">
        <v>47</v>
      </c>
      <c r="B266" t="s">
        <v>26</v>
      </c>
      <c r="C266" t="s">
        <v>27</v>
      </c>
      <c r="D266" t="s">
        <v>22</v>
      </c>
      <c r="E266" t="s">
        <v>23</v>
      </c>
      <c r="F266">
        <v>210</v>
      </c>
      <c r="G266">
        <v>3</v>
      </c>
      <c r="H266">
        <v>13</v>
      </c>
      <c r="I266">
        <v>200</v>
      </c>
      <c r="J266">
        <v>26</v>
      </c>
      <c r="K266">
        <v>1</v>
      </c>
    </row>
    <row r="267" spans="1:11" x14ac:dyDescent="0.35">
      <c r="A267" t="s">
        <v>47</v>
      </c>
      <c r="B267" t="s">
        <v>28</v>
      </c>
      <c r="C267" t="s">
        <v>29</v>
      </c>
      <c r="D267" t="s">
        <v>14</v>
      </c>
      <c r="E267" t="s">
        <v>15</v>
      </c>
      <c r="F267">
        <v>232</v>
      </c>
      <c r="G267">
        <v>31</v>
      </c>
      <c r="H267">
        <v>34</v>
      </c>
      <c r="I267">
        <v>229</v>
      </c>
      <c r="J267">
        <v>48</v>
      </c>
      <c r="K267">
        <v>2</v>
      </c>
    </row>
    <row r="268" spans="1:11" x14ac:dyDescent="0.35">
      <c r="A268" t="s">
        <v>47</v>
      </c>
      <c r="B268" t="s">
        <v>28</v>
      </c>
      <c r="C268" t="s">
        <v>29</v>
      </c>
      <c r="D268" t="s">
        <v>16</v>
      </c>
      <c r="E268" t="s">
        <v>17</v>
      </c>
      <c r="F268">
        <v>151</v>
      </c>
      <c r="G268">
        <v>58</v>
      </c>
      <c r="H268">
        <v>22</v>
      </c>
      <c r="I268">
        <v>187</v>
      </c>
      <c r="J268">
        <v>30</v>
      </c>
      <c r="K268">
        <v>3</v>
      </c>
    </row>
    <row r="269" spans="1:11" x14ac:dyDescent="0.35">
      <c r="A269" t="s">
        <v>47</v>
      </c>
      <c r="B269" t="s">
        <v>28</v>
      </c>
      <c r="C269" t="s">
        <v>29</v>
      </c>
      <c r="D269" t="s">
        <v>18</v>
      </c>
      <c r="E269" t="s">
        <v>19</v>
      </c>
      <c r="F269">
        <v>110</v>
      </c>
      <c r="G269">
        <v>43</v>
      </c>
      <c r="H269">
        <v>30</v>
      </c>
      <c r="I269">
        <v>123</v>
      </c>
      <c r="J269">
        <v>42</v>
      </c>
      <c r="K269">
        <v>5</v>
      </c>
    </row>
    <row r="270" spans="1:11" x14ac:dyDescent="0.35">
      <c r="A270" t="s">
        <v>47</v>
      </c>
      <c r="B270" t="s">
        <v>28</v>
      </c>
      <c r="C270" t="s">
        <v>29</v>
      </c>
      <c r="D270" t="s">
        <v>20</v>
      </c>
      <c r="E270" t="s">
        <v>21</v>
      </c>
      <c r="F270">
        <v>191</v>
      </c>
      <c r="G270">
        <v>7</v>
      </c>
      <c r="H270">
        <v>36</v>
      </c>
      <c r="I270">
        <v>162</v>
      </c>
      <c r="J270">
        <v>39</v>
      </c>
      <c r="K270">
        <v>1</v>
      </c>
    </row>
    <row r="271" spans="1:11" x14ac:dyDescent="0.35">
      <c r="A271" t="s">
        <v>47</v>
      </c>
      <c r="B271" t="s">
        <v>28</v>
      </c>
      <c r="C271" t="s">
        <v>29</v>
      </c>
      <c r="D271" t="s">
        <v>22</v>
      </c>
      <c r="E271" t="s">
        <v>23</v>
      </c>
      <c r="F271">
        <v>329</v>
      </c>
      <c r="G271">
        <v>8</v>
      </c>
      <c r="H271">
        <v>17</v>
      </c>
      <c r="I271">
        <v>320</v>
      </c>
      <c r="J271">
        <v>31</v>
      </c>
      <c r="K271">
        <v>3</v>
      </c>
    </row>
    <row r="272" spans="1:11" x14ac:dyDescent="0.35">
      <c r="A272" t="s">
        <v>47</v>
      </c>
      <c r="B272" t="s">
        <v>31</v>
      </c>
      <c r="C272" t="s">
        <v>32</v>
      </c>
      <c r="D272" t="s">
        <v>14</v>
      </c>
      <c r="E272" t="s">
        <v>15</v>
      </c>
      <c r="F272">
        <v>198</v>
      </c>
      <c r="G272">
        <v>31</v>
      </c>
      <c r="H272">
        <v>16</v>
      </c>
      <c r="I272">
        <v>213</v>
      </c>
      <c r="J272">
        <v>23</v>
      </c>
      <c r="K272">
        <v>3</v>
      </c>
    </row>
    <row r="273" spans="1:11" x14ac:dyDescent="0.35">
      <c r="A273" t="s">
        <v>47</v>
      </c>
      <c r="B273" t="s">
        <v>31</v>
      </c>
      <c r="C273" t="s">
        <v>32</v>
      </c>
      <c r="D273" t="s">
        <v>16</v>
      </c>
      <c r="E273" t="s">
        <v>17</v>
      </c>
      <c r="F273">
        <v>240</v>
      </c>
      <c r="G273">
        <v>41</v>
      </c>
      <c r="H273">
        <v>31</v>
      </c>
      <c r="I273">
        <v>250</v>
      </c>
      <c r="J273">
        <v>45</v>
      </c>
      <c r="K273">
        <v>3</v>
      </c>
    </row>
    <row r="274" spans="1:11" x14ac:dyDescent="0.35">
      <c r="A274" t="s">
        <v>47</v>
      </c>
      <c r="B274" t="s">
        <v>31</v>
      </c>
      <c r="C274" t="s">
        <v>32</v>
      </c>
      <c r="D274" t="s">
        <v>18</v>
      </c>
      <c r="E274" t="s">
        <v>19</v>
      </c>
      <c r="F274">
        <v>125</v>
      </c>
      <c r="G274">
        <v>6</v>
      </c>
      <c r="H274">
        <v>49</v>
      </c>
      <c r="I274">
        <v>82</v>
      </c>
      <c r="J274">
        <v>64</v>
      </c>
      <c r="K274">
        <v>5</v>
      </c>
    </row>
    <row r="275" spans="1:11" x14ac:dyDescent="0.35">
      <c r="A275" t="s">
        <v>47</v>
      </c>
      <c r="B275" t="s">
        <v>31</v>
      </c>
      <c r="C275" t="s">
        <v>32</v>
      </c>
      <c r="D275" t="s">
        <v>20</v>
      </c>
      <c r="E275" t="s">
        <v>21</v>
      </c>
      <c r="F275">
        <v>155</v>
      </c>
      <c r="G275">
        <v>21</v>
      </c>
      <c r="H275">
        <v>18</v>
      </c>
      <c r="I275">
        <v>158</v>
      </c>
      <c r="J275">
        <v>31</v>
      </c>
      <c r="K275">
        <v>5</v>
      </c>
    </row>
    <row r="276" spans="1:11" x14ac:dyDescent="0.35">
      <c r="A276" t="s">
        <v>47</v>
      </c>
      <c r="B276" t="s">
        <v>31</v>
      </c>
      <c r="C276" t="s">
        <v>32</v>
      </c>
      <c r="D276" t="s">
        <v>22</v>
      </c>
      <c r="E276" t="s">
        <v>23</v>
      </c>
      <c r="F276">
        <v>327</v>
      </c>
      <c r="G276">
        <v>4</v>
      </c>
      <c r="H276">
        <v>4</v>
      </c>
      <c r="I276">
        <v>327</v>
      </c>
      <c r="J276">
        <v>13</v>
      </c>
      <c r="K276">
        <v>2</v>
      </c>
    </row>
    <row r="277" spans="1:11" x14ac:dyDescent="0.35">
      <c r="A277" t="s">
        <v>47</v>
      </c>
      <c r="B277" t="s">
        <v>33</v>
      </c>
      <c r="C277" t="s">
        <v>34</v>
      </c>
      <c r="D277" t="s">
        <v>14</v>
      </c>
      <c r="E277" t="s">
        <v>15</v>
      </c>
      <c r="F277">
        <v>125</v>
      </c>
      <c r="G277">
        <v>20</v>
      </c>
      <c r="H277">
        <v>20</v>
      </c>
      <c r="I277">
        <v>125</v>
      </c>
      <c r="J277">
        <v>26</v>
      </c>
      <c r="K277">
        <v>3</v>
      </c>
    </row>
    <row r="278" spans="1:11" x14ac:dyDescent="0.35">
      <c r="A278" t="s">
        <v>47</v>
      </c>
      <c r="B278" t="s">
        <v>33</v>
      </c>
      <c r="C278" t="s">
        <v>34</v>
      </c>
      <c r="D278" t="s">
        <v>16</v>
      </c>
      <c r="E278" t="s">
        <v>17</v>
      </c>
      <c r="F278">
        <v>168</v>
      </c>
      <c r="G278">
        <v>13</v>
      </c>
      <c r="H278">
        <v>14</v>
      </c>
      <c r="I278">
        <v>167</v>
      </c>
      <c r="J278">
        <v>24</v>
      </c>
      <c r="K278">
        <v>1</v>
      </c>
    </row>
    <row r="279" spans="1:11" x14ac:dyDescent="0.35">
      <c r="A279" t="s">
        <v>47</v>
      </c>
      <c r="B279" t="s">
        <v>33</v>
      </c>
      <c r="C279" t="s">
        <v>34</v>
      </c>
      <c r="D279" t="s">
        <v>18</v>
      </c>
      <c r="E279" t="s">
        <v>19</v>
      </c>
      <c r="F279">
        <v>105</v>
      </c>
      <c r="G279">
        <v>30</v>
      </c>
      <c r="H279">
        <v>32</v>
      </c>
      <c r="I279">
        <v>103</v>
      </c>
      <c r="J279">
        <v>42</v>
      </c>
      <c r="K279">
        <v>5</v>
      </c>
    </row>
    <row r="280" spans="1:11" x14ac:dyDescent="0.35">
      <c r="A280" t="s">
        <v>47</v>
      </c>
      <c r="B280" t="s">
        <v>33</v>
      </c>
      <c r="C280" t="s">
        <v>34</v>
      </c>
      <c r="D280" t="s">
        <v>20</v>
      </c>
      <c r="E280" t="s">
        <v>21</v>
      </c>
      <c r="F280">
        <v>245</v>
      </c>
      <c r="G280">
        <v>59</v>
      </c>
      <c r="H280">
        <v>20</v>
      </c>
      <c r="I280">
        <v>284</v>
      </c>
      <c r="J280">
        <v>24</v>
      </c>
      <c r="K280">
        <v>4</v>
      </c>
    </row>
    <row r="281" spans="1:11" x14ac:dyDescent="0.35">
      <c r="A281" t="s">
        <v>48</v>
      </c>
      <c r="B281" t="s">
        <v>33</v>
      </c>
      <c r="C281" t="s">
        <v>34</v>
      </c>
      <c r="D281" t="s">
        <v>22</v>
      </c>
      <c r="E281" t="s">
        <v>23</v>
      </c>
      <c r="F281">
        <v>280</v>
      </c>
      <c r="G281">
        <v>3</v>
      </c>
      <c r="H281">
        <v>4</v>
      </c>
      <c r="I281">
        <v>279</v>
      </c>
      <c r="J281">
        <v>6</v>
      </c>
      <c r="K281">
        <v>3</v>
      </c>
    </row>
    <row r="282" spans="1:11" x14ac:dyDescent="0.35">
      <c r="A282" t="s">
        <v>49</v>
      </c>
      <c r="B282" t="s">
        <v>12</v>
      </c>
      <c r="C282" t="s">
        <v>13</v>
      </c>
      <c r="D282" t="s">
        <v>14</v>
      </c>
      <c r="E282" t="s">
        <v>15</v>
      </c>
      <c r="F282">
        <v>326</v>
      </c>
      <c r="G282">
        <v>2</v>
      </c>
      <c r="H282">
        <v>10</v>
      </c>
      <c r="I282">
        <v>318</v>
      </c>
      <c r="J282">
        <v>21</v>
      </c>
      <c r="K282">
        <v>2</v>
      </c>
    </row>
    <row r="283" spans="1:11" x14ac:dyDescent="0.35">
      <c r="A283" t="s">
        <v>49</v>
      </c>
      <c r="B283" t="s">
        <v>12</v>
      </c>
      <c r="C283" t="s">
        <v>13</v>
      </c>
      <c r="D283" t="s">
        <v>16</v>
      </c>
      <c r="E283" t="s">
        <v>17</v>
      </c>
      <c r="F283">
        <v>218</v>
      </c>
      <c r="G283">
        <v>54</v>
      </c>
      <c r="H283">
        <v>10</v>
      </c>
      <c r="I283">
        <v>262</v>
      </c>
      <c r="J283">
        <v>17</v>
      </c>
      <c r="K283">
        <v>5</v>
      </c>
    </row>
    <row r="284" spans="1:11" x14ac:dyDescent="0.35">
      <c r="A284" t="s">
        <v>49</v>
      </c>
      <c r="B284" t="s">
        <v>12</v>
      </c>
      <c r="C284" t="s">
        <v>13</v>
      </c>
      <c r="D284" t="s">
        <v>18</v>
      </c>
      <c r="E284" t="s">
        <v>19</v>
      </c>
      <c r="F284">
        <v>125</v>
      </c>
      <c r="G284">
        <v>15</v>
      </c>
      <c r="H284">
        <v>48</v>
      </c>
      <c r="I284">
        <v>92</v>
      </c>
      <c r="J284">
        <v>49</v>
      </c>
      <c r="K284">
        <v>4</v>
      </c>
    </row>
    <row r="285" spans="1:11" x14ac:dyDescent="0.35">
      <c r="A285" t="s">
        <v>49</v>
      </c>
      <c r="B285" t="s">
        <v>12</v>
      </c>
      <c r="C285" t="s">
        <v>13</v>
      </c>
      <c r="D285" t="s">
        <v>20</v>
      </c>
      <c r="E285" t="s">
        <v>21</v>
      </c>
      <c r="F285">
        <v>141</v>
      </c>
      <c r="G285">
        <v>1</v>
      </c>
      <c r="H285">
        <v>46</v>
      </c>
      <c r="I285">
        <v>96</v>
      </c>
      <c r="J285">
        <v>49</v>
      </c>
      <c r="K285">
        <v>4</v>
      </c>
    </row>
    <row r="286" spans="1:11" x14ac:dyDescent="0.35">
      <c r="A286" t="s">
        <v>49</v>
      </c>
      <c r="B286" t="s">
        <v>12</v>
      </c>
      <c r="C286" t="s">
        <v>13</v>
      </c>
      <c r="D286" t="s">
        <v>22</v>
      </c>
      <c r="E286" t="s">
        <v>23</v>
      </c>
      <c r="F286">
        <v>164</v>
      </c>
      <c r="G286">
        <v>0</v>
      </c>
      <c r="H286">
        <v>7</v>
      </c>
      <c r="I286">
        <v>157</v>
      </c>
      <c r="J286">
        <v>14</v>
      </c>
      <c r="K286">
        <v>2</v>
      </c>
    </row>
    <row r="287" spans="1:11" x14ac:dyDescent="0.35">
      <c r="A287" t="s">
        <v>49</v>
      </c>
      <c r="B287" t="s">
        <v>12</v>
      </c>
      <c r="C287" t="s">
        <v>24</v>
      </c>
      <c r="D287" t="s">
        <v>14</v>
      </c>
      <c r="E287" t="s">
        <v>15</v>
      </c>
      <c r="F287">
        <v>209</v>
      </c>
      <c r="G287">
        <v>17</v>
      </c>
      <c r="H287">
        <v>33</v>
      </c>
      <c r="I287">
        <v>193</v>
      </c>
      <c r="J287">
        <v>38</v>
      </c>
      <c r="K287">
        <v>5</v>
      </c>
    </row>
    <row r="288" spans="1:11" x14ac:dyDescent="0.35">
      <c r="A288" t="s">
        <v>49</v>
      </c>
      <c r="B288" t="s">
        <v>12</v>
      </c>
      <c r="C288" t="s">
        <v>24</v>
      </c>
      <c r="D288" t="s">
        <v>16</v>
      </c>
      <c r="E288" t="s">
        <v>17</v>
      </c>
      <c r="F288">
        <v>198</v>
      </c>
      <c r="G288">
        <v>19</v>
      </c>
      <c r="H288">
        <v>20</v>
      </c>
      <c r="I288">
        <v>197</v>
      </c>
      <c r="J288">
        <v>28</v>
      </c>
      <c r="K288">
        <v>3</v>
      </c>
    </row>
    <row r="289" spans="1:11" x14ac:dyDescent="0.35">
      <c r="A289" t="s">
        <v>49</v>
      </c>
      <c r="B289" t="s">
        <v>12</v>
      </c>
      <c r="C289" t="s">
        <v>24</v>
      </c>
      <c r="D289" t="s">
        <v>18</v>
      </c>
      <c r="E289" t="s">
        <v>19</v>
      </c>
      <c r="F289">
        <v>97</v>
      </c>
      <c r="G289">
        <v>27</v>
      </c>
      <c r="H289">
        <v>49</v>
      </c>
      <c r="I289">
        <v>75</v>
      </c>
      <c r="J289">
        <v>63</v>
      </c>
      <c r="K289">
        <v>4</v>
      </c>
    </row>
    <row r="290" spans="1:11" x14ac:dyDescent="0.35">
      <c r="A290" t="s">
        <v>49</v>
      </c>
      <c r="B290" t="s">
        <v>12</v>
      </c>
      <c r="C290" t="s">
        <v>24</v>
      </c>
      <c r="D290" t="s">
        <v>20</v>
      </c>
      <c r="E290" t="s">
        <v>21</v>
      </c>
      <c r="F290">
        <v>142</v>
      </c>
      <c r="G290">
        <v>9</v>
      </c>
      <c r="H290">
        <v>38</v>
      </c>
      <c r="I290">
        <v>113</v>
      </c>
      <c r="J290">
        <v>48</v>
      </c>
      <c r="K290">
        <v>1</v>
      </c>
    </row>
    <row r="291" spans="1:11" x14ac:dyDescent="0.35">
      <c r="A291" t="s">
        <v>49</v>
      </c>
      <c r="B291" t="s">
        <v>12</v>
      </c>
      <c r="C291" t="s">
        <v>24</v>
      </c>
      <c r="D291" t="s">
        <v>22</v>
      </c>
      <c r="E291" t="s">
        <v>23</v>
      </c>
      <c r="F291">
        <v>267</v>
      </c>
      <c r="G291">
        <v>49</v>
      </c>
      <c r="H291">
        <v>10</v>
      </c>
      <c r="I291">
        <v>306</v>
      </c>
      <c r="J291">
        <v>20</v>
      </c>
      <c r="K291">
        <v>2</v>
      </c>
    </row>
    <row r="292" spans="1:11" x14ac:dyDescent="0.35">
      <c r="A292" t="s">
        <v>49</v>
      </c>
      <c r="B292" t="s">
        <v>12</v>
      </c>
      <c r="C292" t="s">
        <v>25</v>
      </c>
      <c r="D292" t="s">
        <v>14</v>
      </c>
      <c r="E292" t="s">
        <v>15</v>
      </c>
      <c r="F292">
        <v>189</v>
      </c>
      <c r="G292">
        <v>23</v>
      </c>
      <c r="H292">
        <v>13</v>
      </c>
      <c r="I292">
        <v>199</v>
      </c>
      <c r="J292">
        <v>27</v>
      </c>
      <c r="K292">
        <v>4</v>
      </c>
    </row>
    <row r="293" spans="1:11" x14ac:dyDescent="0.35">
      <c r="A293" t="s">
        <v>49</v>
      </c>
      <c r="B293" t="s">
        <v>12</v>
      </c>
      <c r="C293" t="s">
        <v>25</v>
      </c>
      <c r="D293" t="s">
        <v>16</v>
      </c>
      <c r="E293" t="s">
        <v>17</v>
      </c>
      <c r="F293">
        <v>162</v>
      </c>
      <c r="G293">
        <v>38</v>
      </c>
      <c r="H293">
        <v>24</v>
      </c>
      <c r="I293">
        <v>176</v>
      </c>
      <c r="J293">
        <v>37</v>
      </c>
      <c r="K293">
        <v>5</v>
      </c>
    </row>
    <row r="294" spans="1:11" x14ac:dyDescent="0.35">
      <c r="A294" t="s">
        <v>49</v>
      </c>
      <c r="B294" t="s">
        <v>12</v>
      </c>
      <c r="C294" t="s">
        <v>36</v>
      </c>
      <c r="D294" t="s">
        <v>18</v>
      </c>
      <c r="E294" t="s">
        <v>19</v>
      </c>
      <c r="F294">
        <v>164</v>
      </c>
      <c r="G294">
        <v>14</v>
      </c>
      <c r="H294">
        <v>25</v>
      </c>
      <c r="I294">
        <v>153</v>
      </c>
      <c r="J294">
        <v>32</v>
      </c>
      <c r="K294">
        <v>4</v>
      </c>
    </row>
    <row r="295" spans="1:11" x14ac:dyDescent="0.35">
      <c r="A295" t="s">
        <v>49</v>
      </c>
      <c r="B295" t="s">
        <v>12</v>
      </c>
      <c r="C295" t="s">
        <v>25</v>
      </c>
      <c r="D295" t="s">
        <v>20</v>
      </c>
      <c r="E295" t="s">
        <v>21</v>
      </c>
      <c r="F295">
        <v>145</v>
      </c>
      <c r="G295">
        <v>57</v>
      </c>
      <c r="H295">
        <v>23</v>
      </c>
      <c r="I295">
        <v>179</v>
      </c>
      <c r="J295">
        <v>27</v>
      </c>
      <c r="K295">
        <v>5</v>
      </c>
    </row>
    <row r="296" spans="1:11" x14ac:dyDescent="0.35">
      <c r="A296" t="s">
        <v>49</v>
      </c>
      <c r="B296" t="s">
        <v>12</v>
      </c>
      <c r="C296" t="s">
        <v>25</v>
      </c>
      <c r="D296" t="s">
        <v>22</v>
      </c>
      <c r="E296" t="s">
        <v>23</v>
      </c>
      <c r="F296">
        <v>292</v>
      </c>
      <c r="G296">
        <v>31</v>
      </c>
      <c r="H296">
        <v>11</v>
      </c>
      <c r="I296">
        <v>312</v>
      </c>
      <c r="J296">
        <v>19</v>
      </c>
      <c r="K296">
        <v>2</v>
      </c>
    </row>
    <row r="297" spans="1:11" x14ac:dyDescent="0.35">
      <c r="A297" t="s">
        <v>49</v>
      </c>
      <c r="B297" t="s">
        <v>26</v>
      </c>
      <c r="C297" t="s">
        <v>27</v>
      </c>
      <c r="D297" t="s">
        <v>14</v>
      </c>
      <c r="E297" t="s">
        <v>15</v>
      </c>
      <c r="F297">
        <v>246</v>
      </c>
      <c r="G297">
        <v>58</v>
      </c>
      <c r="H297">
        <v>10</v>
      </c>
      <c r="I297">
        <v>294</v>
      </c>
      <c r="J297">
        <v>20</v>
      </c>
      <c r="K297">
        <v>3</v>
      </c>
    </row>
    <row r="298" spans="1:11" x14ac:dyDescent="0.35">
      <c r="A298" t="s">
        <v>49</v>
      </c>
      <c r="B298" t="s">
        <v>26</v>
      </c>
      <c r="C298" t="s">
        <v>27</v>
      </c>
      <c r="D298" t="s">
        <v>16</v>
      </c>
      <c r="E298" t="s">
        <v>17</v>
      </c>
      <c r="F298">
        <v>157</v>
      </c>
      <c r="G298">
        <v>10</v>
      </c>
      <c r="H298">
        <v>29</v>
      </c>
      <c r="I298">
        <v>138</v>
      </c>
      <c r="J298">
        <v>32</v>
      </c>
      <c r="K298">
        <v>5</v>
      </c>
    </row>
    <row r="299" spans="1:11" x14ac:dyDescent="0.35">
      <c r="A299" t="s">
        <v>49</v>
      </c>
      <c r="B299" t="s">
        <v>26</v>
      </c>
      <c r="C299" t="s">
        <v>27</v>
      </c>
      <c r="D299" t="s">
        <v>18</v>
      </c>
      <c r="E299" t="s">
        <v>19</v>
      </c>
      <c r="F299">
        <v>184</v>
      </c>
      <c r="G299">
        <v>11</v>
      </c>
      <c r="H299">
        <v>26</v>
      </c>
      <c r="I299">
        <v>169</v>
      </c>
      <c r="J299">
        <v>35</v>
      </c>
      <c r="K299">
        <v>1</v>
      </c>
    </row>
    <row r="300" spans="1:11" x14ac:dyDescent="0.35">
      <c r="A300" t="s">
        <v>49</v>
      </c>
      <c r="B300" t="s">
        <v>26</v>
      </c>
      <c r="C300" t="s">
        <v>27</v>
      </c>
      <c r="D300" t="s">
        <v>20</v>
      </c>
      <c r="E300" t="s">
        <v>21</v>
      </c>
      <c r="F300">
        <v>237</v>
      </c>
      <c r="G300">
        <v>28</v>
      </c>
      <c r="H300">
        <v>41</v>
      </c>
      <c r="I300">
        <v>224</v>
      </c>
      <c r="J300">
        <v>56</v>
      </c>
      <c r="K300">
        <v>5</v>
      </c>
    </row>
    <row r="301" spans="1:11" x14ac:dyDescent="0.35">
      <c r="A301" t="s">
        <v>49</v>
      </c>
      <c r="B301" t="s">
        <v>26</v>
      </c>
      <c r="C301" t="s">
        <v>27</v>
      </c>
      <c r="D301" t="s">
        <v>22</v>
      </c>
      <c r="E301" t="s">
        <v>23</v>
      </c>
      <c r="F301">
        <v>200</v>
      </c>
      <c r="G301">
        <v>30</v>
      </c>
      <c r="H301">
        <v>3</v>
      </c>
      <c r="I301">
        <v>227</v>
      </c>
      <c r="J301">
        <v>15</v>
      </c>
      <c r="K301">
        <v>3</v>
      </c>
    </row>
    <row r="302" spans="1:11" x14ac:dyDescent="0.35">
      <c r="A302" t="s">
        <v>49</v>
      </c>
      <c r="B302" t="s">
        <v>28</v>
      </c>
      <c r="C302" t="s">
        <v>29</v>
      </c>
      <c r="D302" t="s">
        <v>14</v>
      </c>
      <c r="E302" t="s">
        <v>15</v>
      </c>
      <c r="F302">
        <v>229</v>
      </c>
      <c r="G302">
        <v>34</v>
      </c>
      <c r="H302">
        <v>15</v>
      </c>
      <c r="I302">
        <v>248</v>
      </c>
      <c r="J302">
        <v>17</v>
      </c>
      <c r="K302">
        <v>5</v>
      </c>
    </row>
    <row r="303" spans="1:11" x14ac:dyDescent="0.35">
      <c r="A303" t="s">
        <v>49</v>
      </c>
      <c r="B303" t="s">
        <v>28</v>
      </c>
      <c r="C303" t="s">
        <v>29</v>
      </c>
      <c r="D303" t="s">
        <v>16</v>
      </c>
      <c r="E303" t="s">
        <v>17</v>
      </c>
      <c r="F303">
        <v>187</v>
      </c>
      <c r="G303">
        <v>14</v>
      </c>
      <c r="H303">
        <v>23</v>
      </c>
      <c r="I303">
        <v>178</v>
      </c>
      <c r="J303">
        <v>28</v>
      </c>
      <c r="K303">
        <v>3</v>
      </c>
    </row>
    <row r="304" spans="1:11" x14ac:dyDescent="0.35">
      <c r="A304" t="s">
        <v>49</v>
      </c>
      <c r="B304" t="s">
        <v>28</v>
      </c>
      <c r="C304" t="s">
        <v>29</v>
      </c>
      <c r="D304" t="s">
        <v>18</v>
      </c>
      <c r="E304" t="s">
        <v>19</v>
      </c>
      <c r="F304">
        <v>123</v>
      </c>
      <c r="G304">
        <v>36</v>
      </c>
      <c r="H304">
        <v>22</v>
      </c>
      <c r="I304">
        <v>137</v>
      </c>
      <c r="J304">
        <v>32</v>
      </c>
      <c r="K304">
        <v>1</v>
      </c>
    </row>
    <row r="305" spans="1:11" x14ac:dyDescent="0.35">
      <c r="A305" t="s">
        <v>49</v>
      </c>
      <c r="B305" t="s">
        <v>28</v>
      </c>
      <c r="C305" t="s">
        <v>29</v>
      </c>
      <c r="D305" t="s">
        <v>20</v>
      </c>
      <c r="E305" t="s">
        <v>21</v>
      </c>
      <c r="F305">
        <v>162</v>
      </c>
      <c r="G305">
        <v>9</v>
      </c>
      <c r="H305">
        <v>50</v>
      </c>
      <c r="I305">
        <v>121</v>
      </c>
      <c r="J305">
        <v>52</v>
      </c>
      <c r="K305">
        <v>3</v>
      </c>
    </row>
    <row r="306" spans="1:11" x14ac:dyDescent="0.35">
      <c r="A306" t="s">
        <v>49</v>
      </c>
      <c r="B306" t="s">
        <v>28</v>
      </c>
      <c r="C306" t="s">
        <v>29</v>
      </c>
      <c r="D306" t="s">
        <v>22</v>
      </c>
      <c r="E306" t="s">
        <v>23</v>
      </c>
      <c r="F306">
        <v>320</v>
      </c>
      <c r="G306">
        <v>49</v>
      </c>
      <c r="H306">
        <v>13</v>
      </c>
      <c r="I306">
        <v>356</v>
      </c>
      <c r="J306">
        <v>19</v>
      </c>
      <c r="K306">
        <v>1</v>
      </c>
    </row>
    <row r="307" spans="1:11" x14ac:dyDescent="0.35">
      <c r="A307" t="s">
        <v>49</v>
      </c>
      <c r="B307" t="s">
        <v>31</v>
      </c>
      <c r="C307" t="s">
        <v>32</v>
      </c>
      <c r="D307" t="s">
        <v>14</v>
      </c>
      <c r="E307" t="s">
        <v>15</v>
      </c>
      <c r="F307">
        <v>213</v>
      </c>
      <c r="G307">
        <v>8</v>
      </c>
      <c r="H307">
        <v>22</v>
      </c>
      <c r="I307">
        <v>199</v>
      </c>
      <c r="J307">
        <v>33</v>
      </c>
      <c r="K307">
        <v>2</v>
      </c>
    </row>
    <row r="308" spans="1:11" x14ac:dyDescent="0.35">
      <c r="A308" t="s">
        <v>49</v>
      </c>
      <c r="B308" t="s">
        <v>31</v>
      </c>
      <c r="C308" t="s">
        <v>32</v>
      </c>
      <c r="D308" t="s">
        <v>16</v>
      </c>
      <c r="E308" t="s">
        <v>17</v>
      </c>
      <c r="F308">
        <v>250</v>
      </c>
      <c r="G308">
        <v>16</v>
      </c>
      <c r="H308">
        <v>20</v>
      </c>
      <c r="I308">
        <v>246</v>
      </c>
      <c r="J308">
        <v>31</v>
      </c>
      <c r="K308">
        <v>2</v>
      </c>
    </row>
    <row r="309" spans="1:11" x14ac:dyDescent="0.35">
      <c r="A309" t="s">
        <v>49</v>
      </c>
      <c r="B309" t="s">
        <v>31</v>
      </c>
      <c r="C309" t="s">
        <v>32</v>
      </c>
      <c r="D309" t="s">
        <v>18</v>
      </c>
      <c r="E309" t="s">
        <v>19</v>
      </c>
      <c r="F309">
        <v>82</v>
      </c>
      <c r="G309">
        <v>42</v>
      </c>
      <c r="H309">
        <v>24</v>
      </c>
      <c r="I309">
        <v>100</v>
      </c>
      <c r="J309">
        <v>28</v>
      </c>
      <c r="K309">
        <v>3</v>
      </c>
    </row>
    <row r="310" spans="1:11" x14ac:dyDescent="0.35">
      <c r="A310" t="s">
        <v>49</v>
      </c>
      <c r="B310" t="s">
        <v>31</v>
      </c>
      <c r="C310" t="s">
        <v>32</v>
      </c>
      <c r="D310" t="s">
        <v>20</v>
      </c>
      <c r="E310" t="s">
        <v>21</v>
      </c>
      <c r="F310">
        <v>158</v>
      </c>
      <c r="G310">
        <v>40</v>
      </c>
      <c r="H310">
        <v>30</v>
      </c>
      <c r="I310">
        <v>168</v>
      </c>
      <c r="J310">
        <v>35</v>
      </c>
      <c r="K310">
        <v>5</v>
      </c>
    </row>
    <row r="311" spans="1:11" x14ac:dyDescent="0.35">
      <c r="A311" t="s">
        <v>49</v>
      </c>
      <c r="B311" t="s">
        <v>31</v>
      </c>
      <c r="C311" t="s">
        <v>32</v>
      </c>
      <c r="D311" t="s">
        <v>22</v>
      </c>
      <c r="E311" t="s">
        <v>23</v>
      </c>
      <c r="F311">
        <v>327</v>
      </c>
      <c r="G311">
        <v>60</v>
      </c>
      <c r="H311" t="s">
        <v>43</v>
      </c>
      <c r="I311">
        <v>376</v>
      </c>
      <c r="J311">
        <v>11</v>
      </c>
      <c r="K311">
        <v>1</v>
      </c>
    </row>
    <row r="312" spans="1:11" x14ac:dyDescent="0.35">
      <c r="A312" t="s">
        <v>49</v>
      </c>
      <c r="B312" t="s">
        <v>33</v>
      </c>
      <c r="C312" t="s">
        <v>34</v>
      </c>
      <c r="D312" t="s">
        <v>14</v>
      </c>
      <c r="E312" t="s">
        <v>15</v>
      </c>
      <c r="F312">
        <v>125</v>
      </c>
      <c r="G312">
        <v>6</v>
      </c>
      <c r="H312">
        <v>10</v>
      </c>
      <c r="I312">
        <v>121</v>
      </c>
      <c r="J312">
        <v>12</v>
      </c>
      <c r="K312">
        <v>5</v>
      </c>
    </row>
    <row r="313" spans="1:11" x14ac:dyDescent="0.35">
      <c r="A313" t="s">
        <v>49</v>
      </c>
      <c r="B313" t="s">
        <v>33</v>
      </c>
      <c r="C313" t="s">
        <v>34</v>
      </c>
      <c r="D313" t="s">
        <v>16</v>
      </c>
      <c r="E313" t="s">
        <v>17</v>
      </c>
      <c r="F313">
        <v>167</v>
      </c>
      <c r="G313">
        <v>56</v>
      </c>
      <c r="H313">
        <v>20</v>
      </c>
      <c r="I313">
        <v>203</v>
      </c>
      <c r="J313">
        <v>24</v>
      </c>
      <c r="K313">
        <v>2</v>
      </c>
    </row>
    <row r="314" spans="1:11" x14ac:dyDescent="0.35">
      <c r="A314" t="s">
        <v>49</v>
      </c>
      <c r="B314" t="s">
        <v>33</v>
      </c>
      <c r="C314" t="s">
        <v>34</v>
      </c>
      <c r="D314" t="s">
        <v>18</v>
      </c>
      <c r="E314" t="s">
        <v>19</v>
      </c>
      <c r="F314">
        <v>103</v>
      </c>
      <c r="G314">
        <v>9</v>
      </c>
      <c r="H314">
        <v>15</v>
      </c>
      <c r="I314">
        <v>97</v>
      </c>
      <c r="J314">
        <v>24</v>
      </c>
      <c r="K314">
        <v>5</v>
      </c>
    </row>
    <row r="315" spans="1:11" x14ac:dyDescent="0.35">
      <c r="A315" t="s">
        <v>49</v>
      </c>
      <c r="B315" t="s">
        <v>33</v>
      </c>
      <c r="C315" t="s">
        <v>34</v>
      </c>
      <c r="D315" t="s">
        <v>20</v>
      </c>
      <c r="E315" t="s">
        <v>21</v>
      </c>
      <c r="F315">
        <v>284</v>
      </c>
      <c r="G315">
        <v>54</v>
      </c>
      <c r="H315">
        <v>23</v>
      </c>
      <c r="I315">
        <v>315</v>
      </c>
      <c r="J315">
        <v>29</v>
      </c>
      <c r="K315">
        <v>4</v>
      </c>
    </row>
    <row r="316" spans="1:11" x14ac:dyDescent="0.35">
      <c r="A316" t="s">
        <v>49</v>
      </c>
      <c r="B316" t="s">
        <v>33</v>
      </c>
      <c r="C316" t="s">
        <v>34</v>
      </c>
      <c r="D316" t="s">
        <v>22</v>
      </c>
      <c r="E316" t="s">
        <v>23</v>
      </c>
      <c r="F316">
        <v>279</v>
      </c>
      <c r="G316">
        <v>7</v>
      </c>
      <c r="H316">
        <v>16</v>
      </c>
      <c r="I316">
        <v>270</v>
      </c>
      <c r="J316">
        <v>28</v>
      </c>
      <c r="K316">
        <v>5</v>
      </c>
    </row>
    <row r="317" spans="1:11" x14ac:dyDescent="0.35">
      <c r="A317" t="s">
        <v>50</v>
      </c>
      <c r="B317" t="s">
        <v>12</v>
      </c>
      <c r="C317" t="s">
        <v>13</v>
      </c>
      <c r="D317" t="s">
        <v>14</v>
      </c>
      <c r="E317" t="s">
        <v>15</v>
      </c>
      <c r="F317">
        <v>318</v>
      </c>
      <c r="G317">
        <v>53</v>
      </c>
      <c r="H317">
        <v>12</v>
      </c>
      <c r="I317">
        <v>359</v>
      </c>
      <c r="J317">
        <v>16</v>
      </c>
      <c r="K317">
        <v>1</v>
      </c>
    </row>
    <row r="318" spans="1:11" x14ac:dyDescent="0.35">
      <c r="A318" t="s">
        <v>50</v>
      </c>
      <c r="B318" t="s">
        <v>12</v>
      </c>
      <c r="C318" t="s">
        <v>13</v>
      </c>
      <c r="D318" t="s">
        <v>16</v>
      </c>
      <c r="E318" t="s">
        <v>17</v>
      </c>
      <c r="F318">
        <v>262</v>
      </c>
      <c r="G318">
        <v>45</v>
      </c>
      <c r="H318">
        <v>22</v>
      </c>
      <c r="I318">
        <v>285</v>
      </c>
      <c r="J318">
        <v>33</v>
      </c>
      <c r="K318">
        <v>1</v>
      </c>
    </row>
    <row r="319" spans="1:11" x14ac:dyDescent="0.35">
      <c r="A319" t="s">
        <v>50</v>
      </c>
      <c r="B319" t="s">
        <v>12</v>
      </c>
      <c r="C319" t="s">
        <v>13</v>
      </c>
      <c r="D319" t="s">
        <v>18</v>
      </c>
      <c r="E319" t="s">
        <v>19</v>
      </c>
      <c r="F319">
        <v>92</v>
      </c>
      <c r="G319">
        <v>54</v>
      </c>
      <c r="H319">
        <v>38</v>
      </c>
      <c r="I319">
        <v>108</v>
      </c>
      <c r="J319">
        <v>46</v>
      </c>
      <c r="K319">
        <v>3</v>
      </c>
    </row>
    <row r="320" spans="1:11" x14ac:dyDescent="0.35">
      <c r="A320" t="s">
        <v>50</v>
      </c>
      <c r="B320" t="s">
        <v>12</v>
      </c>
      <c r="C320" t="s">
        <v>13</v>
      </c>
      <c r="D320" t="s">
        <v>20</v>
      </c>
      <c r="E320" t="s">
        <v>21</v>
      </c>
      <c r="F320">
        <v>96</v>
      </c>
      <c r="G320">
        <v>50</v>
      </c>
      <c r="H320">
        <v>25</v>
      </c>
      <c r="I320">
        <v>121</v>
      </c>
      <c r="J320">
        <v>25</v>
      </c>
      <c r="K320">
        <v>2</v>
      </c>
    </row>
    <row r="321" spans="1:11" x14ac:dyDescent="0.35">
      <c r="A321" t="s">
        <v>50</v>
      </c>
      <c r="B321" t="s">
        <v>12</v>
      </c>
      <c r="C321" t="s">
        <v>13</v>
      </c>
      <c r="D321" t="s">
        <v>22</v>
      </c>
      <c r="E321" t="s">
        <v>23</v>
      </c>
      <c r="F321">
        <v>157</v>
      </c>
      <c r="G321">
        <v>49</v>
      </c>
      <c r="H321">
        <v>13</v>
      </c>
      <c r="I321">
        <v>193</v>
      </c>
      <c r="J321">
        <v>20</v>
      </c>
      <c r="K321">
        <v>3</v>
      </c>
    </row>
    <row r="322" spans="1:11" x14ac:dyDescent="0.35">
      <c r="A322" t="s">
        <v>50</v>
      </c>
      <c r="B322" t="s">
        <v>12</v>
      </c>
      <c r="C322" t="s">
        <v>24</v>
      </c>
      <c r="D322" t="s">
        <v>14</v>
      </c>
      <c r="E322" t="s">
        <v>15</v>
      </c>
      <c r="F322">
        <v>193</v>
      </c>
      <c r="G322">
        <v>18</v>
      </c>
      <c r="H322">
        <v>33</v>
      </c>
      <c r="I322">
        <v>178</v>
      </c>
      <c r="J322">
        <v>39</v>
      </c>
      <c r="K322">
        <v>5</v>
      </c>
    </row>
    <row r="323" spans="1:11" x14ac:dyDescent="0.35">
      <c r="A323" t="s">
        <v>50</v>
      </c>
      <c r="B323" t="s">
        <v>12</v>
      </c>
      <c r="C323" t="s">
        <v>24</v>
      </c>
      <c r="D323" t="s">
        <v>16</v>
      </c>
      <c r="E323" t="s">
        <v>17</v>
      </c>
      <c r="F323">
        <v>197</v>
      </c>
      <c r="G323">
        <v>6</v>
      </c>
      <c r="H323">
        <v>12</v>
      </c>
      <c r="I323">
        <v>191</v>
      </c>
      <c r="J323">
        <v>22</v>
      </c>
      <c r="K323">
        <v>5</v>
      </c>
    </row>
    <row r="324" spans="1:11" x14ac:dyDescent="0.35">
      <c r="A324" t="s">
        <v>50</v>
      </c>
      <c r="B324" t="s">
        <v>12</v>
      </c>
      <c r="C324" t="s">
        <v>24</v>
      </c>
      <c r="D324" t="s">
        <v>18</v>
      </c>
      <c r="E324" t="s">
        <v>19</v>
      </c>
      <c r="F324">
        <v>75</v>
      </c>
      <c r="G324">
        <v>40</v>
      </c>
      <c r="H324">
        <v>41</v>
      </c>
      <c r="I324">
        <v>74</v>
      </c>
      <c r="J324">
        <v>55</v>
      </c>
      <c r="K324">
        <v>5</v>
      </c>
    </row>
    <row r="325" spans="1:11" x14ac:dyDescent="0.35">
      <c r="A325" t="s">
        <v>50</v>
      </c>
      <c r="B325" t="s">
        <v>12</v>
      </c>
      <c r="C325" t="s">
        <v>24</v>
      </c>
      <c r="D325" t="s">
        <v>20</v>
      </c>
      <c r="E325" t="s">
        <v>21</v>
      </c>
      <c r="F325">
        <v>113</v>
      </c>
      <c r="G325">
        <v>7</v>
      </c>
      <c r="H325">
        <v>28</v>
      </c>
      <c r="I325">
        <v>92</v>
      </c>
      <c r="J325">
        <v>34</v>
      </c>
      <c r="K325">
        <v>2</v>
      </c>
    </row>
    <row r="326" spans="1:11" x14ac:dyDescent="0.35">
      <c r="A326" t="s">
        <v>50</v>
      </c>
      <c r="B326" t="s">
        <v>12</v>
      </c>
      <c r="C326" t="s">
        <v>24</v>
      </c>
      <c r="D326" t="s">
        <v>22</v>
      </c>
      <c r="E326" t="s">
        <v>23</v>
      </c>
      <c r="F326">
        <v>306</v>
      </c>
      <c r="G326">
        <v>39</v>
      </c>
      <c r="H326">
        <v>17</v>
      </c>
      <c r="I326">
        <v>328</v>
      </c>
      <c r="J326">
        <v>18</v>
      </c>
      <c r="K326">
        <v>5</v>
      </c>
    </row>
    <row r="327" spans="1:11" x14ac:dyDescent="0.35">
      <c r="A327" t="s">
        <v>50</v>
      </c>
      <c r="B327" t="s">
        <v>12</v>
      </c>
      <c r="C327" t="s">
        <v>25</v>
      </c>
      <c r="D327" t="s">
        <v>14</v>
      </c>
      <c r="E327" t="s">
        <v>15</v>
      </c>
      <c r="F327">
        <v>199</v>
      </c>
      <c r="G327">
        <v>3</v>
      </c>
      <c r="H327">
        <v>22</v>
      </c>
      <c r="I327">
        <v>180</v>
      </c>
      <c r="J327">
        <v>35</v>
      </c>
      <c r="K327">
        <v>1</v>
      </c>
    </row>
    <row r="328" spans="1:11" x14ac:dyDescent="0.35">
      <c r="A328" t="s">
        <v>50</v>
      </c>
      <c r="B328" t="s">
        <v>12</v>
      </c>
      <c r="C328" t="s">
        <v>25</v>
      </c>
      <c r="D328" t="s">
        <v>16</v>
      </c>
      <c r="E328" t="s">
        <v>17</v>
      </c>
      <c r="F328">
        <v>176</v>
      </c>
      <c r="G328">
        <v>36</v>
      </c>
      <c r="H328">
        <v>13</v>
      </c>
      <c r="I328">
        <v>199</v>
      </c>
      <c r="J328">
        <v>26</v>
      </c>
      <c r="K328">
        <v>5</v>
      </c>
    </row>
    <row r="329" spans="1:11" x14ac:dyDescent="0.35">
      <c r="A329" t="s">
        <v>50</v>
      </c>
      <c r="B329" t="s">
        <v>12</v>
      </c>
      <c r="C329" t="s">
        <v>25</v>
      </c>
      <c r="D329" t="s">
        <v>18</v>
      </c>
      <c r="E329" t="s">
        <v>19</v>
      </c>
      <c r="F329">
        <v>153</v>
      </c>
      <c r="G329">
        <v>53</v>
      </c>
      <c r="H329">
        <v>26</v>
      </c>
      <c r="I329">
        <v>180</v>
      </c>
      <c r="J329">
        <v>41</v>
      </c>
      <c r="K329">
        <v>5</v>
      </c>
    </row>
    <row r="330" spans="1:11" x14ac:dyDescent="0.35">
      <c r="A330" t="s">
        <v>50</v>
      </c>
      <c r="B330" t="s">
        <v>12</v>
      </c>
      <c r="C330" t="s">
        <v>25</v>
      </c>
      <c r="D330" t="s">
        <v>20</v>
      </c>
      <c r="E330" t="s">
        <v>21</v>
      </c>
      <c r="F330">
        <v>179</v>
      </c>
      <c r="G330">
        <v>42</v>
      </c>
      <c r="H330">
        <v>38</v>
      </c>
      <c r="I330">
        <v>183</v>
      </c>
      <c r="J330">
        <v>53</v>
      </c>
      <c r="K330">
        <v>4</v>
      </c>
    </row>
    <row r="331" spans="1:11" x14ac:dyDescent="0.35">
      <c r="A331" t="s">
        <v>50</v>
      </c>
      <c r="B331" t="s">
        <v>12</v>
      </c>
      <c r="C331" t="s">
        <v>25</v>
      </c>
      <c r="D331" t="s">
        <v>22</v>
      </c>
      <c r="E331" t="s">
        <v>23</v>
      </c>
      <c r="F331">
        <v>312</v>
      </c>
      <c r="G331">
        <v>18</v>
      </c>
      <c r="H331">
        <v>14</v>
      </c>
      <c r="I331">
        <v>316</v>
      </c>
      <c r="J331">
        <v>17</v>
      </c>
      <c r="K331">
        <v>4</v>
      </c>
    </row>
    <row r="332" spans="1:11" x14ac:dyDescent="0.35">
      <c r="A332" t="s">
        <v>51</v>
      </c>
      <c r="B332" t="s">
        <v>26</v>
      </c>
      <c r="C332" t="s">
        <v>27</v>
      </c>
      <c r="D332" t="s">
        <v>14</v>
      </c>
      <c r="E332" t="s">
        <v>15</v>
      </c>
      <c r="F332">
        <v>294</v>
      </c>
      <c r="G332">
        <v>27</v>
      </c>
      <c r="H332">
        <v>10</v>
      </c>
      <c r="I332">
        <v>311</v>
      </c>
      <c r="J332">
        <v>10</v>
      </c>
      <c r="K332">
        <v>2</v>
      </c>
    </row>
    <row r="333" spans="1:11" x14ac:dyDescent="0.35">
      <c r="A333" t="s">
        <v>50</v>
      </c>
      <c r="B333" t="s">
        <v>26</v>
      </c>
      <c r="C333" t="s">
        <v>27</v>
      </c>
      <c r="D333" t="s">
        <v>16</v>
      </c>
      <c r="E333" t="s">
        <v>17</v>
      </c>
      <c r="F333">
        <v>138</v>
      </c>
      <c r="G333">
        <v>54</v>
      </c>
      <c r="H333">
        <v>21</v>
      </c>
      <c r="I333">
        <v>171</v>
      </c>
      <c r="J333">
        <v>24</v>
      </c>
      <c r="K333">
        <v>4</v>
      </c>
    </row>
    <row r="334" spans="1:11" x14ac:dyDescent="0.35">
      <c r="A334" t="s">
        <v>52</v>
      </c>
      <c r="B334" t="s">
        <v>26</v>
      </c>
      <c r="C334" t="s">
        <v>27</v>
      </c>
      <c r="D334" t="s">
        <v>18</v>
      </c>
      <c r="E334" t="s">
        <v>19</v>
      </c>
      <c r="F334">
        <v>169</v>
      </c>
      <c r="G334">
        <v>36</v>
      </c>
      <c r="H334">
        <v>20</v>
      </c>
      <c r="I334">
        <v>185</v>
      </c>
      <c r="J334">
        <v>26</v>
      </c>
      <c r="K334">
        <v>3</v>
      </c>
    </row>
    <row r="335" spans="1:11" x14ac:dyDescent="0.35">
      <c r="A335" t="s">
        <v>50</v>
      </c>
      <c r="B335" t="s">
        <v>26</v>
      </c>
      <c r="C335" t="s">
        <v>27</v>
      </c>
      <c r="D335" t="s">
        <v>20</v>
      </c>
      <c r="E335" t="s">
        <v>21</v>
      </c>
      <c r="F335">
        <v>224</v>
      </c>
      <c r="G335">
        <v>60</v>
      </c>
      <c r="H335">
        <v>25</v>
      </c>
      <c r="I335">
        <v>259</v>
      </c>
      <c r="J335">
        <v>26</v>
      </c>
      <c r="K335">
        <v>2</v>
      </c>
    </row>
    <row r="336" spans="1:11" x14ac:dyDescent="0.35">
      <c r="A336" t="s">
        <v>50</v>
      </c>
      <c r="B336" t="s">
        <v>26</v>
      </c>
      <c r="C336" t="s">
        <v>27</v>
      </c>
      <c r="D336" t="s">
        <v>22</v>
      </c>
      <c r="E336" t="s">
        <v>23</v>
      </c>
      <c r="F336">
        <v>227</v>
      </c>
      <c r="G336">
        <v>58</v>
      </c>
      <c r="H336">
        <v>12</v>
      </c>
      <c r="I336">
        <v>273</v>
      </c>
      <c r="J336">
        <v>19</v>
      </c>
      <c r="K336">
        <v>5</v>
      </c>
    </row>
    <row r="337" spans="1:11" x14ac:dyDescent="0.35">
      <c r="A337" t="s">
        <v>50</v>
      </c>
      <c r="B337" t="s">
        <v>28</v>
      </c>
      <c r="C337" t="s">
        <v>29</v>
      </c>
      <c r="D337" t="s">
        <v>14</v>
      </c>
      <c r="E337" t="s">
        <v>15</v>
      </c>
      <c r="F337">
        <v>248</v>
      </c>
      <c r="G337">
        <v>18</v>
      </c>
      <c r="H337">
        <v>13</v>
      </c>
      <c r="I337">
        <v>253</v>
      </c>
      <c r="J337">
        <v>18</v>
      </c>
      <c r="K337">
        <v>5</v>
      </c>
    </row>
    <row r="338" spans="1:11" x14ac:dyDescent="0.35">
      <c r="A338" t="s">
        <v>50</v>
      </c>
      <c r="B338" t="s">
        <v>28</v>
      </c>
      <c r="C338" t="s">
        <v>29</v>
      </c>
      <c r="D338" t="s">
        <v>16</v>
      </c>
      <c r="E338" t="s">
        <v>17</v>
      </c>
      <c r="F338">
        <v>178</v>
      </c>
      <c r="G338">
        <v>20</v>
      </c>
      <c r="H338">
        <v>16</v>
      </c>
      <c r="I338">
        <v>182</v>
      </c>
      <c r="J338">
        <v>17</v>
      </c>
      <c r="K338">
        <v>2</v>
      </c>
    </row>
    <row r="339" spans="1:11" x14ac:dyDescent="0.35">
      <c r="A339" t="s">
        <v>50</v>
      </c>
      <c r="B339" t="s">
        <v>28</v>
      </c>
      <c r="C339" t="s">
        <v>29</v>
      </c>
      <c r="D339" t="s">
        <v>18</v>
      </c>
      <c r="E339" t="s">
        <v>19</v>
      </c>
      <c r="F339">
        <v>137</v>
      </c>
      <c r="G339">
        <v>0</v>
      </c>
      <c r="H339">
        <v>22</v>
      </c>
      <c r="I339">
        <v>115</v>
      </c>
      <c r="J339">
        <v>32</v>
      </c>
      <c r="K339">
        <v>1</v>
      </c>
    </row>
    <row r="340" spans="1:11" x14ac:dyDescent="0.35">
      <c r="A340" t="s">
        <v>50</v>
      </c>
      <c r="B340" t="s">
        <v>28</v>
      </c>
      <c r="C340" t="s">
        <v>29</v>
      </c>
      <c r="D340" t="s">
        <v>20</v>
      </c>
      <c r="E340" t="s">
        <v>21</v>
      </c>
      <c r="F340">
        <v>121</v>
      </c>
      <c r="G340">
        <v>29</v>
      </c>
      <c r="H340">
        <v>18</v>
      </c>
      <c r="I340">
        <v>132</v>
      </c>
      <c r="J340">
        <v>29</v>
      </c>
      <c r="K340">
        <v>2</v>
      </c>
    </row>
    <row r="341" spans="1:11" x14ac:dyDescent="0.35">
      <c r="A341" t="s">
        <v>50</v>
      </c>
      <c r="B341" t="s">
        <v>28</v>
      </c>
      <c r="C341" t="s">
        <v>29</v>
      </c>
      <c r="D341" t="s">
        <v>22</v>
      </c>
      <c r="E341" t="s">
        <v>23</v>
      </c>
      <c r="F341">
        <v>356</v>
      </c>
      <c r="G341">
        <v>52</v>
      </c>
      <c r="H341">
        <v>3</v>
      </c>
      <c r="I341">
        <v>405</v>
      </c>
      <c r="J341">
        <v>3</v>
      </c>
      <c r="K341">
        <v>3</v>
      </c>
    </row>
    <row r="342" spans="1:11" x14ac:dyDescent="0.35">
      <c r="A342" t="s">
        <v>50</v>
      </c>
      <c r="B342" t="s">
        <v>31</v>
      </c>
      <c r="C342" t="s">
        <v>32</v>
      </c>
      <c r="D342" t="s">
        <v>14</v>
      </c>
      <c r="E342" t="s">
        <v>15</v>
      </c>
      <c r="F342">
        <v>199</v>
      </c>
      <c r="G342">
        <v>32</v>
      </c>
      <c r="H342">
        <v>22</v>
      </c>
      <c r="I342">
        <v>209</v>
      </c>
      <c r="K342">
        <v>5</v>
      </c>
    </row>
    <row r="343" spans="1:11" x14ac:dyDescent="0.35">
      <c r="A343" t="s">
        <v>50</v>
      </c>
      <c r="B343" t="s">
        <v>31</v>
      </c>
      <c r="C343" t="s">
        <v>32</v>
      </c>
      <c r="D343" t="s">
        <v>16</v>
      </c>
      <c r="E343" t="s">
        <v>17</v>
      </c>
      <c r="F343">
        <v>246</v>
      </c>
      <c r="G343">
        <v>45</v>
      </c>
      <c r="H343">
        <v>15</v>
      </c>
      <c r="I343">
        <v>276</v>
      </c>
      <c r="J343">
        <v>18</v>
      </c>
      <c r="K343">
        <v>3</v>
      </c>
    </row>
    <row r="344" spans="1:11" x14ac:dyDescent="0.35">
      <c r="A344" t="s">
        <v>50</v>
      </c>
      <c r="B344" t="s">
        <v>31</v>
      </c>
      <c r="C344" t="s">
        <v>32</v>
      </c>
      <c r="D344" t="s">
        <v>30</v>
      </c>
      <c r="E344" t="s">
        <v>19</v>
      </c>
      <c r="F344">
        <v>100</v>
      </c>
      <c r="G344">
        <v>12</v>
      </c>
      <c r="H344">
        <v>28</v>
      </c>
      <c r="I344">
        <v>84</v>
      </c>
      <c r="J344">
        <v>39</v>
      </c>
      <c r="K344">
        <v>1</v>
      </c>
    </row>
    <row r="345" spans="1:11" x14ac:dyDescent="0.35">
      <c r="A345" t="s">
        <v>50</v>
      </c>
      <c r="B345" t="s">
        <v>31</v>
      </c>
      <c r="C345" t="s">
        <v>36</v>
      </c>
      <c r="D345" t="s">
        <v>20</v>
      </c>
      <c r="E345" t="s">
        <v>21</v>
      </c>
      <c r="F345">
        <v>168</v>
      </c>
      <c r="G345">
        <v>16</v>
      </c>
      <c r="H345">
        <v>38</v>
      </c>
      <c r="I345">
        <v>146</v>
      </c>
      <c r="J345">
        <v>39</v>
      </c>
      <c r="K345">
        <v>3</v>
      </c>
    </row>
    <row r="346" spans="1:11" x14ac:dyDescent="0.35">
      <c r="A346" t="s">
        <v>50</v>
      </c>
      <c r="B346" t="s">
        <v>31</v>
      </c>
      <c r="C346" t="s">
        <v>32</v>
      </c>
      <c r="D346" t="s">
        <v>22</v>
      </c>
      <c r="E346" t="s">
        <v>23</v>
      </c>
      <c r="F346">
        <v>376</v>
      </c>
      <c r="G346">
        <v>60</v>
      </c>
      <c r="H346">
        <v>10</v>
      </c>
      <c r="I346">
        <v>426</v>
      </c>
      <c r="J346">
        <v>22</v>
      </c>
      <c r="K346">
        <v>4</v>
      </c>
    </row>
    <row r="347" spans="1:11" x14ac:dyDescent="0.35">
      <c r="A347" t="s">
        <v>50</v>
      </c>
      <c r="B347" t="s">
        <v>33</v>
      </c>
      <c r="C347" t="s">
        <v>34</v>
      </c>
      <c r="D347" t="s">
        <v>14</v>
      </c>
      <c r="E347" t="s">
        <v>15</v>
      </c>
      <c r="F347">
        <v>121</v>
      </c>
      <c r="G347">
        <v>52</v>
      </c>
      <c r="H347">
        <v>27</v>
      </c>
      <c r="I347">
        <v>146</v>
      </c>
      <c r="J347">
        <v>32</v>
      </c>
      <c r="K347">
        <v>1</v>
      </c>
    </row>
    <row r="348" spans="1:11" x14ac:dyDescent="0.35">
      <c r="A348" t="s">
        <v>50</v>
      </c>
      <c r="B348" t="s">
        <v>33</v>
      </c>
      <c r="C348" t="s">
        <v>34</v>
      </c>
      <c r="D348" t="s">
        <v>16</v>
      </c>
      <c r="E348" t="s">
        <v>17</v>
      </c>
      <c r="F348">
        <v>203</v>
      </c>
      <c r="G348">
        <v>31</v>
      </c>
      <c r="H348">
        <v>18</v>
      </c>
      <c r="I348">
        <v>216</v>
      </c>
      <c r="J348">
        <v>27</v>
      </c>
      <c r="K348">
        <v>4</v>
      </c>
    </row>
    <row r="349" spans="1:11" x14ac:dyDescent="0.35">
      <c r="A349" t="s">
        <v>50</v>
      </c>
      <c r="B349" t="s">
        <v>33</v>
      </c>
      <c r="C349" t="s">
        <v>34</v>
      </c>
      <c r="D349" t="s">
        <v>18</v>
      </c>
      <c r="E349" t="s">
        <v>19</v>
      </c>
      <c r="F349">
        <v>97</v>
      </c>
      <c r="G349">
        <v>60</v>
      </c>
      <c r="H349">
        <v>21</v>
      </c>
      <c r="I349">
        <v>-5</v>
      </c>
      <c r="J349">
        <v>32</v>
      </c>
      <c r="K349">
        <v>2</v>
      </c>
    </row>
    <row r="350" spans="1:11" x14ac:dyDescent="0.35">
      <c r="A350" t="s">
        <v>50</v>
      </c>
      <c r="B350" t="s">
        <v>33</v>
      </c>
      <c r="C350" t="s">
        <v>34</v>
      </c>
      <c r="D350" t="s">
        <v>20</v>
      </c>
      <c r="E350" t="s">
        <v>21</v>
      </c>
      <c r="F350">
        <v>315</v>
      </c>
      <c r="G350">
        <v>22</v>
      </c>
      <c r="H350">
        <v>20</v>
      </c>
      <c r="I350">
        <v>317</v>
      </c>
      <c r="J350">
        <v>20</v>
      </c>
      <c r="K350">
        <v>2</v>
      </c>
    </row>
    <row r="351" spans="1:11" x14ac:dyDescent="0.35">
      <c r="A351" t="s">
        <v>50</v>
      </c>
      <c r="B351" t="s">
        <v>33</v>
      </c>
      <c r="C351" t="s">
        <v>34</v>
      </c>
      <c r="D351" t="s">
        <v>22</v>
      </c>
      <c r="E351" t="s">
        <v>23</v>
      </c>
      <c r="F351">
        <v>270</v>
      </c>
      <c r="G351">
        <v>48</v>
      </c>
      <c r="H351">
        <v>18</v>
      </c>
      <c r="I351">
        <v>300</v>
      </c>
      <c r="J351">
        <v>18</v>
      </c>
      <c r="K351">
        <v>2</v>
      </c>
    </row>
    <row r="352" spans="1:11" x14ac:dyDescent="0.35">
      <c r="A352" t="s">
        <v>53</v>
      </c>
      <c r="B352" t="s">
        <v>12</v>
      </c>
      <c r="C352" t="s">
        <v>13</v>
      </c>
      <c r="D352" t="s">
        <v>14</v>
      </c>
      <c r="E352" t="s">
        <v>15</v>
      </c>
      <c r="F352">
        <v>359</v>
      </c>
      <c r="G352">
        <v>23</v>
      </c>
      <c r="H352">
        <v>18</v>
      </c>
      <c r="I352">
        <v>364</v>
      </c>
      <c r="J352">
        <v>33</v>
      </c>
      <c r="K352">
        <v>3</v>
      </c>
    </row>
    <row r="353" spans="1:11" x14ac:dyDescent="0.35">
      <c r="A353" t="s">
        <v>53</v>
      </c>
      <c r="B353" t="s">
        <v>12</v>
      </c>
      <c r="C353" t="s">
        <v>13</v>
      </c>
      <c r="D353" t="s">
        <v>16</v>
      </c>
      <c r="E353" t="s">
        <v>17</v>
      </c>
      <c r="F353">
        <v>285</v>
      </c>
      <c r="G353">
        <v>33</v>
      </c>
      <c r="H353">
        <v>21</v>
      </c>
      <c r="I353">
        <v>297</v>
      </c>
      <c r="J353">
        <v>36</v>
      </c>
      <c r="K353">
        <v>2</v>
      </c>
    </row>
    <row r="354" spans="1:11" x14ac:dyDescent="0.35">
      <c r="A354" t="s">
        <v>53</v>
      </c>
      <c r="B354" t="s">
        <v>12</v>
      </c>
      <c r="C354" t="s">
        <v>13</v>
      </c>
      <c r="D354" t="s">
        <v>18</v>
      </c>
      <c r="E354" t="s">
        <v>19</v>
      </c>
      <c r="F354">
        <v>108</v>
      </c>
      <c r="G354">
        <v>49</v>
      </c>
      <c r="H354">
        <v>34</v>
      </c>
      <c r="I354">
        <v>123</v>
      </c>
      <c r="J354">
        <v>41</v>
      </c>
      <c r="K354">
        <v>5</v>
      </c>
    </row>
    <row r="355" spans="1:11" x14ac:dyDescent="0.35">
      <c r="A355" t="s">
        <v>53</v>
      </c>
      <c r="B355" t="s">
        <v>12</v>
      </c>
      <c r="C355" t="s">
        <v>13</v>
      </c>
      <c r="D355" t="s">
        <v>20</v>
      </c>
      <c r="E355" t="s">
        <v>21</v>
      </c>
      <c r="F355">
        <v>121</v>
      </c>
      <c r="G355">
        <v>57</v>
      </c>
      <c r="H355">
        <v>48</v>
      </c>
      <c r="I355">
        <v>130</v>
      </c>
      <c r="J355">
        <v>49</v>
      </c>
      <c r="K355">
        <v>2</v>
      </c>
    </row>
    <row r="356" spans="1:11" x14ac:dyDescent="0.35">
      <c r="A356" t="s">
        <v>53</v>
      </c>
      <c r="B356" t="s">
        <v>12</v>
      </c>
      <c r="C356" t="s">
        <v>13</v>
      </c>
      <c r="D356" t="s">
        <v>22</v>
      </c>
      <c r="E356" t="s">
        <v>23</v>
      </c>
      <c r="F356">
        <v>193</v>
      </c>
      <c r="G356">
        <v>17</v>
      </c>
      <c r="H356">
        <v>8</v>
      </c>
      <c r="I356">
        <v>202</v>
      </c>
      <c r="J356">
        <v>11</v>
      </c>
      <c r="K356">
        <v>5</v>
      </c>
    </row>
    <row r="357" spans="1:11" x14ac:dyDescent="0.35">
      <c r="A357" t="s">
        <v>53</v>
      </c>
      <c r="B357" t="s">
        <v>12</v>
      </c>
      <c r="C357" t="s">
        <v>24</v>
      </c>
      <c r="D357" t="s">
        <v>14</v>
      </c>
      <c r="E357" t="s">
        <v>15</v>
      </c>
      <c r="F357">
        <v>178</v>
      </c>
      <c r="G357">
        <v>33</v>
      </c>
      <c r="H357">
        <v>26</v>
      </c>
      <c r="I357">
        <v>185</v>
      </c>
      <c r="K357">
        <v>4</v>
      </c>
    </row>
    <row r="358" spans="1:11" x14ac:dyDescent="0.35">
      <c r="A358" t="s">
        <v>53</v>
      </c>
      <c r="B358" t="s">
        <v>12</v>
      </c>
      <c r="C358" t="s">
        <v>24</v>
      </c>
      <c r="D358" t="s">
        <v>16</v>
      </c>
      <c r="E358" t="s">
        <v>17</v>
      </c>
      <c r="F358">
        <v>191</v>
      </c>
      <c r="G358">
        <v>14</v>
      </c>
      <c r="H358">
        <v>27</v>
      </c>
      <c r="I358">
        <v>178</v>
      </c>
      <c r="J358">
        <v>38</v>
      </c>
      <c r="K358">
        <v>4</v>
      </c>
    </row>
    <row r="359" spans="1:11" x14ac:dyDescent="0.35">
      <c r="A359" t="s">
        <v>53</v>
      </c>
      <c r="B359" t="s">
        <v>12</v>
      </c>
      <c r="C359" t="s">
        <v>24</v>
      </c>
      <c r="D359" t="s">
        <v>18</v>
      </c>
      <c r="E359" t="s">
        <v>19</v>
      </c>
      <c r="F359">
        <v>74</v>
      </c>
      <c r="G359">
        <v>52</v>
      </c>
      <c r="H359">
        <v>49</v>
      </c>
      <c r="I359">
        <v>77</v>
      </c>
      <c r="J359">
        <v>56</v>
      </c>
      <c r="K359">
        <v>4</v>
      </c>
    </row>
    <row r="360" spans="1:11" x14ac:dyDescent="0.35">
      <c r="A360" t="s">
        <v>53</v>
      </c>
      <c r="B360" t="s">
        <v>12</v>
      </c>
      <c r="C360" t="s">
        <v>24</v>
      </c>
      <c r="D360" t="s">
        <v>20</v>
      </c>
      <c r="E360" t="s">
        <v>21</v>
      </c>
      <c r="F360">
        <v>92</v>
      </c>
      <c r="G360">
        <v>26</v>
      </c>
      <c r="H360">
        <v>44</v>
      </c>
      <c r="I360">
        <v>74</v>
      </c>
      <c r="J360">
        <v>49</v>
      </c>
      <c r="K360">
        <v>2</v>
      </c>
    </row>
    <row r="361" spans="1:11" x14ac:dyDescent="0.35">
      <c r="A361" t="s">
        <v>53</v>
      </c>
      <c r="B361" t="s">
        <v>12</v>
      </c>
      <c r="C361" t="s">
        <v>24</v>
      </c>
      <c r="D361" t="s">
        <v>22</v>
      </c>
      <c r="E361" t="s">
        <v>23</v>
      </c>
      <c r="F361">
        <v>328</v>
      </c>
      <c r="G361">
        <v>38</v>
      </c>
      <c r="H361">
        <v>5</v>
      </c>
      <c r="I361">
        <v>361</v>
      </c>
      <c r="J361">
        <v>12</v>
      </c>
      <c r="K361">
        <v>2</v>
      </c>
    </row>
    <row r="362" spans="1:11" x14ac:dyDescent="0.35">
      <c r="A362" t="s">
        <v>53</v>
      </c>
      <c r="B362" t="s">
        <v>12</v>
      </c>
      <c r="C362" t="s">
        <v>25</v>
      </c>
      <c r="D362" t="s">
        <v>14</v>
      </c>
      <c r="E362" t="s">
        <v>15</v>
      </c>
      <c r="F362">
        <v>180</v>
      </c>
      <c r="G362">
        <v>54</v>
      </c>
      <c r="H362">
        <v>23</v>
      </c>
      <c r="I362">
        <v>211</v>
      </c>
      <c r="J362">
        <v>29</v>
      </c>
      <c r="K362">
        <v>5</v>
      </c>
    </row>
    <row r="363" spans="1:11" x14ac:dyDescent="0.35">
      <c r="A363" t="s">
        <v>53</v>
      </c>
      <c r="B363" t="s">
        <v>12</v>
      </c>
      <c r="C363" t="s">
        <v>25</v>
      </c>
      <c r="D363" t="s">
        <v>16</v>
      </c>
      <c r="E363" t="s">
        <v>17</v>
      </c>
      <c r="F363">
        <v>199</v>
      </c>
      <c r="G363">
        <v>54</v>
      </c>
      <c r="H363">
        <v>28</v>
      </c>
      <c r="I363">
        <v>225</v>
      </c>
      <c r="J363">
        <v>42</v>
      </c>
      <c r="K363">
        <v>3</v>
      </c>
    </row>
    <row r="364" spans="1:11" x14ac:dyDescent="0.35">
      <c r="A364" t="s">
        <v>53</v>
      </c>
      <c r="B364" t="s">
        <v>12</v>
      </c>
      <c r="C364" t="s">
        <v>25</v>
      </c>
      <c r="D364" t="s">
        <v>18</v>
      </c>
      <c r="E364" t="s">
        <v>19</v>
      </c>
      <c r="F364">
        <v>180</v>
      </c>
      <c r="G364">
        <v>3</v>
      </c>
      <c r="H364">
        <v>42</v>
      </c>
      <c r="I364">
        <v>141</v>
      </c>
      <c r="J364">
        <v>51</v>
      </c>
      <c r="K364">
        <v>2</v>
      </c>
    </row>
    <row r="365" spans="1:11" x14ac:dyDescent="0.35">
      <c r="A365" t="s">
        <v>53</v>
      </c>
      <c r="B365" t="s">
        <v>12</v>
      </c>
      <c r="C365" t="s">
        <v>25</v>
      </c>
      <c r="D365" t="s">
        <v>20</v>
      </c>
      <c r="E365" t="s">
        <v>21</v>
      </c>
      <c r="F365">
        <v>183</v>
      </c>
      <c r="G365">
        <v>13</v>
      </c>
      <c r="H365">
        <v>15</v>
      </c>
      <c r="I365">
        <v>181</v>
      </c>
      <c r="J365">
        <v>19</v>
      </c>
      <c r="K365">
        <v>1</v>
      </c>
    </row>
    <row r="366" spans="1:11" x14ac:dyDescent="0.35">
      <c r="A366" t="s">
        <v>53</v>
      </c>
      <c r="B366" t="s">
        <v>12</v>
      </c>
      <c r="C366" t="s">
        <v>25</v>
      </c>
      <c r="D366" t="s">
        <v>22</v>
      </c>
      <c r="E366" t="s">
        <v>23</v>
      </c>
      <c r="F366">
        <v>316</v>
      </c>
      <c r="G366">
        <v>25</v>
      </c>
      <c r="H366">
        <v>11</v>
      </c>
      <c r="I366">
        <v>330</v>
      </c>
      <c r="J366">
        <v>26</v>
      </c>
      <c r="K366">
        <v>5</v>
      </c>
    </row>
    <row r="367" spans="1:11" x14ac:dyDescent="0.35">
      <c r="A367" t="s">
        <v>53</v>
      </c>
      <c r="B367" t="s">
        <v>26</v>
      </c>
      <c r="C367" t="s">
        <v>27</v>
      </c>
      <c r="D367" t="s">
        <v>14</v>
      </c>
      <c r="E367" t="s">
        <v>15</v>
      </c>
      <c r="F367">
        <v>311</v>
      </c>
      <c r="G367">
        <v>27</v>
      </c>
      <c r="H367">
        <v>9</v>
      </c>
      <c r="I367">
        <v>329</v>
      </c>
      <c r="J367">
        <v>22</v>
      </c>
      <c r="K367">
        <v>3</v>
      </c>
    </row>
    <row r="368" spans="1:11" x14ac:dyDescent="0.35">
      <c r="A368" t="s">
        <v>53</v>
      </c>
      <c r="B368" t="s">
        <v>26</v>
      </c>
      <c r="C368" t="s">
        <v>27</v>
      </c>
      <c r="D368" t="s">
        <v>16</v>
      </c>
      <c r="E368" t="s">
        <v>17</v>
      </c>
      <c r="F368">
        <v>171</v>
      </c>
      <c r="G368">
        <v>34</v>
      </c>
      <c r="H368">
        <v>18</v>
      </c>
      <c r="I368">
        <v>187</v>
      </c>
      <c r="J368">
        <v>32</v>
      </c>
      <c r="K368">
        <v>2</v>
      </c>
    </row>
    <row r="369" spans="1:11" x14ac:dyDescent="0.35">
      <c r="A369" t="s">
        <v>53</v>
      </c>
      <c r="B369" t="s">
        <v>26</v>
      </c>
      <c r="C369" t="s">
        <v>27</v>
      </c>
      <c r="D369" t="s">
        <v>18</v>
      </c>
      <c r="E369" t="s">
        <v>19</v>
      </c>
      <c r="F369">
        <v>185</v>
      </c>
      <c r="G369">
        <v>58</v>
      </c>
      <c r="H369">
        <v>23</v>
      </c>
      <c r="I369">
        <v>220</v>
      </c>
      <c r="J369">
        <v>26</v>
      </c>
      <c r="K369">
        <v>4</v>
      </c>
    </row>
    <row r="370" spans="1:11" x14ac:dyDescent="0.35">
      <c r="A370" t="s">
        <v>53</v>
      </c>
      <c r="B370" t="s">
        <v>26</v>
      </c>
      <c r="C370" t="s">
        <v>27</v>
      </c>
      <c r="D370" t="s">
        <v>20</v>
      </c>
      <c r="E370" t="s">
        <v>21</v>
      </c>
      <c r="F370">
        <v>259</v>
      </c>
      <c r="G370">
        <v>30</v>
      </c>
      <c r="H370">
        <v>21</v>
      </c>
      <c r="I370">
        <v>268</v>
      </c>
      <c r="J370">
        <v>30</v>
      </c>
      <c r="K370">
        <v>3</v>
      </c>
    </row>
    <row r="371" spans="1:11" x14ac:dyDescent="0.35">
      <c r="A371" t="s">
        <v>53</v>
      </c>
      <c r="B371" t="s">
        <v>26</v>
      </c>
      <c r="C371" t="s">
        <v>27</v>
      </c>
      <c r="D371" t="s">
        <v>22</v>
      </c>
      <c r="E371" t="s">
        <v>23</v>
      </c>
      <c r="F371">
        <v>273</v>
      </c>
      <c r="G371">
        <v>35</v>
      </c>
      <c r="H371">
        <v>13</v>
      </c>
      <c r="I371">
        <v>295</v>
      </c>
      <c r="J371">
        <v>27</v>
      </c>
      <c r="K371">
        <v>3</v>
      </c>
    </row>
    <row r="372" spans="1:11" x14ac:dyDescent="0.35">
      <c r="A372" t="s">
        <v>53</v>
      </c>
      <c r="B372" t="s">
        <v>28</v>
      </c>
      <c r="C372" t="s">
        <v>29</v>
      </c>
      <c r="D372" t="s">
        <v>14</v>
      </c>
      <c r="E372" t="s">
        <v>15</v>
      </c>
      <c r="F372">
        <v>253</v>
      </c>
      <c r="G372">
        <v>24</v>
      </c>
      <c r="H372">
        <v>26</v>
      </c>
      <c r="I372">
        <v>251</v>
      </c>
      <c r="J372">
        <v>34</v>
      </c>
      <c r="K372">
        <v>5</v>
      </c>
    </row>
    <row r="373" spans="1:11" x14ac:dyDescent="0.35">
      <c r="A373" t="s">
        <v>53</v>
      </c>
      <c r="B373" t="s">
        <v>28</v>
      </c>
      <c r="C373" t="s">
        <v>29</v>
      </c>
      <c r="D373" t="s">
        <v>16</v>
      </c>
      <c r="E373" t="s">
        <v>17</v>
      </c>
      <c r="F373">
        <v>182</v>
      </c>
      <c r="G373">
        <v>4</v>
      </c>
      <c r="H373">
        <v>20</v>
      </c>
      <c r="I373">
        <v>166</v>
      </c>
      <c r="J373">
        <v>25</v>
      </c>
      <c r="K373">
        <v>4</v>
      </c>
    </row>
    <row r="374" spans="1:11" x14ac:dyDescent="0.35">
      <c r="A374" t="s">
        <v>53</v>
      </c>
      <c r="B374" t="s">
        <v>28</v>
      </c>
      <c r="C374" t="s">
        <v>29</v>
      </c>
      <c r="D374" t="s">
        <v>18</v>
      </c>
      <c r="E374" t="s">
        <v>19</v>
      </c>
      <c r="F374">
        <v>115</v>
      </c>
      <c r="G374">
        <v>51</v>
      </c>
      <c r="H374">
        <v>30</v>
      </c>
      <c r="I374">
        <v>136</v>
      </c>
      <c r="K374">
        <v>1</v>
      </c>
    </row>
    <row r="375" spans="1:11" x14ac:dyDescent="0.35">
      <c r="A375" t="s">
        <v>53</v>
      </c>
      <c r="B375" t="s">
        <v>28</v>
      </c>
      <c r="C375" t="s">
        <v>29</v>
      </c>
      <c r="D375" t="s">
        <v>20</v>
      </c>
      <c r="E375" t="s">
        <v>21</v>
      </c>
      <c r="F375">
        <v>132</v>
      </c>
      <c r="G375">
        <v>5</v>
      </c>
      <c r="H375">
        <v>25</v>
      </c>
      <c r="I375">
        <v>112</v>
      </c>
      <c r="J375">
        <v>25</v>
      </c>
      <c r="K375">
        <v>2</v>
      </c>
    </row>
    <row r="376" spans="1:11" x14ac:dyDescent="0.35">
      <c r="A376" t="s">
        <v>53</v>
      </c>
      <c r="B376" t="s">
        <v>28</v>
      </c>
      <c r="C376" t="s">
        <v>29</v>
      </c>
      <c r="D376" t="s">
        <v>22</v>
      </c>
      <c r="E376" t="s">
        <v>23</v>
      </c>
      <c r="F376">
        <v>405</v>
      </c>
      <c r="G376">
        <v>36</v>
      </c>
      <c r="H376">
        <v>5</v>
      </c>
      <c r="I376">
        <v>436</v>
      </c>
      <c r="J376">
        <v>16</v>
      </c>
      <c r="K376">
        <v>5</v>
      </c>
    </row>
    <row r="377" spans="1:11" x14ac:dyDescent="0.35">
      <c r="A377" t="s">
        <v>53</v>
      </c>
      <c r="B377" t="s">
        <v>31</v>
      </c>
      <c r="C377" t="s">
        <v>32</v>
      </c>
      <c r="D377" t="s">
        <v>14</v>
      </c>
      <c r="E377" t="s">
        <v>15</v>
      </c>
      <c r="F377">
        <v>209</v>
      </c>
      <c r="G377">
        <v>60</v>
      </c>
      <c r="H377">
        <v>12</v>
      </c>
      <c r="I377">
        <v>257</v>
      </c>
      <c r="J377">
        <v>24</v>
      </c>
      <c r="K377">
        <v>1</v>
      </c>
    </row>
    <row r="378" spans="1:11" x14ac:dyDescent="0.35">
      <c r="A378" t="s">
        <v>53</v>
      </c>
      <c r="B378" t="s">
        <v>31</v>
      </c>
      <c r="C378" t="s">
        <v>32</v>
      </c>
      <c r="D378" t="s">
        <v>16</v>
      </c>
      <c r="E378" t="s">
        <v>17</v>
      </c>
      <c r="F378">
        <v>276</v>
      </c>
      <c r="G378">
        <v>42</v>
      </c>
      <c r="H378">
        <v>29</v>
      </c>
      <c r="I378">
        <v>289</v>
      </c>
      <c r="J378">
        <v>39</v>
      </c>
      <c r="K378">
        <v>1</v>
      </c>
    </row>
    <row r="379" spans="1:11" x14ac:dyDescent="0.35">
      <c r="A379" t="s">
        <v>53</v>
      </c>
      <c r="B379" t="s">
        <v>31</v>
      </c>
      <c r="C379" t="s">
        <v>32</v>
      </c>
      <c r="D379" t="s">
        <v>18</v>
      </c>
      <c r="E379" t="s">
        <v>19</v>
      </c>
      <c r="F379">
        <v>84</v>
      </c>
      <c r="G379">
        <v>46</v>
      </c>
      <c r="H379">
        <v>39</v>
      </c>
      <c r="I379">
        <v>91</v>
      </c>
      <c r="J379">
        <v>48</v>
      </c>
      <c r="K379">
        <v>1</v>
      </c>
    </row>
    <row r="380" spans="1:11" x14ac:dyDescent="0.35">
      <c r="A380" t="s">
        <v>53</v>
      </c>
      <c r="B380" t="s">
        <v>31</v>
      </c>
      <c r="C380" t="s">
        <v>32</v>
      </c>
      <c r="D380" t="s">
        <v>20</v>
      </c>
      <c r="E380" t="s">
        <v>21</v>
      </c>
      <c r="F380">
        <v>146</v>
      </c>
      <c r="G380">
        <v>17</v>
      </c>
      <c r="H380">
        <v>34</v>
      </c>
      <c r="I380">
        <v>129</v>
      </c>
      <c r="J380">
        <v>34</v>
      </c>
      <c r="K380">
        <v>3</v>
      </c>
    </row>
    <row r="381" spans="1:11" x14ac:dyDescent="0.35">
      <c r="A381" t="s">
        <v>53</v>
      </c>
      <c r="B381" t="s">
        <v>31</v>
      </c>
      <c r="C381" t="s">
        <v>32</v>
      </c>
      <c r="D381" t="s">
        <v>22</v>
      </c>
      <c r="E381" t="s">
        <v>23</v>
      </c>
      <c r="F381">
        <v>426</v>
      </c>
      <c r="G381">
        <v>40</v>
      </c>
      <c r="H381">
        <v>13</v>
      </c>
      <c r="I381">
        <v>453</v>
      </c>
      <c r="J381">
        <v>20</v>
      </c>
      <c r="K381">
        <v>1</v>
      </c>
    </row>
    <row r="382" spans="1:11" x14ac:dyDescent="0.35">
      <c r="A382" t="s">
        <v>53</v>
      </c>
      <c r="B382" t="s">
        <v>33</v>
      </c>
      <c r="C382" t="s">
        <v>34</v>
      </c>
      <c r="D382" t="s">
        <v>14</v>
      </c>
      <c r="E382" t="s">
        <v>15</v>
      </c>
      <c r="F382">
        <v>146</v>
      </c>
      <c r="G382">
        <v>33</v>
      </c>
      <c r="H382">
        <v>18</v>
      </c>
      <c r="I382">
        <v>161</v>
      </c>
      <c r="J382">
        <v>33</v>
      </c>
      <c r="K382">
        <v>1</v>
      </c>
    </row>
    <row r="383" spans="1:11" x14ac:dyDescent="0.35">
      <c r="A383" t="s">
        <v>53</v>
      </c>
      <c r="B383" t="s">
        <v>33</v>
      </c>
      <c r="C383" t="s">
        <v>34</v>
      </c>
      <c r="D383" t="s">
        <v>16</v>
      </c>
      <c r="E383" t="s">
        <v>17</v>
      </c>
      <c r="F383">
        <v>216</v>
      </c>
      <c r="G383">
        <v>34</v>
      </c>
      <c r="H383">
        <v>11</v>
      </c>
      <c r="I383">
        <v>239</v>
      </c>
      <c r="J383">
        <v>12</v>
      </c>
      <c r="K383">
        <v>5</v>
      </c>
    </row>
    <row r="384" spans="1:11" x14ac:dyDescent="0.35">
      <c r="A384" t="s">
        <v>53</v>
      </c>
      <c r="B384" t="s">
        <v>33</v>
      </c>
      <c r="C384" t="s">
        <v>34</v>
      </c>
      <c r="D384" t="s">
        <v>18</v>
      </c>
      <c r="E384" t="s">
        <v>19</v>
      </c>
      <c r="F384">
        <v>136</v>
      </c>
      <c r="G384">
        <v>59</v>
      </c>
      <c r="H384">
        <v>22</v>
      </c>
      <c r="I384">
        <v>173</v>
      </c>
      <c r="J384">
        <v>27</v>
      </c>
      <c r="K384">
        <v>4</v>
      </c>
    </row>
    <row r="385" spans="1:11" x14ac:dyDescent="0.35">
      <c r="A385" t="s">
        <v>53</v>
      </c>
      <c r="B385" t="s">
        <v>33</v>
      </c>
      <c r="C385" t="s">
        <v>34</v>
      </c>
      <c r="D385" t="s">
        <v>20</v>
      </c>
      <c r="E385" t="s">
        <v>21</v>
      </c>
      <c r="F385">
        <v>317</v>
      </c>
      <c r="G385">
        <v>46</v>
      </c>
      <c r="H385">
        <v>24</v>
      </c>
      <c r="I385">
        <v>339</v>
      </c>
      <c r="J385">
        <v>30</v>
      </c>
      <c r="K385">
        <v>4</v>
      </c>
    </row>
    <row r="386" spans="1:11" x14ac:dyDescent="0.35">
      <c r="A386" t="s">
        <v>53</v>
      </c>
      <c r="B386" t="s">
        <v>33</v>
      </c>
      <c r="C386" t="s">
        <v>34</v>
      </c>
      <c r="D386" t="s">
        <v>22</v>
      </c>
      <c r="E386" t="s">
        <v>23</v>
      </c>
      <c r="F386">
        <v>300</v>
      </c>
      <c r="G386">
        <v>7</v>
      </c>
      <c r="H386">
        <v>6</v>
      </c>
      <c r="I386">
        <v>301</v>
      </c>
      <c r="J386">
        <v>13</v>
      </c>
      <c r="K386">
        <v>3</v>
      </c>
    </row>
    <row r="387" spans="1:11" x14ac:dyDescent="0.35">
      <c r="A387" t="s">
        <v>54</v>
      </c>
      <c r="B387" t="s">
        <v>12</v>
      </c>
      <c r="C387" t="s">
        <v>13</v>
      </c>
      <c r="D387" t="s">
        <v>14</v>
      </c>
      <c r="E387" t="s">
        <v>15</v>
      </c>
      <c r="F387">
        <v>364</v>
      </c>
      <c r="G387">
        <v>31</v>
      </c>
      <c r="H387">
        <v>21</v>
      </c>
      <c r="I387">
        <v>374</v>
      </c>
      <c r="J387">
        <v>35</v>
      </c>
      <c r="K387">
        <v>1</v>
      </c>
    </row>
    <row r="388" spans="1:11" x14ac:dyDescent="0.35">
      <c r="A388" t="s">
        <v>54</v>
      </c>
      <c r="B388" t="s">
        <v>12</v>
      </c>
      <c r="C388" t="s">
        <v>13</v>
      </c>
      <c r="D388" t="s">
        <v>16</v>
      </c>
      <c r="E388" t="s">
        <v>17</v>
      </c>
      <c r="F388">
        <v>297</v>
      </c>
      <c r="G388">
        <v>1</v>
      </c>
      <c r="H388">
        <v>14</v>
      </c>
      <c r="I388">
        <v>284</v>
      </c>
      <c r="J388">
        <v>27</v>
      </c>
      <c r="K388">
        <v>2</v>
      </c>
    </row>
    <row r="389" spans="1:11" x14ac:dyDescent="0.35">
      <c r="A389" t="s">
        <v>54</v>
      </c>
      <c r="B389" t="s">
        <v>12</v>
      </c>
      <c r="C389" t="s">
        <v>13</v>
      </c>
      <c r="D389" t="s">
        <v>18</v>
      </c>
      <c r="E389" t="s">
        <v>19</v>
      </c>
      <c r="F389">
        <v>123</v>
      </c>
      <c r="G389">
        <v>20</v>
      </c>
      <c r="H389">
        <v>23</v>
      </c>
      <c r="I389">
        <v>120</v>
      </c>
      <c r="J389">
        <v>23</v>
      </c>
      <c r="K389">
        <v>5</v>
      </c>
    </row>
    <row r="390" spans="1:11" x14ac:dyDescent="0.35">
      <c r="A390" t="s">
        <v>54</v>
      </c>
      <c r="B390" t="s">
        <v>12</v>
      </c>
      <c r="C390" t="s">
        <v>13</v>
      </c>
      <c r="D390" t="s">
        <v>20</v>
      </c>
      <c r="E390" t="s">
        <v>21</v>
      </c>
      <c r="F390">
        <v>130</v>
      </c>
      <c r="G390">
        <v>34</v>
      </c>
      <c r="H390">
        <v>48</v>
      </c>
      <c r="I390">
        <v>116</v>
      </c>
      <c r="J390">
        <v>59</v>
      </c>
      <c r="K390">
        <v>2</v>
      </c>
    </row>
    <row r="391" spans="1:11" x14ac:dyDescent="0.35">
      <c r="A391" t="s">
        <v>54</v>
      </c>
      <c r="B391" t="s">
        <v>12</v>
      </c>
      <c r="C391" t="s">
        <v>13</v>
      </c>
      <c r="D391" t="s">
        <v>22</v>
      </c>
      <c r="E391" t="s">
        <v>23</v>
      </c>
      <c r="F391">
        <v>202</v>
      </c>
      <c r="G391">
        <v>41</v>
      </c>
      <c r="H391">
        <v>11</v>
      </c>
      <c r="I391">
        <v>232</v>
      </c>
      <c r="J391">
        <v>19</v>
      </c>
      <c r="K391">
        <v>4</v>
      </c>
    </row>
    <row r="392" spans="1:11" x14ac:dyDescent="0.35">
      <c r="A392" t="s">
        <v>54</v>
      </c>
      <c r="B392" t="s">
        <v>12</v>
      </c>
      <c r="C392" t="s">
        <v>24</v>
      </c>
      <c r="D392" t="s">
        <v>14</v>
      </c>
      <c r="E392" t="s">
        <v>15</v>
      </c>
      <c r="F392">
        <v>185</v>
      </c>
      <c r="G392">
        <v>4</v>
      </c>
      <c r="H392">
        <v>17</v>
      </c>
      <c r="I392">
        <v>172</v>
      </c>
      <c r="J392">
        <v>30</v>
      </c>
      <c r="K392">
        <v>2</v>
      </c>
    </row>
    <row r="393" spans="1:11" x14ac:dyDescent="0.35">
      <c r="A393" t="s">
        <v>54</v>
      </c>
      <c r="B393" t="s">
        <v>12</v>
      </c>
      <c r="C393" t="s">
        <v>24</v>
      </c>
      <c r="D393" t="s">
        <v>16</v>
      </c>
      <c r="E393" t="s">
        <v>17</v>
      </c>
      <c r="F393">
        <v>178</v>
      </c>
      <c r="G393">
        <v>31</v>
      </c>
      <c r="H393">
        <v>28</v>
      </c>
      <c r="I393">
        <v>181</v>
      </c>
      <c r="J393">
        <v>40</v>
      </c>
      <c r="K393">
        <v>4</v>
      </c>
    </row>
    <row r="394" spans="1:11" x14ac:dyDescent="0.35">
      <c r="A394" t="s">
        <v>54</v>
      </c>
      <c r="B394" t="s">
        <v>12</v>
      </c>
      <c r="C394" t="s">
        <v>24</v>
      </c>
      <c r="D394" t="s">
        <v>18</v>
      </c>
      <c r="E394" t="s">
        <v>19</v>
      </c>
      <c r="F394">
        <v>77</v>
      </c>
      <c r="G394">
        <v>54</v>
      </c>
      <c r="H394">
        <v>26</v>
      </c>
      <c r="I394">
        <v>105</v>
      </c>
      <c r="J394">
        <v>37</v>
      </c>
      <c r="K394">
        <v>1</v>
      </c>
    </row>
    <row r="395" spans="1:11" x14ac:dyDescent="0.35">
      <c r="A395" t="s">
        <v>54</v>
      </c>
      <c r="B395" t="s">
        <v>12</v>
      </c>
      <c r="C395" t="s">
        <v>24</v>
      </c>
      <c r="D395" t="s">
        <v>20</v>
      </c>
      <c r="E395" t="s">
        <v>21</v>
      </c>
      <c r="F395">
        <v>74</v>
      </c>
      <c r="G395">
        <v>29</v>
      </c>
      <c r="H395">
        <v>43</v>
      </c>
      <c r="I395">
        <v>60</v>
      </c>
      <c r="J395">
        <v>52</v>
      </c>
      <c r="K395">
        <v>3</v>
      </c>
    </row>
    <row r="396" spans="1:11" x14ac:dyDescent="0.35">
      <c r="A396" t="s">
        <v>54</v>
      </c>
      <c r="B396" t="s">
        <v>12</v>
      </c>
      <c r="C396" t="s">
        <v>24</v>
      </c>
      <c r="D396" t="s">
        <v>22</v>
      </c>
      <c r="E396" t="s">
        <v>23</v>
      </c>
      <c r="F396">
        <v>361</v>
      </c>
      <c r="G396">
        <v>1</v>
      </c>
      <c r="H396">
        <v>5</v>
      </c>
      <c r="I396">
        <v>357</v>
      </c>
      <c r="J396">
        <v>14</v>
      </c>
      <c r="K396">
        <v>2</v>
      </c>
    </row>
    <row r="397" spans="1:11" x14ac:dyDescent="0.35">
      <c r="A397" t="s">
        <v>54</v>
      </c>
      <c r="B397" t="s">
        <v>12</v>
      </c>
      <c r="C397" t="s">
        <v>25</v>
      </c>
      <c r="D397" t="s">
        <v>14</v>
      </c>
      <c r="E397" t="s">
        <v>15</v>
      </c>
      <c r="F397">
        <v>211</v>
      </c>
      <c r="G397">
        <v>30</v>
      </c>
      <c r="H397">
        <v>26</v>
      </c>
      <c r="I397">
        <v>215</v>
      </c>
      <c r="J397">
        <v>40</v>
      </c>
      <c r="K397">
        <v>4</v>
      </c>
    </row>
    <row r="398" spans="1:11" x14ac:dyDescent="0.35">
      <c r="A398" t="s">
        <v>54</v>
      </c>
      <c r="B398" t="s">
        <v>12</v>
      </c>
      <c r="C398" t="s">
        <v>25</v>
      </c>
      <c r="D398" t="s">
        <v>16</v>
      </c>
      <c r="E398" t="s">
        <v>17</v>
      </c>
      <c r="F398">
        <v>225</v>
      </c>
      <c r="G398">
        <v>41</v>
      </c>
      <c r="H398">
        <v>33</v>
      </c>
      <c r="I398">
        <v>233</v>
      </c>
      <c r="J398">
        <v>46</v>
      </c>
      <c r="K398">
        <v>1</v>
      </c>
    </row>
    <row r="399" spans="1:11" x14ac:dyDescent="0.35">
      <c r="A399" t="s">
        <v>54</v>
      </c>
      <c r="B399" t="s">
        <v>12</v>
      </c>
      <c r="C399" t="s">
        <v>25</v>
      </c>
      <c r="D399" t="s">
        <v>18</v>
      </c>
      <c r="E399" t="s">
        <v>19</v>
      </c>
      <c r="F399">
        <v>141</v>
      </c>
      <c r="G399">
        <v>29</v>
      </c>
      <c r="H399">
        <v>17</v>
      </c>
      <c r="I399">
        <v>153</v>
      </c>
      <c r="J399">
        <v>25</v>
      </c>
      <c r="K399">
        <v>5</v>
      </c>
    </row>
    <row r="400" spans="1:11" x14ac:dyDescent="0.35">
      <c r="A400" t="s">
        <v>54</v>
      </c>
      <c r="B400" t="s">
        <v>12</v>
      </c>
      <c r="C400" t="s">
        <v>25</v>
      </c>
      <c r="D400" t="s">
        <v>20</v>
      </c>
      <c r="E400" t="s">
        <v>21</v>
      </c>
      <c r="F400">
        <v>181</v>
      </c>
      <c r="G400">
        <v>21</v>
      </c>
      <c r="H400">
        <v>17</v>
      </c>
      <c r="I400">
        <v>185</v>
      </c>
      <c r="J400">
        <v>18</v>
      </c>
      <c r="K400">
        <v>5</v>
      </c>
    </row>
    <row r="401" spans="1:11" x14ac:dyDescent="0.35">
      <c r="A401" t="s">
        <v>54</v>
      </c>
      <c r="B401" t="s">
        <v>12</v>
      </c>
      <c r="C401" t="s">
        <v>25</v>
      </c>
      <c r="D401" t="s">
        <v>22</v>
      </c>
      <c r="E401" t="s">
        <v>23</v>
      </c>
      <c r="F401">
        <v>330</v>
      </c>
      <c r="G401">
        <v>52</v>
      </c>
      <c r="H401">
        <v>8</v>
      </c>
      <c r="I401">
        <v>374</v>
      </c>
      <c r="J401">
        <v>19</v>
      </c>
      <c r="K401">
        <v>2</v>
      </c>
    </row>
    <row r="402" spans="1:11" x14ac:dyDescent="0.35">
      <c r="A402" t="s">
        <v>54</v>
      </c>
      <c r="B402" t="s">
        <v>26</v>
      </c>
      <c r="C402" t="s">
        <v>27</v>
      </c>
      <c r="D402" t="s">
        <v>14</v>
      </c>
      <c r="E402" t="s">
        <v>15</v>
      </c>
      <c r="F402">
        <v>329</v>
      </c>
      <c r="G402">
        <v>59</v>
      </c>
      <c r="H402">
        <v>9</v>
      </c>
      <c r="I402">
        <v>379</v>
      </c>
      <c r="J402">
        <v>12</v>
      </c>
      <c r="K402">
        <v>4</v>
      </c>
    </row>
    <row r="403" spans="1:11" x14ac:dyDescent="0.35">
      <c r="A403" t="s">
        <v>54</v>
      </c>
      <c r="B403" t="s">
        <v>26</v>
      </c>
      <c r="C403" t="s">
        <v>27</v>
      </c>
      <c r="D403" t="s">
        <v>16</v>
      </c>
      <c r="E403" t="s">
        <v>17</v>
      </c>
      <c r="F403">
        <v>187</v>
      </c>
      <c r="G403">
        <v>53</v>
      </c>
      <c r="H403">
        <v>11</v>
      </c>
      <c r="I403">
        <v>229</v>
      </c>
      <c r="J403">
        <v>20</v>
      </c>
      <c r="K403">
        <v>1</v>
      </c>
    </row>
    <row r="404" spans="1:11" x14ac:dyDescent="0.35">
      <c r="A404" t="s">
        <v>54</v>
      </c>
      <c r="B404" t="s">
        <v>26</v>
      </c>
      <c r="C404" t="s">
        <v>27</v>
      </c>
      <c r="D404" t="s">
        <v>18</v>
      </c>
      <c r="E404" t="s">
        <v>19</v>
      </c>
      <c r="F404">
        <v>220</v>
      </c>
      <c r="G404">
        <v>10</v>
      </c>
      <c r="H404">
        <v>29</v>
      </c>
      <c r="I404">
        <v>201</v>
      </c>
      <c r="J404">
        <v>30</v>
      </c>
      <c r="K404">
        <v>2</v>
      </c>
    </row>
    <row r="405" spans="1:11" x14ac:dyDescent="0.35">
      <c r="A405" t="s">
        <v>54</v>
      </c>
      <c r="B405" t="s">
        <v>26</v>
      </c>
      <c r="C405" t="s">
        <v>27</v>
      </c>
      <c r="D405" t="s">
        <v>20</v>
      </c>
      <c r="E405" t="s">
        <v>21</v>
      </c>
      <c r="F405">
        <v>268</v>
      </c>
      <c r="G405">
        <v>56</v>
      </c>
      <c r="H405">
        <v>35</v>
      </c>
      <c r="I405">
        <v>289</v>
      </c>
      <c r="J405">
        <v>39</v>
      </c>
      <c r="K405">
        <v>2</v>
      </c>
    </row>
    <row r="406" spans="1:11" x14ac:dyDescent="0.35">
      <c r="A406" t="s">
        <v>54</v>
      </c>
      <c r="B406" t="s">
        <v>26</v>
      </c>
      <c r="C406" t="s">
        <v>27</v>
      </c>
      <c r="D406" t="s">
        <v>22</v>
      </c>
      <c r="E406" t="s">
        <v>23</v>
      </c>
      <c r="F406">
        <v>295</v>
      </c>
      <c r="G406">
        <v>7</v>
      </c>
      <c r="H406">
        <v>17</v>
      </c>
      <c r="I406">
        <v>285</v>
      </c>
      <c r="J406">
        <v>26</v>
      </c>
      <c r="K406">
        <v>5</v>
      </c>
    </row>
    <row r="407" spans="1:11" x14ac:dyDescent="0.35">
      <c r="A407" t="s">
        <v>54</v>
      </c>
      <c r="B407" t="s">
        <v>28</v>
      </c>
      <c r="C407" t="s">
        <v>29</v>
      </c>
      <c r="D407" t="s">
        <v>14</v>
      </c>
      <c r="E407" t="s">
        <v>15</v>
      </c>
      <c r="F407">
        <v>251</v>
      </c>
      <c r="G407">
        <v>57</v>
      </c>
      <c r="H407">
        <v>25</v>
      </c>
      <c r="I407">
        <v>283</v>
      </c>
      <c r="J407">
        <v>32</v>
      </c>
      <c r="K407">
        <v>5</v>
      </c>
    </row>
    <row r="408" spans="1:11" x14ac:dyDescent="0.35">
      <c r="A408" t="s">
        <v>54</v>
      </c>
      <c r="B408" t="s">
        <v>28</v>
      </c>
      <c r="C408" t="s">
        <v>29</v>
      </c>
      <c r="D408" t="s">
        <v>16</v>
      </c>
      <c r="E408" t="s">
        <v>17</v>
      </c>
      <c r="F408">
        <v>166</v>
      </c>
      <c r="G408">
        <v>56</v>
      </c>
      <c r="H408">
        <v>8</v>
      </c>
      <c r="I408">
        <v>214</v>
      </c>
      <c r="J408">
        <v>20</v>
      </c>
      <c r="K408">
        <v>4</v>
      </c>
    </row>
    <row r="409" spans="1:11" x14ac:dyDescent="0.35">
      <c r="A409" t="s">
        <v>54</v>
      </c>
      <c r="B409" t="s">
        <v>28</v>
      </c>
      <c r="C409" t="s">
        <v>29</v>
      </c>
      <c r="D409" t="s">
        <v>18</v>
      </c>
      <c r="E409" t="s">
        <v>19</v>
      </c>
      <c r="F409">
        <v>136</v>
      </c>
      <c r="G409">
        <v>5</v>
      </c>
      <c r="H409">
        <v>39</v>
      </c>
      <c r="I409">
        <v>102</v>
      </c>
      <c r="J409">
        <v>43</v>
      </c>
      <c r="K409">
        <v>5</v>
      </c>
    </row>
    <row r="410" spans="1:11" x14ac:dyDescent="0.35">
      <c r="A410" t="s">
        <v>54</v>
      </c>
      <c r="B410" t="s">
        <v>28</v>
      </c>
      <c r="C410" t="s">
        <v>29</v>
      </c>
      <c r="D410" t="s">
        <v>20</v>
      </c>
      <c r="E410" t="s">
        <v>21</v>
      </c>
      <c r="F410">
        <v>112</v>
      </c>
      <c r="G410">
        <v>34</v>
      </c>
      <c r="H410" t="s">
        <v>43</v>
      </c>
      <c r="I410">
        <v>98</v>
      </c>
      <c r="J410">
        <v>53</v>
      </c>
      <c r="K410">
        <v>5</v>
      </c>
    </row>
    <row r="411" spans="1:11" x14ac:dyDescent="0.35">
      <c r="A411" t="s">
        <v>54</v>
      </c>
      <c r="B411" t="s">
        <v>28</v>
      </c>
      <c r="C411" t="s">
        <v>29</v>
      </c>
      <c r="D411" t="s">
        <v>22</v>
      </c>
      <c r="E411" t="s">
        <v>23</v>
      </c>
      <c r="F411">
        <v>436</v>
      </c>
      <c r="G411">
        <v>15</v>
      </c>
      <c r="H411">
        <v>3</v>
      </c>
      <c r="I411">
        <v>448</v>
      </c>
      <c r="J411">
        <v>5</v>
      </c>
      <c r="K411">
        <v>1</v>
      </c>
    </row>
    <row r="412" spans="1:11" x14ac:dyDescent="0.35">
      <c r="A412" t="s">
        <v>54</v>
      </c>
      <c r="B412" t="s">
        <v>31</v>
      </c>
      <c r="C412" t="s">
        <v>32</v>
      </c>
      <c r="D412" t="s">
        <v>14</v>
      </c>
      <c r="E412" t="s">
        <v>15</v>
      </c>
      <c r="F412">
        <v>257</v>
      </c>
      <c r="G412">
        <v>25</v>
      </c>
      <c r="H412">
        <v>25</v>
      </c>
      <c r="I412">
        <v>257</v>
      </c>
      <c r="J412">
        <v>37</v>
      </c>
      <c r="K412">
        <v>2</v>
      </c>
    </row>
    <row r="413" spans="1:11" x14ac:dyDescent="0.35">
      <c r="A413" t="s">
        <v>54</v>
      </c>
      <c r="B413" t="s">
        <v>31</v>
      </c>
      <c r="C413" t="s">
        <v>32</v>
      </c>
      <c r="D413" t="s">
        <v>16</v>
      </c>
      <c r="E413" t="s">
        <v>17</v>
      </c>
      <c r="F413">
        <v>289</v>
      </c>
      <c r="G413">
        <v>12</v>
      </c>
      <c r="H413">
        <v>17</v>
      </c>
      <c r="I413">
        <v>284</v>
      </c>
      <c r="J413">
        <v>28</v>
      </c>
      <c r="K413">
        <v>5</v>
      </c>
    </row>
    <row r="414" spans="1:11" x14ac:dyDescent="0.35">
      <c r="A414" t="s">
        <v>54</v>
      </c>
      <c r="B414" t="s">
        <v>31</v>
      </c>
      <c r="C414" t="s">
        <v>32</v>
      </c>
      <c r="D414" t="s">
        <v>18</v>
      </c>
      <c r="E414" t="s">
        <v>19</v>
      </c>
      <c r="F414">
        <v>91</v>
      </c>
      <c r="G414">
        <v>30</v>
      </c>
      <c r="H414">
        <v>21</v>
      </c>
      <c r="I414">
        <v>100</v>
      </c>
      <c r="J414">
        <v>35</v>
      </c>
      <c r="K414">
        <v>3</v>
      </c>
    </row>
    <row r="415" spans="1:11" x14ac:dyDescent="0.35">
      <c r="A415" t="s">
        <v>54</v>
      </c>
      <c r="B415" t="s">
        <v>31</v>
      </c>
      <c r="C415" t="s">
        <v>32</v>
      </c>
      <c r="D415" t="s">
        <v>20</v>
      </c>
      <c r="E415" t="s">
        <v>21</v>
      </c>
      <c r="F415">
        <v>129</v>
      </c>
      <c r="G415">
        <v>12</v>
      </c>
      <c r="H415">
        <v>25</v>
      </c>
      <c r="I415">
        <v>116</v>
      </c>
      <c r="J415">
        <v>38</v>
      </c>
      <c r="K415">
        <v>2</v>
      </c>
    </row>
    <row r="416" spans="1:11" x14ac:dyDescent="0.35">
      <c r="A416" t="s">
        <v>54</v>
      </c>
      <c r="B416" t="s">
        <v>31</v>
      </c>
      <c r="C416" t="s">
        <v>32</v>
      </c>
      <c r="D416" t="s">
        <v>22</v>
      </c>
      <c r="E416" t="s">
        <v>23</v>
      </c>
      <c r="F416">
        <v>453</v>
      </c>
      <c r="G416">
        <v>52</v>
      </c>
      <c r="H416">
        <v>9</v>
      </c>
      <c r="I416">
        <v>496</v>
      </c>
      <c r="J416">
        <v>21</v>
      </c>
      <c r="K416">
        <v>4</v>
      </c>
    </row>
    <row r="417" spans="1:11" x14ac:dyDescent="0.35">
      <c r="A417" t="s">
        <v>54</v>
      </c>
      <c r="B417" t="s">
        <v>33</v>
      </c>
      <c r="C417" t="s">
        <v>34</v>
      </c>
      <c r="D417" t="s">
        <v>14</v>
      </c>
      <c r="E417" t="s">
        <v>15</v>
      </c>
      <c r="F417">
        <v>161</v>
      </c>
      <c r="G417">
        <v>16</v>
      </c>
      <c r="H417">
        <v>19</v>
      </c>
      <c r="I417">
        <v>158</v>
      </c>
      <c r="J417">
        <v>25</v>
      </c>
      <c r="K417">
        <v>5</v>
      </c>
    </row>
    <row r="418" spans="1:11" x14ac:dyDescent="0.35">
      <c r="A418" t="s">
        <v>54</v>
      </c>
      <c r="B418" t="s">
        <v>33</v>
      </c>
      <c r="C418" t="s">
        <v>34</v>
      </c>
      <c r="D418" t="s">
        <v>16</v>
      </c>
      <c r="E418" t="s">
        <v>17</v>
      </c>
      <c r="F418">
        <v>239</v>
      </c>
      <c r="G418">
        <v>50</v>
      </c>
      <c r="H418">
        <v>28</v>
      </c>
      <c r="I418">
        <v>261</v>
      </c>
      <c r="J418">
        <v>42</v>
      </c>
      <c r="K418">
        <v>4</v>
      </c>
    </row>
    <row r="419" spans="1:11" x14ac:dyDescent="0.35">
      <c r="A419" t="s">
        <v>54</v>
      </c>
      <c r="B419" t="s">
        <v>33</v>
      </c>
      <c r="C419" t="s">
        <v>34</v>
      </c>
      <c r="D419" t="s">
        <v>18</v>
      </c>
      <c r="E419" t="s">
        <v>19</v>
      </c>
      <c r="F419">
        <v>173</v>
      </c>
      <c r="G419">
        <v>33</v>
      </c>
      <c r="H419">
        <v>17</v>
      </c>
      <c r="I419">
        <v>189</v>
      </c>
      <c r="J419">
        <v>25</v>
      </c>
      <c r="K419">
        <v>1</v>
      </c>
    </row>
    <row r="420" spans="1:11" x14ac:dyDescent="0.35">
      <c r="A420" t="s">
        <v>54</v>
      </c>
      <c r="B420" t="s">
        <v>33</v>
      </c>
      <c r="C420" t="s">
        <v>34</v>
      </c>
      <c r="D420" t="s">
        <v>20</v>
      </c>
      <c r="E420" t="s">
        <v>21</v>
      </c>
      <c r="F420">
        <v>339</v>
      </c>
      <c r="G420">
        <v>41</v>
      </c>
      <c r="H420">
        <v>25</v>
      </c>
      <c r="I420">
        <v>355</v>
      </c>
      <c r="J420">
        <v>40</v>
      </c>
      <c r="K420">
        <v>5</v>
      </c>
    </row>
    <row r="421" spans="1:11" x14ac:dyDescent="0.35">
      <c r="A421" t="s">
        <v>54</v>
      </c>
      <c r="B421" t="s">
        <v>33</v>
      </c>
      <c r="C421" t="s">
        <v>34</v>
      </c>
      <c r="D421" t="s">
        <v>30</v>
      </c>
      <c r="E421" t="s">
        <v>23</v>
      </c>
      <c r="F421">
        <v>301</v>
      </c>
      <c r="G421">
        <v>54</v>
      </c>
      <c r="H421">
        <v>17</v>
      </c>
      <c r="I421">
        <v>338</v>
      </c>
      <c r="J421">
        <v>29</v>
      </c>
      <c r="K421">
        <v>5</v>
      </c>
    </row>
    <row r="422" spans="1:11" x14ac:dyDescent="0.35">
      <c r="A422" t="s">
        <v>55</v>
      </c>
      <c r="B422" t="s">
        <v>12</v>
      </c>
      <c r="C422" t="s">
        <v>36</v>
      </c>
      <c r="D422" t="s">
        <v>14</v>
      </c>
      <c r="E422" t="s">
        <v>15</v>
      </c>
      <c r="F422">
        <v>374</v>
      </c>
      <c r="G422">
        <v>37</v>
      </c>
      <c r="H422">
        <v>29</v>
      </c>
      <c r="I422">
        <v>382</v>
      </c>
      <c r="J422">
        <v>41</v>
      </c>
      <c r="K422">
        <v>1</v>
      </c>
    </row>
    <row r="423" spans="1:11" x14ac:dyDescent="0.35">
      <c r="A423" t="s">
        <v>55</v>
      </c>
      <c r="B423" t="s">
        <v>12</v>
      </c>
      <c r="C423" t="s">
        <v>13</v>
      </c>
      <c r="D423" t="s">
        <v>16</v>
      </c>
      <c r="E423" t="s">
        <v>17</v>
      </c>
      <c r="F423">
        <v>284</v>
      </c>
      <c r="G423">
        <v>40</v>
      </c>
      <c r="H423">
        <v>29</v>
      </c>
      <c r="I423">
        <v>295</v>
      </c>
      <c r="J423">
        <v>35</v>
      </c>
      <c r="K423">
        <v>5</v>
      </c>
    </row>
    <row r="424" spans="1:11" x14ac:dyDescent="0.35">
      <c r="A424" t="s">
        <v>55</v>
      </c>
      <c r="B424" t="s">
        <v>12</v>
      </c>
      <c r="C424" t="s">
        <v>13</v>
      </c>
      <c r="D424" t="s">
        <v>18</v>
      </c>
      <c r="E424" t="s">
        <v>19</v>
      </c>
      <c r="F424">
        <v>120</v>
      </c>
      <c r="G424">
        <v>54</v>
      </c>
      <c r="H424">
        <v>26</v>
      </c>
      <c r="I424">
        <v>148</v>
      </c>
      <c r="J424">
        <v>28</v>
      </c>
      <c r="K424">
        <v>3</v>
      </c>
    </row>
    <row r="425" spans="1:11" x14ac:dyDescent="0.35">
      <c r="A425" t="s">
        <v>55</v>
      </c>
      <c r="B425" t="s">
        <v>12</v>
      </c>
      <c r="C425" t="s">
        <v>13</v>
      </c>
      <c r="D425" t="s">
        <v>20</v>
      </c>
      <c r="E425" t="s">
        <v>21</v>
      </c>
      <c r="F425">
        <v>116</v>
      </c>
      <c r="G425">
        <v>2</v>
      </c>
      <c r="H425">
        <v>32</v>
      </c>
      <c r="I425">
        <v>86</v>
      </c>
      <c r="J425">
        <v>35</v>
      </c>
      <c r="K425">
        <v>2</v>
      </c>
    </row>
    <row r="426" spans="1:11" x14ac:dyDescent="0.35">
      <c r="A426" t="s">
        <v>55</v>
      </c>
      <c r="B426" t="s">
        <v>12</v>
      </c>
      <c r="C426" t="s">
        <v>13</v>
      </c>
      <c r="D426" t="s">
        <v>22</v>
      </c>
      <c r="E426" t="s">
        <v>23</v>
      </c>
      <c r="F426">
        <v>232</v>
      </c>
      <c r="G426">
        <v>55</v>
      </c>
      <c r="H426">
        <v>3</v>
      </c>
      <c r="I426">
        <v>284</v>
      </c>
      <c r="J426">
        <v>14</v>
      </c>
      <c r="K426">
        <v>1</v>
      </c>
    </row>
    <row r="427" spans="1:11" x14ac:dyDescent="0.35">
      <c r="A427" t="s">
        <v>55</v>
      </c>
      <c r="B427" t="s">
        <v>12</v>
      </c>
      <c r="C427" t="s">
        <v>24</v>
      </c>
      <c r="D427" t="s">
        <v>14</v>
      </c>
      <c r="E427" t="s">
        <v>15</v>
      </c>
      <c r="F427">
        <v>172</v>
      </c>
      <c r="G427">
        <v>30</v>
      </c>
      <c r="H427">
        <v>32</v>
      </c>
      <c r="I427">
        <v>170</v>
      </c>
      <c r="J427">
        <v>33</v>
      </c>
      <c r="K427">
        <v>2</v>
      </c>
    </row>
    <row r="428" spans="1:11" x14ac:dyDescent="0.35">
      <c r="A428" t="s">
        <v>55</v>
      </c>
      <c r="B428" t="s">
        <v>12</v>
      </c>
      <c r="C428" t="s">
        <v>24</v>
      </c>
      <c r="D428" t="s">
        <v>16</v>
      </c>
      <c r="E428" t="s">
        <v>17</v>
      </c>
      <c r="F428">
        <v>181</v>
      </c>
      <c r="G428">
        <v>13</v>
      </c>
      <c r="H428">
        <v>14</v>
      </c>
      <c r="I428">
        <v>180</v>
      </c>
      <c r="J428">
        <v>20</v>
      </c>
      <c r="K428">
        <v>2</v>
      </c>
    </row>
    <row r="429" spans="1:11" x14ac:dyDescent="0.35">
      <c r="A429" t="s">
        <v>55</v>
      </c>
      <c r="B429" t="s">
        <v>12</v>
      </c>
      <c r="C429" t="s">
        <v>24</v>
      </c>
      <c r="D429" t="s">
        <v>18</v>
      </c>
      <c r="E429" t="s">
        <v>19</v>
      </c>
      <c r="F429">
        <v>105</v>
      </c>
      <c r="G429">
        <v>53</v>
      </c>
      <c r="H429">
        <v>31</v>
      </c>
      <c r="I429">
        <v>127</v>
      </c>
      <c r="J429">
        <v>38</v>
      </c>
      <c r="K429">
        <v>3</v>
      </c>
    </row>
    <row r="430" spans="1:11" x14ac:dyDescent="0.35">
      <c r="A430" t="s">
        <v>55</v>
      </c>
      <c r="B430" t="s">
        <v>12</v>
      </c>
      <c r="C430" t="s">
        <v>24</v>
      </c>
      <c r="D430" t="s">
        <v>20</v>
      </c>
      <c r="E430" t="s">
        <v>21</v>
      </c>
      <c r="F430">
        <v>60</v>
      </c>
      <c r="G430">
        <v>45</v>
      </c>
      <c r="H430">
        <v>41</v>
      </c>
      <c r="I430">
        <v>64</v>
      </c>
      <c r="J430">
        <v>56</v>
      </c>
      <c r="K430">
        <v>1</v>
      </c>
    </row>
    <row r="431" spans="1:11" x14ac:dyDescent="0.35">
      <c r="A431" t="s">
        <v>55</v>
      </c>
      <c r="B431" t="s">
        <v>12</v>
      </c>
      <c r="C431" t="s">
        <v>24</v>
      </c>
      <c r="D431" t="s">
        <v>22</v>
      </c>
      <c r="E431" t="s">
        <v>23</v>
      </c>
      <c r="F431">
        <v>357</v>
      </c>
      <c r="G431">
        <v>41</v>
      </c>
      <c r="H431">
        <v>3</v>
      </c>
      <c r="I431">
        <v>395</v>
      </c>
      <c r="J431">
        <v>3</v>
      </c>
      <c r="K431">
        <v>1</v>
      </c>
    </row>
    <row r="432" spans="1:11" x14ac:dyDescent="0.35">
      <c r="A432" t="s">
        <v>55</v>
      </c>
      <c r="B432" t="s">
        <v>12</v>
      </c>
      <c r="C432" t="s">
        <v>25</v>
      </c>
      <c r="D432" t="s">
        <v>14</v>
      </c>
      <c r="E432" t="s">
        <v>15</v>
      </c>
      <c r="F432">
        <v>215</v>
      </c>
      <c r="G432">
        <v>34</v>
      </c>
      <c r="H432">
        <v>19</v>
      </c>
      <c r="I432">
        <v>230</v>
      </c>
      <c r="J432">
        <v>34</v>
      </c>
      <c r="K432">
        <v>4</v>
      </c>
    </row>
    <row r="433" spans="1:11" x14ac:dyDescent="0.35">
      <c r="A433" t="s">
        <v>55</v>
      </c>
      <c r="B433" t="s">
        <v>12</v>
      </c>
      <c r="C433" t="s">
        <v>25</v>
      </c>
      <c r="D433" t="s">
        <v>16</v>
      </c>
      <c r="E433" t="s">
        <v>17</v>
      </c>
      <c r="F433">
        <v>233</v>
      </c>
      <c r="G433">
        <v>11</v>
      </c>
      <c r="H433">
        <v>27</v>
      </c>
      <c r="I433">
        <v>217</v>
      </c>
      <c r="J433">
        <v>37</v>
      </c>
      <c r="K433">
        <v>5</v>
      </c>
    </row>
    <row r="434" spans="1:11" x14ac:dyDescent="0.35">
      <c r="A434" t="s">
        <v>55</v>
      </c>
      <c r="B434" t="s">
        <v>12</v>
      </c>
      <c r="C434" t="s">
        <v>25</v>
      </c>
      <c r="D434" t="s">
        <v>18</v>
      </c>
      <c r="E434" t="s">
        <v>19</v>
      </c>
      <c r="F434">
        <v>153</v>
      </c>
      <c r="G434">
        <v>59</v>
      </c>
      <c r="H434">
        <v>30</v>
      </c>
      <c r="I434">
        <v>182</v>
      </c>
      <c r="J434">
        <v>31</v>
      </c>
      <c r="K434">
        <v>3</v>
      </c>
    </row>
    <row r="435" spans="1:11" x14ac:dyDescent="0.35">
      <c r="A435" t="s">
        <v>55</v>
      </c>
      <c r="B435" t="s">
        <v>12</v>
      </c>
      <c r="C435" t="s">
        <v>25</v>
      </c>
      <c r="D435" t="s">
        <v>20</v>
      </c>
      <c r="E435" t="s">
        <v>21</v>
      </c>
      <c r="F435">
        <v>185</v>
      </c>
      <c r="G435">
        <v>19</v>
      </c>
      <c r="H435">
        <v>36</v>
      </c>
      <c r="I435">
        <v>168</v>
      </c>
      <c r="J435">
        <v>36</v>
      </c>
      <c r="K435">
        <v>4</v>
      </c>
    </row>
    <row r="436" spans="1:11" x14ac:dyDescent="0.35">
      <c r="A436" t="s">
        <v>55</v>
      </c>
      <c r="B436" t="s">
        <v>12</v>
      </c>
      <c r="C436" t="s">
        <v>25</v>
      </c>
      <c r="D436" t="s">
        <v>22</v>
      </c>
      <c r="E436" t="s">
        <v>23</v>
      </c>
      <c r="F436">
        <v>374</v>
      </c>
      <c r="G436">
        <v>17</v>
      </c>
      <c r="H436">
        <v>7</v>
      </c>
      <c r="I436">
        <v>384</v>
      </c>
      <c r="J436">
        <v>20</v>
      </c>
      <c r="K436">
        <v>2</v>
      </c>
    </row>
    <row r="437" spans="1:11" x14ac:dyDescent="0.35">
      <c r="A437" t="s">
        <v>55</v>
      </c>
      <c r="B437" t="s">
        <v>26</v>
      </c>
      <c r="C437" t="s">
        <v>27</v>
      </c>
      <c r="D437" t="s">
        <v>14</v>
      </c>
      <c r="E437" t="s">
        <v>15</v>
      </c>
      <c r="F437">
        <v>379</v>
      </c>
      <c r="G437">
        <v>40</v>
      </c>
      <c r="H437">
        <v>20</v>
      </c>
      <c r="I437">
        <v>399</v>
      </c>
      <c r="J437">
        <v>31</v>
      </c>
      <c r="K437">
        <v>4</v>
      </c>
    </row>
    <row r="438" spans="1:11" x14ac:dyDescent="0.35">
      <c r="A438" t="s">
        <v>55</v>
      </c>
      <c r="B438" t="s">
        <v>26</v>
      </c>
      <c r="C438" t="s">
        <v>36</v>
      </c>
      <c r="D438" t="s">
        <v>16</v>
      </c>
      <c r="E438" t="s">
        <v>17</v>
      </c>
      <c r="F438">
        <v>229</v>
      </c>
      <c r="G438">
        <v>12</v>
      </c>
      <c r="H438">
        <v>17</v>
      </c>
      <c r="I438">
        <v>224</v>
      </c>
      <c r="J438">
        <v>30</v>
      </c>
      <c r="K438">
        <v>4</v>
      </c>
    </row>
    <row r="439" spans="1:11" x14ac:dyDescent="0.35">
      <c r="A439" t="s">
        <v>55</v>
      </c>
      <c r="B439" t="s">
        <v>26</v>
      </c>
      <c r="C439" t="s">
        <v>27</v>
      </c>
      <c r="D439" t="s">
        <v>18</v>
      </c>
      <c r="E439" t="s">
        <v>19</v>
      </c>
      <c r="F439">
        <v>201</v>
      </c>
      <c r="G439">
        <v>21</v>
      </c>
      <c r="H439">
        <v>25</v>
      </c>
      <c r="I439">
        <v>197</v>
      </c>
      <c r="J439">
        <v>31</v>
      </c>
      <c r="K439">
        <v>5</v>
      </c>
    </row>
    <row r="440" spans="1:11" x14ac:dyDescent="0.35">
      <c r="A440" t="s">
        <v>55</v>
      </c>
      <c r="B440" t="s">
        <v>26</v>
      </c>
      <c r="C440" t="s">
        <v>27</v>
      </c>
      <c r="D440" t="s">
        <v>20</v>
      </c>
      <c r="E440" t="s">
        <v>21</v>
      </c>
      <c r="F440">
        <v>289</v>
      </c>
      <c r="G440">
        <v>25</v>
      </c>
      <c r="H440">
        <v>41</v>
      </c>
      <c r="I440">
        <v>273</v>
      </c>
      <c r="J440">
        <v>54</v>
      </c>
      <c r="K440">
        <v>4</v>
      </c>
    </row>
    <row r="441" spans="1:11" x14ac:dyDescent="0.35">
      <c r="A441" t="s">
        <v>55</v>
      </c>
      <c r="B441" t="s">
        <v>26</v>
      </c>
      <c r="C441" t="s">
        <v>27</v>
      </c>
      <c r="D441" t="s">
        <v>22</v>
      </c>
      <c r="E441" t="s">
        <v>23</v>
      </c>
      <c r="F441">
        <v>285</v>
      </c>
      <c r="G441">
        <v>45</v>
      </c>
      <c r="H441">
        <v>11</v>
      </c>
      <c r="I441">
        <v>319</v>
      </c>
      <c r="J441">
        <v>26</v>
      </c>
      <c r="K441">
        <v>3</v>
      </c>
    </row>
    <row r="442" spans="1:11" x14ac:dyDescent="0.35">
      <c r="A442" t="s">
        <v>55</v>
      </c>
      <c r="B442" t="s">
        <v>28</v>
      </c>
      <c r="C442" t="s">
        <v>29</v>
      </c>
      <c r="D442" t="s">
        <v>14</v>
      </c>
      <c r="E442" t="s">
        <v>15</v>
      </c>
      <c r="F442">
        <v>283</v>
      </c>
      <c r="G442">
        <v>55</v>
      </c>
      <c r="H442">
        <v>24</v>
      </c>
      <c r="I442">
        <v>314</v>
      </c>
      <c r="J442">
        <v>37</v>
      </c>
      <c r="K442">
        <v>1</v>
      </c>
    </row>
    <row r="443" spans="1:11" x14ac:dyDescent="0.35">
      <c r="A443" t="s">
        <v>55</v>
      </c>
      <c r="B443" t="s">
        <v>28</v>
      </c>
      <c r="C443" t="s">
        <v>29</v>
      </c>
      <c r="D443" t="s">
        <v>16</v>
      </c>
      <c r="E443" t="s">
        <v>17</v>
      </c>
      <c r="F443">
        <v>214</v>
      </c>
      <c r="G443">
        <v>49</v>
      </c>
      <c r="H443">
        <v>29</v>
      </c>
      <c r="I443">
        <v>234</v>
      </c>
      <c r="J443">
        <v>36</v>
      </c>
      <c r="K443">
        <v>1</v>
      </c>
    </row>
    <row r="444" spans="1:11" x14ac:dyDescent="0.35">
      <c r="A444" t="s">
        <v>55</v>
      </c>
      <c r="B444" t="s">
        <v>28</v>
      </c>
      <c r="C444" t="s">
        <v>29</v>
      </c>
      <c r="D444" t="s">
        <v>18</v>
      </c>
      <c r="E444" t="s">
        <v>19</v>
      </c>
      <c r="F444">
        <v>102</v>
      </c>
      <c r="G444">
        <v>20</v>
      </c>
      <c r="H444">
        <v>44</v>
      </c>
      <c r="I444">
        <v>78</v>
      </c>
      <c r="J444">
        <v>48</v>
      </c>
      <c r="K444">
        <v>1</v>
      </c>
    </row>
    <row r="445" spans="1:11" x14ac:dyDescent="0.35">
      <c r="A445" t="s">
        <v>55</v>
      </c>
      <c r="B445" t="s">
        <v>28</v>
      </c>
      <c r="C445" t="s">
        <v>29</v>
      </c>
      <c r="D445" t="s">
        <v>20</v>
      </c>
      <c r="E445" t="s">
        <v>21</v>
      </c>
      <c r="F445">
        <v>98</v>
      </c>
      <c r="G445">
        <v>23</v>
      </c>
      <c r="H445">
        <v>41</v>
      </c>
      <c r="I445">
        <v>80</v>
      </c>
      <c r="J445">
        <v>43</v>
      </c>
      <c r="K445">
        <v>5</v>
      </c>
    </row>
    <row r="446" spans="1:11" x14ac:dyDescent="0.35">
      <c r="A446" t="s">
        <v>55</v>
      </c>
      <c r="B446" t="s">
        <v>28</v>
      </c>
      <c r="C446" t="s">
        <v>29</v>
      </c>
      <c r="D446" t="s">
        <v>22</v>
      </c>
      <c r="E446" t="s">
        <v>23</v>
      </c>
      <c r="F446">
        <v>448</v>
      </c>
      <c r="G446">
        <v>53</v>
      </c>
      <c r="H446">
        <v>14</v>
      </c>
      <c r="I446">
        <v>487</v>
      </c>
      <c r="J446">
        <v>15</v>
      </c>
      <c r="K446">
        <v>5</v>
      </c>
    </row>
    <row r="447" spans="1:11" x14ac:dyDescent="0.35">
      <c r="A447" t="s">
        <v>55</v>
      </c>
      <c r="B447" t="s">
        <v>31</v>
      </c>
      <c r="C447" t="s">
        <v>32</v>
      </c>
      <c r="D447" t="s">
        <v>14</v>
      </c>
      <c r="E447" t="s">
        <v>15</v>
      </c>
      <c r="F447">
        <v>257</v>
      </c>
      <c r="G447">
        <v>33</v>
      </c>
      <c r="H447">
        <v>32</v>
      </c>
      <c r="I447">
        <v>258</v>
      </c>
      <c r="J447">
        <v>44</v>
      </c>
      <c r="K447">
        <v>2</v>
      </c>
    </row>
    <row r="448" spans="1:11" x14ac:dyDescent="0.35">
      <c r="A448" t="s">
        <v>55</v>
      </c>
      <c r="B448" t="s">
        <v>31</v>
      </c>
      <c r="C448" t="s">
        <v>32</v>
      </c>
      <c r="D448" t="s">
        <v>16</v>
      </c>
      <c r="E448" t="s">
        <v>17</v>
      </c>
      <c r="F448">
        <v>284</v>
      </c>
      <c r="G448">
        <v>33</v>
      </c>
      <c r="H448">
        <v>13</v>
      </c>
      <c r="I448">
        <v>304</v>
      </c>
      <c r="J448">
        <v>16</v>
      </c>
      <c r="K448">
        <v>3</v>
      </c>
    </row>
    <row r="449" spans="1:11" x14ac:dyDescent="0.35">
      <c r="A449" t="s">
        <v>55</v>
      </c>
      <c r="B449" t="s">
        <v>31</v>
      </c>
      <c r="C449" t="s">
        <v>32</v>
      </c>
      <c r="D449" t="s">
        <v>18</v>
      </c>
      <c r="E449" t="s">
        <v>19</v>
      </c>
      <c r="F449">
        <v>100</v>
      </c>
      <c r="G449">
        <v>34</v>
      </c>
      <c r="H449">
        <v>28</v>
      </c>
      <c r="I449">
        <v>106</v>
      </c>
      <c r="J449">
        <v>41</v>
      </c>
      <c r="K449">
        <v>5</v>
      </c>
    </row>
    <row r="450" spans="1:11" x14ac:dyDescent="0.35">
      <c r="A450" t="s">
        <v>55</v>
      </c>
      <c r="B450" t="s">
        <v>31</v>
      </c>
      <c r="C450" t="s">
        <v>32</v>
      </c>
      <c r="D450" t="s">
        <v>20</v>
      </c>
      <c r="E450" t="s">
        <v>21</v>
      </c>
      <c r="F450">
        <v>116</v>
      </c>
      <c r="G450">
        <v>37</v>
      </c>
      <c r="H450">
        <v>37</v>
      </c>
      <c r="I450">
        <v>116</v>
      </c>
      <c r="J450">
        <v>44</v>
      </c>
      <c r="K450">
        <v>2</v>
      </c>
    </row>
    <row r="451" spans="1:11" x14ac:dyDescent="0.35">
      <c r="A451" t="s">
        <v>55</v>
      </c>
      <c r="B451" t="s">
        <v>31</v>
      </c>
      <c r="C451" t="s">
        <v>32</v>
      </c>
      <c r="D451" t="s">
        <v>22</v>
      </c>
      <c r="E451" t="s">
        <v>23</v>
      </c>
      <c r="F451">
        <v>496</v>
      </c>
      <c r="G451">
        <v>60</v>
      </c>
      <c r="H451">
        <v>12</v>
      </c>
      <c r="I451">
        <v>544</v>
      </c>
      <c r="J451">
        <v>13</v>
      </c>
      <c r="K451">
        <v>2</v>
      </c>
    </row>
    <row r="452" spans="1:11" x14ac:dyDescent="0.35">
      <c r="A452" t="s">
        <v>55</v>
      </c>
      <c r="B452" t="s">
        <v>33</v>
      </c>
      <c r="C452" t="s">
        <v>34</v>
      </c>
      <c r="D452" t="s">
        <v>14</v>
      </c>
      <c r="E452" t="s">
        <v>15</v>
      </c>
      <c r="F452">
        <v>158</v>
      </c>
      <c r="G452">
        <v>2</v>
      </c>
      <c r="H452">
        <v>11</v>
      </c>
      <c r="I452">
        <v>149</v>
      </c>
      <c r="J452">
        <v>18</v>
      </c>
      <c r="K452">
        <v>2</v>
      </c>
    </row>
    <row r="453" spans="1:11" x14ac:dyDescent="0.35">
      <c r="A453" t="s">
        <v>55</v>
      </c>
      <c r="B453" t="s">
        <v>33</v>
      </c>
      <c r="C453" t="s">
        <v>34</v>
      </c>
      <c r="D453" t="s">
        <v>16</v>
      </c>
      <c r="E453" t="s">
        <v>17</v>
      </c>
      <c r="F453">
        <v>261</v>
      </c>
      <c r="G453">
        <v>16</v>
      </c>
      <c r="H453">
        <v>33</v>
      </c>
      <c r="I453">
        <v>244</v>
      </c>
      <c r="K453">
        <v>1</v>
      </c>
    </row>
    <row r="454" spans="1:11" x14ac:dyDescent="0.35">
      <c r="A454" t="s">
        <v>56</v>
      </c>
      <c r="B454" t="s">
        <v>33</v>
      </c>
      <c r="C454" t="s">
        <v>34</v>
      </c>
      <c r="D454" t="s">
        <v>18</v>
      </c>
      <c r="E454" t="s">
        <v>19</v>
      </c>
      <c r="F454">
        <v>189</v>
      </c>
      <c r="G454">
        <v>28</v>
      </c>
      <c r="H454">
        <v>35</v>
      </c>
      <c r="I454">
        <v>182</v>
      </c>
      <c r="J454">
        <v>41</v>
      </c>
      <c r="K454">
        <v>5</v>
      </c>
    </row>
    <row r="455" spans="1:11" x14ac:dyDescent="0.35">
      <c r="A455" t="s">
        <v>55</v>
      </c>
      <c r="B455" t="s">
        <v>33</v>
      </c>
      <c r="C455" t="s">
        <v>34</v>
      </c>
      <c r="D455" t="s">
        <v>20</v>
      </c>
      <c r="E455" t="s">
        <v>21</v>
      </c>
      <c r="F455">
        <v>355</v>
      </c>
      <c r="G455">
        <v>22</v>
      </c>
      <c r="H455">
        <v>39</v>
      </c>
      <c r="I455">
        <v>338</v>
      </c>
      <c r="J455">
        <v>45</v>
      </c>
      <c r="K455">
        <v>3</v>
      </c>
    </row>
    <row r="456" spans="1:11" x14ac:dyDescent="0.35">
      <c r="A456" t="s">
        <v>55</v>
      </c>
      <c r="B456" t="s">
        <v>33</v>
      </c>
      <c r="C456" t="s">
        <v>34</v>
      </c>
      <c r="D456" t="s">
        <v>22</v>
      </c>
      <c r="E456" t="s">
        <v>23</v>
      </c>
      <c r="F456">
        <v>338</v>
      </c>
      <c r="G456">
        <v>57</v>
      </c>
      <c r="H456">
        <v>3</v>
      </c>
      <c r="I456">
        <v>392</v>
      </c>
      <c r="J456">
        <v>9</v>
      </c>
      <c r="K456">
        <v>3</v>
      </c>
    </row>
    <row r="457" spans="1:11" x14ac:dyDescent="0.35">
      <c r="A457" t="s">
        <v>57</v>
      </c>
      <c r="B457" t="s">
        <v>12</v>
      </c>
      <c r="C457" t="s">
        <v>13</v>
      </c>
      <c r="D457" t="s">
        <v>14</v>
      </c>
      <c r="E457" t="s">
        <v>15</v>
      </c>
      <c r="F457">
        <v>382</v>
      </c>
      <c r="G457">
        <v>20</v>
      </c>
      <c r="H457">
        <v>31</v>
      </c>
      <c r="I457">
        <v>371</v>
      </c>
      <c r="J457">
        <v>33</v>
      </c>
      <c r="K457">
        <v>3</v>
      </c>
    </row>
    <row r="458" spans="1:11" x14ac:dyDescent="0.35">
      <c r="A458" t="s">
        <v>57</v>
      </c>
      <c r="B458" t="s">
        <v>12</v>
      </c>
      <c r="C458" t="s">
        <v>13</v>
      </c>
      <c r="D458" t="s">
        <v>16</v>
      </c>
      <c r="E458" t="s">
        <v>17</v>
      </c>
      <c r="F458">
        <v>295</v>
      </c>
      <c r="G458">
        <v>56</v>
      </c>
      <c r="H458">
        <v>28</v>
      </c>
      <c r="I458">
        <v>323</v>
      </c>
      <c r="J458">
        <v>34</v>
      </c>
      <c r="K458">
        <v>4</v>
      </c>
    </row>
    <row r="459" spans="1:11" x14ac:dyDescent="0.35">
      <c r="A459" t="s">
        <v>57</v>
      </c>
      <c r="B459" t="s">
        <v>12</v>
      </c>
      <c r="C459" t="s">
        <v>13</v>
      </c>
      <c r="D459" t="s">
        <v>18</v>
      </c>
      <c r="E459" t="s">
        <v>19</v>
      </c>
      <c r="F459">
        <v>148</v>
      </c>
      <c r="G459">
        <v>55</v>
      </c>
      <c r="H459">
        <v>22</v>
      </c>
      <c r="I459">
        <v>181</v>
      </c>
      <c r="J459">
        <v>25</v>
      </c>
      <c r="K459">
        <v>3</v>
      </c>
    </row>
    <row r="460" spans="1:11" x14ac:dyDescent="0.35">
      <c r="A460" t="s">
        <v>57</v>
      </c>
      <c r="B460" t="s">
        <v>12</v>
      </c>
      <c r="C460" t="s">
        <v>13</v>
      </c>
      <c r="D460" t="s">
        <v>20</v>
      </c>
      <c r="E460" t="s">
        <v>21</v>
      </c>
      <c r="F460">
        <v>86</v>
      </c>
      <c r="G460">
        <v>48</v>
      </c>
      <c r="H460">
        <v>34</v>
      </c>
      <c r="I460">
        <v>100</v>
      </c>
      <c r="J460">
        <v>41</v>
      </c>
      <c r="K460">
        <v>5</v>
      </c>
    </row>
    <row r="461" spans="1:11" x14ac:dyDescent="0.35">
      <c r="A461" t="s">
        <v>57</v>
      </c>
      <c r="B461" t="s">
        <v>12</v>
      </c>
      <c r="C461" t="s">
        <v>13</v>
      </c>
      <c r="D461" t="s">
        <v>22</v>
      </c>
      <c r="E461" t="s">
        <v>23</v>
      </c>
      <c r="F461">
        <v>284</v>
      </c>
      <c r="G461">
        <v>29</v>
      </c>
      <c r="H461">
        <v>3</v>
      </c>
      <c r="I461">
        <v>310</v>
      </c>
      <c r="J461">
        <v>8</v>
      </c>
      <c r="K461">
        <v>5</v>
      </c>
    </row>
    <row r="462" spans="1:11" x14ac:dyDescent="0.35">
      <c r="A462" t="s">
        <v>57</v>
      </c>
      <c r="B462" t="s">
        <v>12</v>
      </c>
      <c r="C462" t="s">
        <v>24</v>
      </c>
      <c r="D462" t="s">
        <v>14</v>
      </c>
      <c r="E462" t="s">
        <v>15</v>
      </c>
      <c r="F462">
        <v>170</v>
      </c>
      <c r="G462">
        <v>35</v>
      </c>
      <c r="H462">
        <v>16</v>
      </c>
      <c r="I462">
        <v>189</v>
      </c>
      <c r="J462">
        <v>25</v>
      </c>
      <c r="K462">
        <v>1</v>
      </c>
    </row>
    <row r="463" spans="1:11" x14ac:dyDescent="0.35">
      <c r="A463" t="s">
        <v>57</v>
      </c>
      <c r="B463" t="s">
        <v>12</v>
      </c>
      <c r="C463" t="s">
        <v>24</v>
      </c>
      <c r="D463" t="s">
        <v>16</v>
      </c>
      <c r="E463" t="s">
        <v>17</v>
      </c>
      <c r="F463">
        <v>180</v>
      </c>
      <c r="G463">
        <v>10</v>
      </c>
      <c r="H463">
        <v>25</v>
      </c>
      <c r="I463">
        <v>165</v>
      </c>
      <c r="J463">
        <v>38</v>
      </c>
      <c r="K463">
        <v>2</v>
      </c>
    </row>
    <row r="464" spans="1:11" x14ac:dyDescent="0.35">
      <c r="A464" t="s">
        <v>57</v>
      </c>
      <c r="B464" t="s">
        <v>12</v>
      </c>
      <c r="C464" t="s">
        <v>24</v>
      </c>
      <c r="D464" t="s">
        <v>18</v>
      </c>
      <c r="E464" t="s">
        <v>19</v>
      </c>
      <c r="F464">
        <v>127</v>
      </c>
      <c r="G464">
        <v>16</v>
      </c>
      <c r="H464">
        <v>37</v>
      </c>
      <c r="I464">
        <v>106</v>
      </c>
      <c r="J464">
        <v>39</v>
      </c>
      <c r="K464">
        <v>5</v>
      </c>
    </row>
    <row r="465" spans="1:11" x14ac:dyDescent="0.35">
      <c r="A465" t="s">
        <v>57</v>
      </c>
      <c r="B465" t="s">
        <v>12</v>
      </c>
      <c r="C465" t="s">
        <v>24</v>
      </c>
      <c r="D465" t="s">
        <v>20</v>
      </c>
      <c r="E465" t="s">
        <v>21</v>
      </c>
      <c r="F465">
        <v>64</v>
      </c>
      <c r="G465">
        <v>1</v>
      </c>
      <c r="H465">
        <v>32</v>
      </c>
      <c r="I465">
        <v>33</v>
      </c>
      <c r="J465">
        <v>33</v>
      </c>
      <c r="K465">
        <v>2</v>
      </c>
    </row>
    <row r="466" spans="1:11" x14ac:dyDescent="0.35">
      <c r="A466" t="s">
        <v>57</v>
      </c>
      <c r="B466" t="s">
        <v>12</v>
      </c>
      <c r="C466" t="s">
        <v>24</v>
      </c>
      <c r="D466" t="s">
        <v>22</v>
      </c>
      <c r="E466" t="s">
        <v>23</v>
      </c>
      <c r="F466">
        <v>395</v>
      </c>
      <c r="G466">
        <v>15</v>
      </c>
      <c r="H466">
        <v>10</v>
      </c>
      <c r="I466">
        <v>400</v>
      </c>
      <c r="J466">
        <v>16</v>
      </c>
      <c r="K466">
        <v>3</v>
      </c>
    </row>
    <row r="467" spans="1:11" x14ac:dyDescent="0.35">
      <c r="A467" t="s">
        <v>57</v>
      </c>
      <c r="B467" t="s">
        <v>12</v>
      </c>
      <c r="C467" t="s">
        <v>25</v>
      </c>
      <c r="D467" t="s">
        <v>14</v>
      </c>
      <c r="E467" t="s">
        <v>15</v>
      </c>
      <c r="F467">
        <v>230</v>
      </c>
      <c r="G467">
        <v>59</v>
      </c>
      <c r="H467">
        <v>23</v>
      </c>
      <c r="I467">
        <v>266</v>
      </c>
      <c r="J467">
        <v>32</v>
      </c>
      <c r="K467">
        <v>5</v>
      </c>
    </row>
    <row r="468" spans="1:11" x14ac:dyDescent="0.35">
      <c r="A468" t="s">
        <v>57</v>
      </c>
      <c r="B468" t="s">
        <v>12</v>
      </c>
      <c r="C468" t="s">
        <v>25</v>
      </c>
      <c r="D468" t="s">
        <v>16</v>
      </c>
      <c r="E468" t="s">
        <v>17</v>
      </c>
      <c r="F468">
        <v>217</v>
      </c>
      <c r="G468">
        <v>52</v>
      </c>
      <c r="H468">
        <v>9</v>
      </c>
      <c r="I468">
        <v>260</v>
      </c>
      <c r="J468">
        <v>10</v>
      </c>
      <c r="K468">
        <v>4</v>
      </c>
    </row>
    <row r="469" spans="1:11" x14ac:dyDescent="0.35">
      <c r="A469" t="s">
        <v>57</v>
      </c>
      <c r="B469" t="s">
        <v>12</v>
      </c>
      <c r="C469" t="s">
        <v>25</v>
      </c>
      <c r="D469" t="s">
        <v>18</v>
      </c>
      <c r="E469" t="s">
        <v>19</v>
      </c>
      <c r="F469">
        <v>182</v>
      </c>
      <c r="G469">
        <v>42</v>
      </c>
      <c r="H469">
        <v>28</v>
      </c>
      <c r="I469">
        <v>196</v>
      </c>
      <c r="J469">
        <v>35</v>
      </c>
      <c r="K469">
        <v>5</v>
      </c>
    </row>
    <row r="470" spans="1:11" x14ac:dyDescent="0.35">
      <c r="A470" t="s">
        <v>57</v>
      </c>
      <c r="B470" t="s">
        <v>12</v>
      </c>
      <c r="C470" t="s">
        <v>25</v>
      </c>
      <c r="D470" t="s">
        <v>20</v>
      </c>
      <c r="E470" t="s">
        <v>21</v>
      </c>
      <c r="F470">
        <v>168</v>
      </c>
      <c r="G470">
        <v>34</v>
      </c>
      <c r="H470">
        <v>20</v>
      </c>
      <c r="I470">
        <v>182</v>
      </c>
      <c r="J470">
        <v>22</v>
      </c>
      <c r="K470">
        <v>3</v>
      </c>
    </row>
    <row r="471" spans="1:11" x14ac:dyDescent="0.35">
      <c r="A471" t="s">
        <v>57</v>
      </c>
      <c r="B471" t="s">
        <v>12</v>
      </c>
      <c r="C471" t="s">
        <v>25</v>
      </c>
      <c r="D471" t="s">
        <v>22</v>
      </c>
      <c r="E471" t="s">
        <v>23</v>
      </c>
      <c r="F471">
        <v>384</v>
      </c>
      <c r="G471">
        <v>11</v>
      </c>
      <c r="H471">
        <v>10</v>
      </c>
      <c r="I471">
        <v>385</v>
      </c>
      <c r="J471">
        <v>20</v>
      </c>
      <c r="K471">
        <v>4</v>
      </c>
    </row>
    <row r="472" spans="1:11" x14ac:dyDescent="0.35">
      <c r="A472" t="s">
        <v>57</v>
      </c>
      <c r="B472" t="s">
        <v>26</v>
      </c>
      <c r="C472" t="s">
        <v>27</v>
      </c>
      <c r="D472" t="s">
        <v>14</v>
      </c>
      <c r="E472" t="s">
        <v>15</v>
      </c>
      <c r="F472">
        <v>399</v>
      </c>
      <c r="G472">
        <v>41</v>
      </c>
      <c r="H472">
        <v>34</v>
      </c>
      <c r="I472">
        <v>406</v>
      </c>
      <c r="J472">
        <v>36</v>
      </c>
      <c r="K472">
        <v>2</v>
      </c>
    </row>
    <row r="473" spans="1:11" x14ac:dyDescent="0.35">
      <c r="A473" t="s">
        <v>57</v>
      </c>
      <c r="B473" t="s">
        <v>26</v>
      </c>
      <c r="C473" t="s">
        <v>27</v>
      </c>
      <c r="D473" t="s">
        <v>16</v>
      </c>
      <c r="E473" t="s">
        <v>17</v>
      </c>
      <c r="F473">
        <v>224</v>
      </c>
      <c r="G473">
        <v>45</v>
      </c>
      <c r="H473">
        <v>8</v>
      </c>
      <c r="I473">
        <v>261</v>
      </c>
      <c r="J473">
        <v>14</v>
      </c>
      <c r="K473">
        <v>4</v>
      </c>
    </row>
    <row r="474" spans="1:11" x14ac:dyDescent="0.35">
      <c r="A474" t="s">
        <v>57</v>
      </c>
      <c r="B474" t="s">
        <v>26</v>
      </c>
      <c r="C474" t="s">
        <v>27</v>
      </c>
      <c r="D474" t="s">
        <v>18</v>
      </c>
      <c r="E474" t="s">
        <v>19</v>
      </c>
      <c r="F474">
        <v>197</v>
      </c>
      <c r="G474">
        <v>30</v>
      </c>
      <c r="H474">
        <v>24</v>
      </c>
      <c r="I474">
        <v>203</v>
      </c>
      <c r="J474">
        <v>35</v>
      </c>
      <c r="K474">
        <v>5</v>
      </c>
    </row>
    <row r="475" spans="1:11" x14ac:dyDescent="0.35">
      <c r="A475" t="s">
        <v>57</v>
      </c>
      <c r="B475" t="s">
        <v>45</v>
      </c>
      <c r="C475" t="s">
        <v>27</v>
      </c>
      <c r="D475" t="s">
        <v>20</v>
      </c>
      <c r="E475" t="s">
        <v>21</v>
      </c>
      <c r="F475">
        <v>273</v>
      </c>
      <c r="G475">
        <v>52</v>
      </c>
      <c r="H475">
        <v>19</v>
      </c>
      <c r="I475">
        <v>306</v>
      </c>
      <c r="J475">
        <v>22</v>
      </c>
      <c r="K475">
        <v>3</v>
      </c>
    </row>
    <row r="476" spans="1:11" x14ac:dyDescent="0.35">
      <c r="A476" t="s">
        <v>57</v>
      </c>
      <c r="B476" t="s">
        <v>26</v>
      </c>
      <c r="C476" t="s">
        <v>27</v>
      </c>
      <c r="D476" t="s">
        <v>22</v>
      </c>
      <c r="E476" t="s">
        <v>23</v>
      </c>
      <c r="F476">
        <v>319</v>
      </c>
      <c r="G476">
        <v>1</v>
      </c>
      <c r="H476">
        <v>16</v>
      </c>
      <c r="I476">
        <v>304</v>
      </c>
      <c r="J476">
        <v>20</v>
      </c>
      <c r="K476">
        <v>5</v>
      </c>
    </row>
    <row r="477" spans="1:11" x14ac:dyDescent="0.35">
      <c r="A477" t="s">
        <v>57</v>
      </c>
      <c r="B477" t="s">
        <v>28</v>
      </c>
      <c r="C477" t="s">
        <v>29</v>
      </c>
      <c r="D477" t="s">
        <v>30</v>
      </c>
      <c r="E477" t="s">
        <v>15</v>
      </c>
      <c r="F477">
        <v>314</v>
      </c>
      <c r="G477">
        <v>3</v>
      </c>
      <c r="H477">
        <v>32</v>
      </c>
      <c r="I477">
        <v>285</v>
      </c>
      <c r="J477">
        <v>36</v>
      </c>
      <c r="K477">
        <v>1</v>
      </c>
    </row>
    <row r="478" spans="1:11" x14ac:dyDescent="0.35">
      <c r="A478" t="s">
        <v>57</v>
      </c>
      <c r="B478" t="s">
        <v>28</v>
      </c>
      <c r="C478" t="s">
        <v>29</v>
      </c>
      <c r="D478" t="s">
        <v>16</v>
      </c>
      <c r="E478" t="s">
        <v>17</v>
      </c>
      <c r="F478">
        <v>234</v>
      </c>
      <c r="G478">
        <v>31</v>
      </c>
      <c r="H478">
        <v>23</v>
      </c>
      <c r="I478">
        <v>242</v>
      </c>
      <c r="J478">
        <v>29</v>
      </c>
      <c r="K478">
        <v>1</v>
      </c>
    </row>
    <row r="479" spans="1:11" x14ac:dyDescent="0.35">
      <c r="A479" t="s">
        <v>57</v>
      </c>
      <c r="B479" t="s">
        <v>28</v>
      </c>
      <c r="C479" t="s">
        <v>29</v>
      </c>
      <c r="D479" t="s">
        <v>18</v>
      </c>
      <c r="E479" t="s">
        <v>19</v>
      </c>
      <c r="F479">
        <v>78</v>
      </c>
      <c r="G479">
        <v>31</v>
      </c>
      <c r="H479">
        <v>39</v>
      </c>
      <c r="I479">
        <v>70</v>
      </c>
      <c r="J479">
        <v>43</v>
      </c>
      <c r="K479">
        <v>5</v>
      </c>
    </row>
    <row r="480" spans="1:11" x14ac:dyDescent="0.35">
      <c r="A480" t="s">
        <v>57</v>
      </c>
      <c r="B480" t="s">
        <v>28</v>
      </c>
      <c r="C480" t="s">
        <v>29</v>
      </c>
      <c r="D480" t="s">
        <v>20</v>
      </c>
      <c r="E480" t="s">
        <v>21</v>
      </c>
      <c r="F480">
        <v>80</v>
      </c>
      <c r="G480">
        <v>52</v>
      </c>
      <c r="H480">
        <v>47</v>
      </c>
      <c r="I480">
        <v>85</v>
      </c>
      <c r="J480">
        <v>56</v>
      </c>
      <c r="K480">
        <v>1</v>
      </c>
    </row>
    <row r="481" spans="1:11" x14ac:dyDescent="0.35">
      <c r="A481" t="s">
        <v>57</v>
      </c>
      <c r="B481" t="s">
        <v>28</v>
      </c>
      <c r="C481" t="s">
        <v>29</v>
      </c>
      <c r="D481" t="s">
        <v>22</v>
      </c>
      <c r="E481" t="s">
        <v>23</v>
      </c>
      <c r="F481">
        <v>487</v>
      </c>
      <c r="G481">
        <v>42</v>
      </c>
      <c r="H481">
        <v>9</v>
      </c>
      <c r="I481">
        <v>520</v>
      </c>
      <c r="J481">
        <v>20</v>
      </c>
      <c r="K481">
        <v>3</v>
      </c>
    </row>
    <row r="482" spans="1:11" x14ac:dyDescent="0.35">
      <c r="A482" t="s">
        <v>57</v>
      </c>
      <c r="B482" t="s">
        <v>31</v>
      </c>
      <c r="C482" t="s">
        <v>32</v>
      </c>
      <c r="D482" t="s">
        <v>14</v>
      </c>
      <c r="E482" t="s">
        <v>15</v>
      </c>
      <c r="F482">
        <v>258</v>
      </c>
      <c r="G482">
        <v>38</v>
      </c>
      <c r="H482">
        <v>23</v>
      </c>
      <c r="I482">
        <v>273</v>
      </c>
      <c r="J482">
        <v>23</v>
      </c>
      <c r="K482">
        <v>4</v>
      </c>
    </row>
    <row r="483" spans="1:11" x14ac:dyDescent="0.35">
      <c r="A483" t="s">
        <v>57</v>
      </c>
      <c r="B483" t="s">
        <v>31</v>
      </c>
      <c r="C483" t="s">
        <v>32</v>
      </c>
      <c r="D483" t="s">
        <v>16</v>
      </c>
      <c r="E483" t="s">
        <v>17</v>
      </c>
      <c r="F483">
        <v>304</v>
      </c>
      <c r="G483">
        <v>14</v>
      </c>
      <c r="H483">
        <v>30</v>
      </c>
      <c r="I483">
        <v>288</v>
      </c>
      <c r="J483">
        <v>42</v>
      </c>
      <c r="K483">
        <v>2</v>
      </c>
    </row>
    <row r="484" spans="1:11" x14ac:dyDescent="0.35">
      <c r="A484" t="s">
        <v>57</v>
      </c>
      <c r="B484" t="s">
        <v>31</v>
      </c>
      <c r="C484" t="s">
        <v>32</v>
      </c>
      <c r="D484" t="s">
        <v>18</v>
      </c>
      <c r="E484" t="s">
        <v>19</v>
      </c>
      <c r="F484">
        <v>106</v>
      </c>
      <c r="G484">
        <v>42</v>
      </c>
      <c r="H484">
        <v>34</v>
      </c>
      <c r="I484">
        <v>114</v>
      </c>
      <c r="J484">
        <v>34</v>
      </c>
      <c r="K484">
        <v>4</v>
      </c>
    </row>
    <row r="485" spans="1:11" x14ac:dyDescent="0.35">
      <c r="A485" t="s">
        <v>57</v>
      </c>
      <c r="B485" t="s">
        <v>31</v>
      </c>
      <c r="C485" t="s">
        <v>32</v>
      </c>
      <c r="D485" t="s">
        <v>20</v>
      </c>
      <c r="E485" t="s">
        <v>21</v>
      </c>
      <c r="F485">
        <v>116</v>
      </c>
      <c r="G485">
        <v>41</v>
      </c>
      <c r="H485">
        <v>44</v>
      </c>
      <c r="I485">
        <v>113</v>
      </c>
      <c r="J485">
        <v>47</v>
      </c>
      <c r="K485">
        <v>4</v>
      </c>
    </row>
    <row r="486" spans="1:11" x14ac:dyDescent="0.35">
      <c r="A486" t="s">
        <v>57</v>
      </c>
      <c r="B486" t="s">
        <v>31</v>
      </c>
      <c r="C486" t="s">
        <v>32</v>
      </c>
      <c r="D486" t="s">
        <v>22</v>
      </c>
      <c r="E486" t="s">
        <v>23</v>
      </c>
      <c r="F486">
        <v>544</v>
      </c>
      <c r="G486">
        <v>45</v>
      </c>
      <c r="H486">
        <v>5</v>
      </c>
      <c r="I486">
        <v>584</v>
      </c>
      <c r="J486">
        <v>18</v>
      </c>
      <c r="K486">
        <v>3</v>
      </c>
    </row>
    <row r="487" spans="1:11" x14ac:dyDescent="0.35">
      <c r="A487" t="s">
        <v>57</v>
      </c>
      <c r="B487" t="s">
        <v>33</v>
      </c>
      <c r="C487" t="s">
        <v>34</v>
      </c>
      <c r="D487" t="s">
        <v>14</v>
      </c>
      <c r="E487" t="s">
        <v>15</v>
      </c>
      <c r="F487">
        <v>149</v>
      </c>
      <c r="G487">
        <v>60</v>
      </c>
      <c r="H487">
        <v>22</v>
      </c>
      <c r="I487">
        <v>187</v>
      </c>
      <c r="J487">
        <v>33</v>
      </c>
      <c r="K487">
        <v>5</v>
      </c>
    </row>
    <row r="488" spans="1:11" x14ac:dyDescent="0.35">
      <c r="A488" t="s">
        <v>57</v>
      </c>
      <c r="B488" t="s">
        <v>33</v>
      </c>
      <c r="C488" t="s">
        <v>34</v>
      </c>
      <c r="D488" t="s">
        <v>16</v>
      </c>
      <c r="E488" t="s">
        <v>17</v>
      </c>
      <c r="F488">
        <v>244</v>
      </c>
      <c r="G488">
        <v>55</v>
      </c>
      <c r="H488">
        <v>22</v>
      </c>
      <c r="I488">
        <v>277</v>
      </c>
      <c r="J488">
        <v>29</v>
      </c>
      <c r="K488">
        <v>4</v>
      </c>
    </row>
    <row r="489" spans="1:11" x14ac:dyDescent="0.35">
      <c r="A489" t="s">
        <v>57</v>
      </c>
      <c r="B489" t="s">
        <v>33</v>
      </c>
      <c r="C489" t="s">
        <v>34</v>
      </c>
      <c r="D489" t="s">
        <v>18</v>
      </c>
      <c r="E489" t="s">
        <v>19</v>
      </c>
      <c r="F489">
        <v>182</v>
      </c>
      <c r="G489">
        <v>39</v>
      </c>
      <c r="H489">
        <v>36</v>
      </c>
      <c r="I489">
        <v>185</v>
      </c>
      <c r="J489">
        <v>42</v>
      </c>
      <c r="K489">
        <v>3</v>
      </c>
    </row>
    <row r="490" spans="1:11" x14ac:dyDescent="0.35">
      <c r="A490" t="s">
        <v>57</v>
      </c>
      <c r="B490" t="s">
        <v>33</v>
      </c>
      <c r="C490" t="s">
        <v>34</v>
      </c>
      <c r="D490" t="s">
        <v>20</v>
      </c>
      <c r="E490" t="s">
        <v>21</v>
      </c>
      <c r="F490">
        <v>338</v>
      </c>
      <c r="G490">
        <v>19</v>
      </c>
      <c r="H490">
        <v>47</v>
      </c>
      <c r="I490">
        <v>310</v>
      </c>
      <c r="J490">
        <v>55</v>
      </c>
      <c r="K490">
        <v>4</v>
      </c>
    </row>
    <row r="491" spans="1:11" x14ac:dyDescent="0.35">
      <c r="A491" t="s">
        <v>57</v>
      </c>
      <c r="B491" t="s">
        <v>33</v>
      </c>
      <c r="C491" t="s">
        <v>34</v>
      </c>
      <c r="D491" t="s">
        <v>22</v>
      </c>
      <c r="E491" t="s">
        <v>23</v>
      </c>
      <c r="F491">
        <v>392</v>
      </c>
      <c r="G491">
        <v>23</v>
      </c>
      <c r="H491">
        <v>5</v>
      </c>
      <c r="I491">
        <v>410</v>
      </c>
      <c r="J491">
        <v>8</v>
      </c>
      <c r="K491">
        <v>4</v>
      </c>
    </row>
    <row r="492" spans="1:11" x14ac:dyDescent="0.35">
      <c r="A492" t="s">
        <v>58</v>
      </c>
      <c r="B492" t="s">
        <v>12</v>
      </c>
      <c r="C492" t="s">
        <v>13</v>
      </c>
      <c r="D492" t="s">
        <v>14</v>
      </c>
      <c r="E492" t="s">
        <v>15</v>
      </c>
      <c r="F492">
        <v>371</v>
      </c>
      <c r="G492">
        <v>23</v>
      </c>
      <c r="H492">
        <v>23</v>
      </c>
      <c r="I492">
        <v>371</v>
      </c>
      <c r="J492">
        <v>28</v>
      </c>
      <c r="K492">
        <v>2</v>
      </c>
    </row>
    <row r="493" spans="1:11" x14ac:dyDescent="0.35">
      <c r="A493" t="s">
        <v>58</v>
      </c>
      <c r="B493" t="s">
        <v>12</v>
      </c>
      <c r="C493" t="s">
        <v>13</v>
      </c>
      <c r="D493" t="s">
        <v>16</v>
      </c>
      <c r="E493" t="s">
        <v>17</v>
      </c>
      <c r="F493">
        <v>323</v>
      </c>
      <c r="G493">
        <v>15</v>
      </c>
      <c r="H493">
        <v>34</v>
      </c>
      <c r="I493">
        <v>304</v>
      </c>
      <c r="J493">
        <v>49</v>
      </c>
      <c r="K493">
        <v>1</v>
      </c>
    </row>
    <row r="494" spans="1:11" x14ac:dyDescent="0.35">
      <c r="A494" t="s">
        <v>58</v>
      </c>
      <c r="B494" t="s">
        <v>12</v>
      </c>
      <c r="C494" t="s">
        <v>13</v>
      </c>
      <c r="D494" t="s">
        <v>18</v>
      </c>
      <c r="E494" t="s">
        <v>19</v>
      </c>
      <c r="F494">
        <v>181</v>
      </c>
      <c r="G494">
        <v>33</v>
      </c>
      <c r="H494">
        <v>37</v>
      </c>
      <c r="I494">
        <v>177</v>
      </c>
      <c r="J494">
        <v>52</v>
      </c>
      <c r="K494">
        <v>1</v>
      </c>
    </row>
    <row r="495" spans="1:11" x14ac:dyDescent="0.35">
      <c r="A495" t="s">
        <v>58</v>
      </c>
      <c r="B495" t="s">
        <v>12</v>
      </c>
      <c r="C495" t="s">
        <v>13</v>
      </c>
      <c r="D495" t="s">
        <v>20</v>
      </c>
      <c r="E495" t="s">
        <v>21</v>
      </c>
      <c r="F495">
        <v>100</v>
      </c>
      <c r="G495">
        <v>1</v>
      </c>
      <c r="H495">
        <v>30</v>
      </c>
      <c r="I495">
        <v>71</v>
      </c>
      <c r="J495">
        <v>33</v>
      </c>
      <c r="K495">
        <v>5</v>
      </c>
    </row>
    <row r="496" spans="1:11" x14ac:dyDescent="0.35">
      <c r="A496" t="s">
        <v>58</v>
      </c>
      <c r="B496" t="s">
        <v>12</v>
      </c>
      <c r="C496" t="s">
        <v>13</v>
      </c>
      <c r="D496" t="s">
        <v>22</v>
      </c>
      <c r="E496" t="s">
        <v>23</v>
      </c>
      <c r="F496">
        <v>310</v>
      </c>
      <c r="G496">
        <v>13</v>
      </c>
      <c r="H496">
        <v>5</v>
      </c>
      <c r="I496">
        <v>318</v>
      </c>
      <c r="J496">
        <v>16</v>
      </c>
      <c r="K496">
        <v>1</v>
      </c>
    </row>
    <row r="497" spans="1:11" x14ac:dyDescent="0.35">
      <c r="A497" t="s">
        <v>58</v>
      </c>
      <c r="B497" t="s">
        <v>12</v>
      </c>
      <c r="C497" t="s">
        <v>24</v>
      </c>
      <c r="D497" t="s">
        <v>14</v>
      </c>
      <c r="E497" t="s">
        <v>15</v>
      </c>
      <c r="F497">
        <v>189</v>
      </c>
      <c r="G497">
        <v>52</v>
      </c>
      <c r="H497">
        <v>33</v>
      </c>
      <c r="I497">
        <v>208</v>
      </c>
      <c r="J497">
        <v>47</v>
      </c>
      <c r="K497">
        <v>3</v>
      </c>
    </row>
    <row r="498" spans="1:11" x14ac:dyDescent="0.35">
      <c r="A498" t="s">
        <v>58</v>
      </c>
      <c r="B498" t="s">
        <v>12</v>
      </c>
      <c r="C498" t="s">
        <v>24</v>
      </c>
      <c r="D498" t="s">
        <v>16</v>
      </c>
      <c r="E498" t="s">
        <v>17</v>
      </c>
      <c r="F498">
        <v>165</v>
      </c>
      <c r="G498">
        <v>35</v>
      </c>
      <c r="H498">
        <v>8</v>
      </c>
      <c r="I498">
        <v>192</v>
      </c>
      <c r="J498">
        <v>9</v>
      </c>
      <c r="K498">
        <v>1</v>
      </c>
    </row>
    <row r="499" spans="1:11" x14ac:dyDescent="0.35">
      <c r="A499" t="s">
        <v>58</v>
      </c>
      <c r="B499" t="s">
        <v>12</v>
      </c>
      <c r="C499" t="s">
        <v>24</v>
      </c>
      <c r="D499" t="s">
        <v>18</v>
      </c>
      <c r="E499" t="s">
        <v>19</v>
      </c>
      <c r="F499">
        <v>106</v>
      </c>
      <c r="G499">
        <v>59</v>
      </c>
      <c r="H499">
        <v>40</v>
      </c>
      <c r="I499">
        <v>125</v>
      </c>
      <c r="J499">
        <v>46</v>
      </c>
      <c r="K499">
        <v>3</v>
      </c>
    </row>
    <row r="500" spans="1:11" x14ac:dyDescent="0.35">
      <c r="A500" t="s">
        <v>58</v>
      </c>
      <c r="B500" t="s">
        <v>12</v>
      </c>
      <c r="C500" t="s">
        <v>24</v>
      </c>
      <c r="D500" t="s">
        <v>20</v>
      </c>
      <c r="E500" t="s">
        <v>21</v>
      </c>
      <c r="F500">
        <v>33</v>
      </c>
      <c r="G500">
        <v>10</v>
      </c>
      <c r="H500">
        <v>40</v>
      </c>
      <c r="I500">
        <v>3</v>
      </c>
      <c r="J500">
        <v>46</v>
      </c>
      <c r="K500">
        <v>1</v>
      </c>
    </row>
    <row r="501" spans="1:11" x14ac:dyDescent="0.35">
      <c r="A501" t="s">
        <v>58</v>
      </c>
      <c r="B501" t="s">
        <v>12</v>
      </c>
      <c r="C501" t="s">
        <v>24</v>
      </c>
      <c r="D501" t="s">
        <v>22</v>
      </c>
      <c r="E501" t="s">
        <v>23</v>
      </c>
      <c r="F501">
        <v>400</v>
      </c>
      <c r="G501">
        <v>12</v>
      </c>
      <c r="H501">
        <v>4</v>
      </c>
      <c r="I501">
        <v>408</v>
      </c>
      <c r="J501">
        <v>15</v>
      </c>
      <c r="K501">
        <v>1</v>
      </c>
    </row>
    <row r="502" spans="1:11" x14ac:dyDescent="0.35">
      <c r="A502" t="s">
        <v>58</v>
      </c>
      <c r="B502" t="s">
        <v>12</v>
      </c>
      <c r="C502" t="s">
        <v>25</v>
      </c>
      <c r="D502" t="s">
        <v>14</v>
      </c>
      <c r="E502" t="s">
        <v>15</v>
      </c>
      <c r="F502">
        <v>266</v>
      </c>
      <c r="G502">
        <v>18</v>
      </c>
      <c r="H502">
        <v>26</v>
      </c>
      <c r="I502">
        <v>258</v>
      </c>
      <c r="J502">
        <v>33</v>
      </c>
      <c r="K502">
        <v>1</v>
      </c>
    </row>
    <row r="503" spans="1:11" x14ac:dyDescent="0.35">
      <c r="A503" t="s">
        <v>58</v>
      </c>
      <c r="B503" t="s">
        <v>12</v>
      </c>
      <c r="C503" t="s">
        <v>25</v>
      </c>
      <c r="D503" t="s">
        <v>16</v>
      </c>
      <c r="E503" t="s">
        <v>17</v>
      </c>
      <c r="F503">
        <v>260</v>
      </c>
      <c r="G503">
        <v>20</v>
      </c>
      <c r="H503">
        <v>20</v>
      </c>
      <c r="I503">
        <v>260</v>
      </c>
      <c r="J503">
        <v>25</v>
      </c>
      <c r="K503">
        <v>1</v>
      </c>
    </row>
    <row r="504" spans="1:11" x14ac:dyDescent="0.35">
      <c r="A504" t="s">
        <v>58</v>
      </c>
      <c r="B504" t="s">
        <v>12</v>
      </c>
      <c r="C504" t="s">
        <v>25</v>
      </c>
      <c r="D504" t="s">
        <v>30</v>
      </c>
      <c r="E504" t="s">
        <v>19</v>
      </c>
      <c r="F504">
        <v>196</v>
      </c>
      <c r="G504">
        <v>32</v>
      </c>
      <c r="H504">
        <v>32</v>
      </c>
      <c r="I504">
        <v>196</v>
      </c>
      <c r="J504">
        <v>34</v>
      </c>
      <c r="K504">
        <v>1</v>
      </c>
    </row>
    <row r="505" spans="1:11" x14ac:dyDescent="0.35">
      <c r="A505" t="s">
        <v>58</v>
      </c>
      <c r="B505" t="s">
        <v>12</v>
      </c>
      <c r="C505" t="s">
        <v>25</v>
      </c>
      <c r="D505" t="s">
        <v>20</v>
      </c>
      <c r="E505" t="s">
        <v>21</v>
      </c>
      <c r="F505">
        <v>182</v>
      </c>
      <c r="G505">
        <v>45</v>
      </c>
      <c r="H505">
        <v>23</v>
      </c>
      <c r="I505">
        <v>204</v>
      </c>
      <c r="J505">
        <v>30</v>
      </c>
      <c r="K505">
        <v>4</v>
      </c>
    </row>
    <row r="506" spans="1:11" x14ac:dyDescent="0.35">
      <c r="A506" t="s">
        <v>58</v>
      </c>
      <c r="B506" t="s">
        <v>12</v>
      </c>
      <c r="C506" t="s">
        <v>25</v>
      </c>
      <c r="D506" t="s">
        <v>22</v>
      </c>
      <c r="E506" t="s">
        <v>23</v>
      </c>
      <c r="F506">
        <v>385</v>
      </c>
      <c r="G506">
        <v>35</v>
      </c>
      <c r="H506">
        <v>3</v>
      </c>
      <c r="I506">
        <v>417</v>
      </c>
      <c r="J506">
        <v>4</v>
      </c>
      <c r="K506">
        <v>5</v>
      </c>
    </row>
    <row r="507" spans="1:11" x14ac:dyDescent="0.35">
      <c r="A507" t="s">
        <v>58</v>
      </c>
      <c r="B507" t="s">
        <v>26</v>
      </c>
      <c r="C507" t="s">
        <v>27</v>
      </c>
      <c r="D507" t="s">
        <v>14</v>
      </c>
      <c r="E507" t="s">
        <v>15</v>
      </c>
      <c r="F507">
        <v>406</v>
      </c>
      <c r="G507">
        <v>45</v>
      </c>
      <c r="H507">
        <v>28</v>
      </c>
      <c r="I507">
        <v>423</v>
      </c>
      <c r="J507">
        <v>37</v>
      </c>
      <c r="K507">
        <v>5</v>
      </c>
    </row>
    <row r="508" spans="1:11" x14ac:dyDescent="0.35">
      <c r="A508" t="s">
        <v>58</v>
      </c>
      <c r="B508" t="s">
        <v>26</v>
      </c>
      <c r="C508" t="s">
        <v>27</v>
      </c>
      <c r="D508" t="s">
        <v>16</v>
      </c>
      <c r="E508" t="s">
        <v>17</v>
      </c>
      <c r="F508">
        <v>261</v>
      </c>
      <c r="G508">
        <v>18</v>
      </c>
      <c r="H508">
        <v>15</v>
      </c>
      <c r="I508">
        <v>264</v>
      </c>
      <c r="J508">
        <v>21</v>
      </c>
      <c r="K508">
        <v>1</v>
      </c>
    </row>
    <row r="509" spans="1:11" x14ac:dyDescent="0.35">
      <c r="A509" t="s">
        <v>58</v>
      </c>
      <c r="B509" t="s">
        <v>26</v>
      </c>
      <c r="C509" t="s">
        <v>27</v>
      </c>
      <c r="D509" t="s">
        <v>18</v>
      </c>
      <c r="E509" t="s">
        <v>19</v>
      </c>
      <c r="F509">
        <v>203</v>
      </c>
      <c r="G509">
        <v>4</v>
      </c>
      <c r="H509">
        <v>25</v>
      </c>
      <c r="I509">
        <v>182</v>
      </c>
      <c r="J509">
        <v>36</v>
      </c>
      <c r="K509">
        <v>3</v>
      </c>
    </row>
    <row r="510" spans="1:11" x14ac:dyDescent="0.35">
      <c r="A510" t="s">
        <v>58</v>
      </c>
      <c r="B510" t="s">
        <v>26</v>
      </c>
      <c r="C510" t="s">
        <v>27</v>
      </c>
      <c r="D510" t="s">
        <v>20</v>
      </c>
      <c r="E510" t="s">
        <v>21</v>
      </c>
      <c r="F510">
        <v>306</v>
      </c>
      <c r="G510">
        <v>10</v>
      </c>
      <c r="H510">
        <v>34</v>
      </c>
      <c r="I510">
        <v>282</v>
      </c>
      <c r="J510">
        <v>34</v>
      </c>
      <c r="K510">
        <v>1</v>
      </c>
    </row>
    <row r="511" spans="1:11" x14ac:dyDescent="0.35">
      <c r="A511" t="s">
        <v>58</v>
      </c>
      <c r="B511" t="s">
        <v>45</v>
      </c>
      <c r="C511" t="s">
        <v>27</v>
      </c>
      <c r="D511" t="s">
        <v>22</v>
      </c>
      <c r="E511" t="s">
        <v>23</v>
      </c>
      <c r="F511">
        <v>304</v>
      </c>
      <c r="G511">
        <v>51</v>
      </c>
      <c r="H511">
        <v>13</v>
      </c>
      <c r="I511">
        <v>342</v>
      </c>
      <c r="J511">
        <v>16</v>
      </c>
      <c r="K511">
        <v>1</v>
      </c>
    </row>
    <row r="512" spans="1:11" x14ac:dyDescent="0.35">
      <c r="A512" t="s">
        <v>58</v>
      </c>
      <c r="B512" t="s">
        <v>28</v>
      </c>
      <c r="C512" t="s">
        <v>29</v>
      </c>
      <c r="D512" t="s">
        <v>14</v>
      </c>
      <c r="E512" t="s">
        <v>15</v>
      </c>
      <c r="F512">
        <v>285</v>
      </c>
      <c r="G512">
        <v>30</v>
      </c>
      <c r="H512">
        <v>29</v>
      </c>
      <c r="I512">
        <v>286</v>
      </c>
      <c r="J512">
        <v>30</v>
      </c>
      <c r="K512">
        <v>4</v>
      </c>
    </row>
    <row r="513" spans="1:11" x14ac:dyDescent="0.35">
      <c r="A513" t="s">
        <v>58</v>
      </c>
      <c r="B513" t="s">
        <v>28</v>
      </c>
      <c r="C513" t="s">
        <v>36</v>
      </c>
      <c r="D513" t="s">
        <v>16</v>
      </c>
      <c r="E513" t="s">
        <v>17</v>
      </c>
      <c r="F513">
        <v>242</v>
      </c>
      <c r="G513">
        <v>18</v>
      </c>
      <c r="H513">
        <v>11</v>
      </c>
      <c r="I513">
        <v>249</v>
      </c>
      <c r="J513">
        <v>14</v>
      </c>
      <c r="K513">
        <v>4</v>
      </c>
    </row>
    <row r="514" spans="1:11" x14ac:dyDescent="0.35">
      <c r="A514" t="s">
        <v>58</v>
      </c>
      <c r="B514" t="s">
        <v>28</v>
      </c>
      <c r="C514" t="s">
        <v>29</v>
      </c>
      <c r="D514" t="s">
        <v>18</v>
      </c>
      <c r="E514" t="s">
        <v>19</v>
      </c>
      <c r="F514">
        <v>70</v>
      </c>
      <c r="G514">
        <v>28</v>
      </c>
      <c r="H514">
        <v>38</v>
      </c>
      <c r="I514">
        <v>60</v>
      </c>
      <c r="J514">
        <v>49</v>
      </c>
      <c r="K514">
        <v>1</v>
      </c>
    </row>
    <row r="515" spans="1:11" x14ac:dyDescent="0.35">
      <c r="A515" t="s">
        <v>58</v>
      </c>
      <c r="B515" t="s">
        <v>28</v>
      </c>
      <c r="C515" t="s">
        <v>29</v>
      </c>
      <c r="D515" t="s">
        <v>20</v>
      </c>
      <c r="E515" t="s">
        <v>21</v>
      </c>
      <c r="F515">
        <v>85</v>
      </c>
      <c r="G515">
        <v>9</v>
      </c>
      <c r="H515">
        <v>44</v>
      </c>
      <c r="I515">
        <v>50</v>
      </c>
      <c r="J515">
        <v>51</v>
      </c>
      <c r="K515">
        <v>4</v>
      </c>
    </row>
    <row r="516" spans="1:11" x14ac:dyDescent="0.35">
      <c r="A516" t="s">
        <v>58</v>
      </c>
      <c r="B516" t="s">
        <v>28</v>
      </c>
      <c r="C516" t="s">
        <v>29</v>
      </c>
      <c r="D516" t="s">
        <v>22</v>
      </c>
      <c r="E516" t="s">
        <v>23</v>
      </c>
      <c r="F516">
        <v>520</v>
      </c>
      <c r="G516">
        <v>40</v>
      </c>
      <c r="H516">
        <v>9</v>
      </c>
      <c r="I516">
        <v>551</v>
      </c>
      <c r="J516">
        <v>17</v>
      </c>
      <c r="K516">
        <v>4</v>
      </c>
    </row>
    <row r="517" spans="1:11" x14ac:dyDescent="0.35">
      <c r="A517" t="s">
        <v>58</v>
      </c>
      <c r="B517" t="s">
        <v>31</v>
      </c>
      <c r="C517" t="s">
        <v>32</v>
      </c>
      <c r="D517" t="s">
        <v>14</v>
      </c>
      <c r="E517" t="s">
        <v>15</v>
      </c>
      <c r="F517">
        <v>273</v>
      </c>
      <c r="G517">
        <v>15</v>
      </c>
      <c r="H517">
        <v>17</v>
      </c>
      <c r="I517">
        <v>271</v>
      </c>
      <c r="J517">
        <v>26</v>
      </c>
      <c r="K517">
        <v>4</v>
      </c>
    </row>
    <row r="518" spans="1:11" x14ac:dyDescent="0.35">
      <c r="A518" t="s">
        <v>58</v>
      </c>
      <c r="B518" t="s">
        <v>31</v>
      </c>
      <c r="C518" t="s">
        <v>32</v>
      </c>
      <c r="D518" t="s">
        <v>16</v>
      </c>
      <c r="E518" t="s">
        <v>17</v>
      </c>
      <c r="F518">
        <v>288</v>
      </c>
      <c r="G518">
        <v>36</v>
      </c>
      <c r="H518">
        <v>27</v>
      </c>
      <c r="I518">
        <v>297</v>
      </c>
      <c r="J518">
        <v>42</v>
      </c>
      <c r="K518">
        <v>5</v>
      </c>
    </row>
    <row r="519" spans="1:11" x14ac:dyDescent="0.35">
      <c r="A519" t="s">
        <v>58</v>
      </c>
      <c r="B519" t="s">
        <v>31</v>
      </c>
      <c r="C519" t="s">
        <v>32</v>
      </c>
      <c r="D519" t="s">
        <v>18</v>
      </c>
      <c r="E519" t="s">
        <v>19</v>
      </c>
      <c r="F519">
        <v>114</v>
      </c>
      <c r="G519">
        <v>6</v>
      </c>
      <c r="H519">
        <v>16</v>
      </c>
      <c r="I519">
        <v>104</v>
      </c>
      <c r="J519">
        <v>28</v>
      </c>
      <c r="K519">
        <v>1</v>
      </c>
    </row>
    <row r="520" spans="1:11" x14ac:dyDescent="0.35">
      <c r="A520" t="s">
        <v>58</v>
      </c>
      <c r="B520" t="s">
        <v>31</v>
      </c>
      <c r="C520" t="s">
        <v>32</v>
      </c>
      <c r="D520" t="s">
        <v>20</v>
      </c>
      <c r="E520" t="s">
        <v>21</v>
      </c>
      <c r="F520">
        <v>113</v>
      </c>
      <c r="G520">
        <v>36</v>
      </c>
      <c r="H520">
        <v>25</v>
      </c>
      <c r="I520">
        <v>124</v>
      </c>
      <c r="J520">
        <v>31</v>
      </c>
      <c r="K520">
        <v>3</v>
      </c>
    </row>
    <row r="521" spans="1:11" x14ac:dyDescent="0.35">
      <c r="A521" t="s">
        <v>58</v>
      </c>
      <c r="B521" t="s">
        <v>31</v>
      </c>
      <c r="C521" t="s">
        <v>32</v>
      </c>
      <c r="D521" t="s">
        <v>22</v>
      </c>
      <c r="E521" t="s">
        <v>23</v>
      </c>
      <c r="F521">
        <v>584</v>
      </c>
      <c r="G521">
        <v>50</v>
      </c>
      <c r="H521">
        <v>12</v>
      </c>
      <c r="I521">
        <v>622</v>
      </c>
      <c r="J521">
        <v>26</v>
      </c>
      <c r="K521">
        <v>3</v>
      </c>
    </row>
    <row r="522" spans="1:11" x14ac:dyDescent="0.35">
      <c r="A522" t="s">
        <v>58</v>
      </c>
      <c r="B522" t="s">
        <v>33</v>
      </c>
      <c r="C522" t="s">
        <v>34</v>
      </c>
      <c r="D522" t="s">
        <v>14</v>
      </c>
      <c r="E522" t="s">
        <v>15</v>
      </c>
      <c r="F522">
        <v>187</v>
      </c>
      <c r="G522">
        <v>13</v>
      </c>
      <c r="H522">
        <v>12</v>
      </c>
      <c r="I522">
        <v>188</v>
      </c>
      <c r="J522">
        <v>19</v>
      </c>
      <c r="K522">
        <v>5</v>
      </c>
    </row>
    <row r="523" spans="1:11" x14ac:dyDescent="0.35">
      <c r="A523" t="s">
        <v>58</v>
      </c>
      <c r="B523" t="s">
        <v>33</v>
      </c>
      <c r="C523" t="s">
        <v>34</v>
      </c>
      <c r="D523" t="s">
        <v>16</v>
      </c>
      <c r="E523" t="s">
        <v>17</v>
      </c>
      <c r="F523">
        <v>277</v>
      </c>
      <c r="G523">
        <v>9</v>
      </c>
      <c r="H523">
        <v>19</v>
      </c>
      <c r="I523">
        <v>267</v>
      </c>
      <c r="J523">
        <v>20</v>
      </c>
      <c r="K523">
        <v>2</v>
      </c>
    </row>
    <row r="524" spans="1:11" x14ac:dyDescent="0.35">
      <c r="A524" t="s">
        <v>58</v>
      </c>
      <c r="B524" t="s">
        <v>33</v>
      </c>
      <c r="C524" t="s">
        <v>34</v>
      </c>
      <c r="D524" t="s">
        <v>18</v>
      </c>
      <c r="E524" t="s">
        <v>19</v>
      </c>
      <c r="F524">
        <v>185</v>
      </c>
      <c r="G524">
        <v>27</v>
      </c>
      <c r="H524">
        <v>29</v>
      </c>
      <c r="I524">
        <v>183</v>
      </c>
      <c r="J524">
        <v>37</v>
      </c>
      <c r="K524">
        <v>4</v>
      </c>
    </row>
    <row r="525" spans="1:11" x14ac:dyDescent="0.35">
      <c r="A525" t="s">
        <v>58</v>
      </c>
      <c r="B525" t="s">
        <v>33</v>
      </c>
      <c r="C525" t="s">
        <v>34</v>
      </c>
      <c r="D525" t="s">
        <v>20</v>
      </c>
      <c r="E525" t="s">
        <v>21</v>
      </c>
      <c r="F525">
        <v>310</v>
      </c>
      <c r="G525">
        <v>22</v>
      </c>
      <c r="H525">
        <v>21</v>
      </c>
      <c r="I525">
        <v>311</v>
      </c>
      <c r="J525">
        <v>26</v>
      </c>
      <c r="K525">
        <v>2</v>
      </c>
    </row>
    <row r="526" spans="1:11" x14ac:dyDescent="0.35">
      <c r="A526" t="s">
        <v>58</v>
      </c>
      <c r="B526" t="s">
        <v>33</v>
      </c>
      <c r="C526" t="s">
        <v>34</v>
      </c>
      <c r="D526" t="s">
        <v>22</v>
      </c>
      <c r="E526" t="s">
        <v>23</v>
      </c>
      <c r="F526">
        <v>410</v>
      </c>
      <c r="G526">
        <v>4</v>
      </c>
      <c r="H526">
        <v>14</v>
      </c>
      <c r="I526">
        <v>400</v>
      </c>
      <c r="J526">
        <v>18</v>
      </c>
      <c r="K526">
        <v>4</v>
      </c>
    </row>
    <row r="527" spans="1:11" x14ac:dyDescent="0.35">
      <c r="A527" t="s">
        <v>59</v>
      </c>
      <c r="B527" t="s">
        <v>12</v>
      </c>
      <c r="C527" t="s">
        <v>13</v>
      </c>
      <c r="D527" t="s">
        <v>14</v>
      </c>
      <c r="E527" t="s">
        <v>15</v>
      </c>
      <c r="F527">
        <v>371</v>
      </c>
      <c r="G527">
        <v>56</v>
      </c>
      <c r="H527">
        <v>28</v>
      </c>
      <c r="I527">
        <v>399</v>
      </c>
      <c r="J527">
        <v>37</v>
      </c>
      <c r="K527">
        <v>2</v>
      </c>
    </row>
    <row r="528" spans="1:11" x14ac:dyDescent="0.35">
      <c r="A528" t="s">
        <v>59</v>
      </c>
      <c r="B528" t="s">
        <v>12</v>
      </c>
      <c r="C528" t="s">
        <v>13</v>
      </c>
      <c r="D528" t="s">
        <v>16</v>
      </c>
      <c r="E528" t="s">
        <v>17</v>
      </c>
      <c r="F528">
        <v>304</v>
      </c>
      <c r="G528">
        <v>15</v>
      </c>
      <c r="H528">
        <v>23</v>
      </c>
      <c r="I528">
        <v>296</v>
      </c>
      <c r="J528">
        <v>33</v>
      </c>
      <c r="K528">
        <v>1</v>
      </c>
    </row>
    <row r="529" spans="1:11" x14ac:dyDescent="0.35">
      <c r="A529" t="s">
        <v>59</v>
      </c>
      <c r="B529" t="s">
        <v>12</v>
      </c>
      <c r="C529" t="s">
        <v>13</v>
      </c>
      <c r="D529" t="s">
        <v>18</v>
      </c>
      <c r="E529" t="s">
        <v>19</v>
      </c>
      <c r="F529">
        <v>177</v>
      </c>
      <c r="G529">
        <v>35</v>
      </c>
      <c r="H529">
        <v>24</v>
      </c>
      <c r="I529">
        <v>188</v>
      </c>
      <c r="J529">
        <v>33</v>
      </c>
      <c r="K529">
        <v>5</v>
      </c>
    </row>
    <row r="530" spans="1:11" x14ac:dyDescent="0.35">
      <c r="A530" t="s">
        <v>59</v>
      </c>
      <c r="B530" t="s">
        <v>12</v>
      </c>
      <c r="C530" t="s">
        <v>13</v>
      </c>
      <c r="D530" t="s">
        <v>20</v>
      </c>
      <c r="E530" t="s">
        <v>21</v>
      </c>
      <c r="F530">
        <v>71</v>
      </c>
      <c r="G530">
        <v>19</v>
      </c>
      <c r="H530">
        <v>22</v>
      </c>
      <c r="I530">
        <v>68</v>
      </c>
      <c r="J530">
        <v>29</v>
      </c>
      <c r="K530">
        <v>2</v>
      </c>
    </row>
    <row r="531" spans="1:11" x14ac:dyDescent="0.35">
      <c r="A531" t="s">
        <v>59</v>
      </c>
      <c r="B531" t="s">
        <v>12</v>
      </c>
      <c r="C531" t="s">
        <v>13</v>
      </c>
      <c r="D531" t="s">
        <v>22</v>
      </c>
      <c r="E531" t="s">
        <v>23</v>
      </c>
      <c r="F531">
        <v>318</v>
      </c>
      <c r="G531">
        <v>6</v>
      </c>
      <c r="H531">
        <v>10</v>
      </c>
      <c r="I531">
        <v>314</v>
      </c>
      <c r="J531">
        <v>15</v>
      </c>
      <c r="K531">
        <v>5</v>
      </c>
    </row>
    <row r="532" spans="1:11" x14ac:dyDescent="0.35">
      <c r="A532" t="s">
        <v>59</v>
      </c>
      <c r="B532" t="s">
        <v>12</v>
      </c>
      <c r="C532" t="s">
        <v>24</v>
      </c>
      <c r="D532" t="s">
        <v>14</v>
      </c>
      <c r="E532" t="s">
        <v>15</v>
      </c>
      <c r="F532">
        <v>208</v>
      </c>
      <c r="G532">
        <v>49</v>
      </c>
      <c r="H532">
        <v>19</v>
      </c>
      <c r="I532">
        <v>238</v>
      </c>
      <c r="J532">
        <v>20</v>
      </c>
      <c r="K532">
        <v>3</v>
      </c>
    </row>
    <row r="533" spans="1:11" x14ac:dyDescent="0.35">
      <c r="A533" t="s">
        <v>59</v>
      </c>
      <c r="B533" t="s">
        <v>12</v>
      </c>
      <c r="C533" t="s">
        <v>24</v>
      </c>
      <c r="D533" t="s">
        <v>16</v>
      </c>
      <c r="E533" t="s">
        <v>17</v>
      </c>
      <c r="F533">
        <v>192</v>
      </c>
      <c r="G533">
        <v>21</v>
      </c>
      <c r="H533">
        <v>25</v>
      </c>
      <c r="I533">
        <v>188</v>
      </c>
      <c r="J533">
        <v>33</v>
      </c>
      <c r="K533">
        <v>4</v>
      </c>
    </row>
    <row r="534" spans="1:11" x14ac:dyDescent="0.35">
      <c r="A534" t="s">
        <v>59</v>
      </c>
      <c r="B534" t="s">
        <v>12</v>
      </c>
      <c r="C534" t="s">
        <v>24</v>
      </c>
      <c r="D534" t="s">
        <v>18</v>
      </c>
      <c r="E534" t="s">
        <v>19</v>
      </c>
      <c r="F534">
        <v>125</v>
      </c>
      <c r="G534">
        <v>11</v>
      </c>
      <c r="H534">
        <v>15</v>
      </c>
      <c r="I534">
        <v>121</v>
      </c>
      <c r="J534">
        <v>30</v>
      </c>
      <c r="K534">
        <v>4</v>
      </c>
    </row>
    <row r="535" spans="1:11" x14ac:dyDescent="0.35">
      <c r="A535" t="s">
        <v>59</v>
      </c>
      <c r="B535" t="s">
        <v>12</v>
      </c>
      <c r="C535" t="s">
        <v>24</v>
      </c>
      <c r="D535" t="s">
        <v>20</v>
      </c>
      <c r="E535" t="s">
        <v>21</v>
      </c>
      <c r="F535">
        <v>3</v>
      </c>
      <c r="G535">
        <v>35</v>
      </c>
      <c r="H535">
        <v>40</v>
      </c>
      <c r="I535">
        <v>19</v>
      </c>
      <c r="J535">
        <v>50</v>
      </c>
      <c r="K535">
        <v>5</v>
      </c>
    </row>
    <row r="536" spans="1:11" x14ac:dyDescent="0.35">
      <c r="A536" t="s">
        <v>59</v>
      </c>
      <c r="B536" t="s">
        <v>12</v>
      </c>
      <c r="C536" t="s">
        <v>24</v>
      </c>
      <c r="D536" t="s">
        <v>22</v>
      </c>
      <c r="E536" t="s">
        <v>23</v>
      </c>
      <c r="F536">
        <v>408</v>
      </c>
      <c r="G536">
        <v>2</v>
      </c>
      <c r="H536">
        <v>5</v>
      </c>
      <c r="I536">
        <v>405</v>
      </c>
      <c r="J536">
        <v>7</v>
      </c>
      <c r="K536">
        <v>3</v>
      </c>
    </row>
    <row r="537" spans="1:11" x14ac:dyDescent="0.35">
      <c r="A537" t="s">
        <v>59</v>
      </c>
      <c r="B537" t="s">
        <v>12</v>
      </c>
      <c r="C537" t="s">
        <v>25</v>
      </c>
      <c r="D537" t="s">
        <v>14</v>
      </c>
      <c r="E537" t="s">
        <v>15</v>
      </c>
      <c r="F537">
        <v>258</v>
      </c>
      <c r="G537">
        <v>15</v>
      </c>
      <c r="H537">
        <v>18</v>
      </c>
      <c r="I537">
        <v>255</v>
      </c>
      <c r="J537">
        <v>19</v>
      </c>
      <c r="K537">
        <v>1</v>
      </c>
    </row>
    <row r="538" spans="1:11" x14ac:dyDescent="0.35">
      <c r="A538" t="s">
        <v>59</v>
      </c>
      <c r="B538" t="s">
        <v>12</v>
      </c>
      <c r="C538" t="s">
        <v>25</v>
      </c>
      <c r="D538" t="s">
        <v>16</v>
      </c>
      <c r="E538" t="s">
        <v>17</v>
      </c>
      <c r="F538">
        <v>260</v>
      </c>
      <c r="G538">
        <v>48</v>
      </c>
      <c r="H538">
        <v>34</v>
      </c>
      <c r="I538">
        <v>274</v>
      </c>
      <c r="J538">
        <v>41</v>
      </c>
      <c r="K538">
        <v>5</v>
      </c>
    </row>
    <row r="539" spans="1:11" x14ac:dyDescent="0.35">
      <c r="A539" t="s">
        <v>59</v>
      </c>
      <c r="B539" t="s">
        <v>12</v>
      </c>
      <c r="C539" t="s">
        <v>25</v>
      </c>
      <c r="D539" t="s">
        <v>18</v>
      </c>
      <c r="E539" t="s">
        <v>19</v>
      </c>
      <c r="F539">
        <v>196</v>
      </c>
      <c r="G539">
        <v>10</v>
      </c>
      <c r="H539">
        <v>41</v>
      </c>
      <c r="I539">
        <v>165</v>
      </c>
      <c r="J539">
        <v>54</v>
      </c>
      <c r="K539">
        <v>5</v>
      </c>
    </row>
    <row r="540" spans="1:11" x14ac:dyDescent="0.35">
      <c r="A540" t="s">
        <v>59</v>
      </c>
      <c r="B540" t="s">
        <v>12</v>
      </c>
      <c r="C540" t="s">
        <v>25</v>
      </c>
      <c r="D540" t="s">
        <v>20</v>
      </c>
      <c r="E540" t="s">
        <v>21</v>
      </c>
      <c r="F540">
        <v>204</v>
      </c>
      <c r="G540">
        <v>23</v>
      </c>
      <c r="H540">
        <v>36</v>
      </c>
      <c r="I540">
        <v>191</v>
      </c>
      <c r="J540">
        <v>49</v>
      </c>
      <c r="K540">
        <v>4</v>
      </c>
    </row>
    <row r="541" spans="1:11" x14ac:dyDescent="0.35">
      <c r="A541" t="s">
        <v>59</v>
      </c>
      <c r="B541" t="s">
        <v>12</v>
      </c>
      <c r="C541" t="s">
        <v>25</v>
      </c>
      <c r="D541" t="s">
        <v>22</v>
      </c>
      <c r="E541" t="s">
        <v>23</v>
      </c>
      <c r="F541">
        <v>417</v>
      </c>
      <c r="G541">
        <v>38</v>
      </c>
      <c r="H541" t="s">
        <v>43</v>
      </c>
      <c r="I541">
        <v>449</v>
      </c>
      <c r="J541">
        <v>19</v>
      </c>
      <c r="K541">
        <v>2</v>
      </c>
    </row>
    <row r="542" spans="1:11" x14ac:dyDescent="0.35">
      <c r="A542" t="s">
        <v>59</v>
      </c>
      <c r="B542" t="s">
        <v>26</v>
      </c>
      <c r="C542" t="s">
        <v>27</v>
      </c>
      <c r="D542" t="s">
        <v>14</v>
      </c>
      <c r="E542" t="s">
        <v>15</v>
      </c>
      <c r="F542">
        <v>423</v>
      </c>
      <c r="G542">
        <v>14</v>
      </c>
      <c r="H542">
        <v>16</v>
      </c>
      <c r="I542">
        <v>421</v>
      </c>
      <c r="J542">
        <v>31</v>
      </c>
      <c r="K542">
        <v>2</v>
      </c>
    </row>
    <row r="543" spans="1:11" x14ac:dyDescent="0.35">
      <c r="A543" t="s">
        <v>59</v>
      </c>
      <c r="B543" t="s">
        <v>26</v>
      </c>
      <c r="C543" t="s">
        <v>27</v>
      </c>
      <c r="D543" t="s">
        <v>16</v>
      </c>
      <c r="E543" t="s">
        <v>17</v>
      </c>
      <c r="F543">
        <v>264</v>
      </c>
      <c r="G543">
        <v>5</v>
      </c>
      <c r="H543">
        <v>17</v>
      </c>
      <c r="I543">
        <v>252</v>
      </c>
      <c r="J543">
        <v>26</v>
      </c>
      <c r="K543">
        <v>3</v>
      </c>
    </row>
    <row r="544" spans="1:11" x14ac:dyDescent="0.35">
      <c r="A544" t="s">
        <v>59</v>
      </c>
      <c r="B544" t="s">
        <v>26</v>
      </c>
      <c r="C544" t="s">
        <v>27</v>
      </c>
      <c r="D544" t="s">
        <v>18</v>
      </c>
      <c r="E544" t="s">
        <v>19</v>
      </c>
      <c r="F544">
        <v>182</v>
      </c>
      <c r="G544">
        <v>21</v>
      </c>
      <c r="H544">
        <v>44</v>
      </c>
      <c r="I544">
        <v>159</v>
      </c>
      <c r="J544">
        <v>58</v>
      </c>
      <c r="K544">
        <v>3</v>
      </c>
    </row>
    <row r="545" spans="1:11" x14ac:dyDescent="0.35">
      <c r="A545" t="s">
        <v>59</v>
      </c>
      <c r="B545" t="s">
        <v>26</v>
      </c>
      <c r="C545" t="s">
        <v>27</v>
      </c>
      <c r="D545" t="s">
        <v>20</v>
      </c>
      <c r="E545" t="s">
        <v>21</v>
      </c>
      <c r="F545">
        <v>282</v>
      </c>
      <c r="G545">
        <v>54</v>
      </c>
      <c r="H545">
        <v>21</v>
      </c>
      <c r="I545">
        <v>315</v>
      </c>
      <c r="J545">
        <v>32</v>
      </c>
      <c r="K545">
        <v>5</v>
      </c>
    </row>
    <row r="546" spans="1:11" x14ac:dyDescent="0.35">
      <c r="A546" t="s">
        <v>59</v>
      </c>
      <c r="B546" t="s">
        <v>26</v>
      </c>
      <c r="C546" t="s">
        <v>27</v>
      </c>
      <c r="D546" t="s">
        <v>22</v>
      </c>
      <c r="E546" t="s">
        <v>23</v>
      </c>
      <c r="F546">
        <v>342</v>
      </c>
      <c r="G546">
        <v>5</v>
      </c>
      <c r="H546">
        <v>12</v>
      </c>
      <c r="I546">
        <v>335</v>
      </c>
      <c r="J546">
        <v>15</v>
      </c>
      <c r="K546">
        <v>5</v>
      </c>
    </row>
    <row r="547" spans="1:11" x14ac:dyDescent="0.35">
      <c r="A547" t="s">
        <v>59</v>
      </c>
      <c r="B547" t="s">
        <v>28</v>
      </c>
      <c r="C547" t="s">
        <v>29</v>
      </c>
      <c r="D547" t="s">
        <v>14</v>
      </c>
      <c r="E547" t="s">
        <v>15</v>
      </c>
      <c r="F547">
        <v>286</v>
      </c>
      <c r="G547">
        <v>26</v>
      </c>
      <c r="H547">
        <v>14</v>
      </c>
      <c r="I547">
        <v>298</v>
      </c>
      <c r="J547">
        <v>14</v>
      </c>
      <c r="K547">
        <v>3</v>
      </c>
    </row>
    <row r="548" spans="1:11" x14ac:dyDescent="0.35">
      <c r="A548" t="s">
        <v>59</v>
      </c>
      <c r="B548" t="s">
        <v>28</v>
      </c>
      <c r="C548" t="s">
        <v>29</v>
      </c>
      <c r="D548" t="s">
        <v>16</v>
      </c>
      <c r="E548" t="s">
        <v>17</v>
      </c>
      <c r="F548">
        <v>249</v>
      </c>
      <c r="G548">
        <v>56</v>
      </c>
      <c r="H548">
        <v>11</v>
      </c>
      <c r="I548">
        <v>294</v>
      </c>
      <c r="J548">
        <v>17</v>
      </c>
      <c r="K548">
        <v>5</v>
      </c>
    </row>
    <row r="549" spans="1:11" x14ac:dyDescent="0.35">
      <c r="A549" t="s">
        <v>59</v>
      </c>
      <c r="B549" t="s">
        <v>28</v>
      </c>
      <c r="C549" t="s">
        <v>29</v>
      </c>
      <c r="D549" t="s">
        <v>18</v>
      </c>
      <c r="E549" t="s">
        <v>19</v>
      </c>
      <c r="F549">
        <v>60</v>
      </c>
      <c r="G549">
        <v>58</v>
      </c>
      <c r="H549">
        <v>20</v>
      </c>
      <c r="I549">
        <v>98</v>
      </c>
      <c r="J549">
        <v>35</v>
      </c>
      <c r="K549">
        <v>4</v>
      </c>
    </row>
    <row r="550" spans="1:11" x14ac:dyDescent="0.35">
      <c r="A550" t="s">
        <v>59</v>
      </c>
      <c r="B550" t="s">
        <v>28</v>
      </c>
      <c r="C550" t="s">
        <v>29</v>
      </c>
      <c r="D550" t="s">
        <v>20</v>
      </c>
      <c r="E550" t="s">
        <v>21</v>
      </c>
      <c r="F550">
        <v>50</v>
      </c>
      <c r="G550">
        <v>6</v>
      </c>
      <c r="H550">
        <v>19</v>
      </c>
      <c r="I550">
        <v>37</v>
      </c>
      <c r="J550">
        <v>27</v>
      </c>
      <c r="K550">
        <v>5</v>
      </c>
    </row>
    <row r="551" spans="1:11" x14ac:dyDescent="0.35">
      <c r="A551" t="s">
        <v>59</v>
      </c>
      <c r="B551" t="s">
        <v>28</v>
      </c>
      <c r="C551" t="s">
        <v>29</v>
      </c>
      <c r="D551" t="s">
        <v>22</v>
      </c>
      <c r="E551" t="s">
        <v>23</v>
      </c>
      <c r="F551">
        <v>551</v>
      </c>
      <c r="G551">
        <v>46</v>
      </c>
      <c r="H551">
        <v>16</v>
      </c>
      <c r="I551">
        <v>581</v>
      </c>
      <c r="J551">
        <v>26</v>
      </c>
      <c r="K551">
        <v>5</v>
      </c>
    </row>
    <row r="552" spans="1:11" x14ac:dyDescent="0.35">
      <c r="A552" t="s">
        <v>59</v>
      </c>
      <c r="B552" t="s">
        <v>31</v>
      </c>
      <c r="C552" t="s">
        <v>32</v>
      </c>
      <c r="D552" t="s">
        <v>14</v>
      </c>
      <c r="E552" t="s">
        <v>15</v>
      </c>
      <c r="F552">
        <v>271</v>
      </c>
      <c r="G552">
        <v>52</v>
      </c>
      <c r="H552">
        <v>9</v>
      </c>
      <c r="I552">
        <v>314</v>
      </c>
      <c r="J552">
        <v>14</v>
      </c>
      <c r="K552">
        <v>5</v>
      </c>
    </row>
    <row r="553" spans="1:11" x14ac:dyDescent="0.35">
      <c r="A553" t="s">
        <v>59</v>
      </c>
      <c r="B553" t="s">
        <v>31</v>
      </c>
      <c r="C553" t="s">
        <v>32</v>
      </c>
      <c r="D553" t="s">
        <v>16</v>
      </c>
      <c r="E553" t="s">
        <v>17</v>
      </c>
      <c r="F553">
        <v>297</v>
      </c>
      <c r="G553">
        <v>36</v>
      </c>
      <c r="H553">
        <v>17</v>
      </c>
      <c r="I553">
        <v>316</v>
      </c>
      <c r="J553">
        <v>32</v>
      </c>
      <c r="K553">
        <v>2</v>
      </c>
    </row>
    <row r="554" spans="1:11" x14ac:dyDescent="0.35">
      <c r="A554" t="s">
        <v>59</v>
      </c>
      <c r="B554" t="s">
        <v>31</v>
      </c>
      <c r="C554" t="s">
        <v>32</v>
      </c>
      <c r="D554" t="s">
        <v>18</v>
      </c>
      <c r="E554" t="s">
        <v>19</v>
      </c>
      <c r="F554">
        <v>104</v>
      </c>
      <c r="G554">
        <v>5</v>
      </c>
      <c r="H554">
        <v>21</v>
      </c>
      <c r="I554">
        <v>88</v>
      </c>
      <c r="J554">
        <v>25</v>
      </c>
      <c r="K554">
        <v>5</v>
      </c>
    </row>
    <row r="555" spans="1:11" x14ac:dyDescent="0.35">
      <c r="A555" t="s">
        <v>59</v>
      </c>
      <c r="B555" t="s">
        <v>31</v>
      </c>
      <c r="C555" t="s">
        <v>32</v>
      </c>
      <c r="D555" t="s">
        <v>20</v>
      </c>
      <c r="E555" t="s">
        <v>21</v>
      </c>
      <c r="F555">
        <v>124</v>
      </c>
      <c r="G555">
        <v>59</v>
      </c>
      <c r="H555">
        <v>45</v>
      </c>
      <c r="I555">
        <v>138</v>
      </c>
      <c r="J555">
        <v>49</v>
      </c>
      <c r="K555">
        <v>2</v>
      </c>
    </row>
    <row r="556" spans="1:11" x14ac:dyDescent="0.35">
      <c r="A556" t="s">
        <v>59</v>
      </c>
      <c r="B556" t="s">
        <v>31</v>
      </c>
      <c r="C556" t="s">
        <v>32</v>
      </c>
      <c r="D556" t="s">
        <v>22</v>
      </c>
      <c r="E556" t="s">
        <v>23</v>
      </c>
      <c r="F556">
        <v>622</v>
      </c>
      <c r="G556">
        <v>42</v>
      </c>
      <c r="H556">
        <v>12</v>
      </c>
      <c r="I556">
        <v>652</v>
      </c>
      <c r="J556">
        <v>17</v>
      </c>
      <c r="K556">
        <v>2</v>
      </c>
    </row>
    <row r="557" spans="1:11" x14ac:dyDescent="0.35">
      <c r="A557" t="s">
        <v>59</v>
      </c>
      <c r="B557" t="s">
        <v>33</v>
      </c>
      <c r="C557" t="s">
        <v>34</v>
      </c>
      <c r="D557" t="s">
        <v>14</v>
      </c>
      <c r="E557" t="s">
        <v>15</v>
      </c>
      <c r="F557">
        <v>188</v>
      </c>
      <c r="G557">
        <v>33</v>
      </c>
      <c r="H557">
        <v>12</v>
      </c>
      <c r="I557">
        <v>209</v>
      </c>
      <c r="J557">
        <v>23</v>
      </c>
      <c r="K557">
        <v>3</v>
      </c>
    </row>
    <row r="558" spans="1:11" x14ac:dyDescent="0.35">
      <c r="A558" t="s">
        <v>59</v>
      </c>
      <c r="B558" t="s">
        <v>33</v>
      </c>
      <c r="C558" t="s">
        <v>34</v>
      </c>
      <c r="D558" t="s">
        <v>16</v>
      </c>
      <c r="E558" t="s">
        <v>17</v>
      </c>
      <c r="F558">
        <v>267</v>
      </c>
      <c r="G558">
        <v>7</v>
      </c>
      <c r="H558">
        <v>15</v>
      </c>
      <c r="I558">
        <v>259</v>
      </c>
      <c r="J558">
        <v>18</v>
      </c>
      <c r="K558">
        <v>1</v>
      </c>
    </row>
    <row r="559" spans="1:11" x14ac:dyDescent="0.35">
      <c r="A559" t="s">
        <v>59</v>
      </c>
      <c r="B559" t="s">
        <v>33</v>
      </c>
      <c r="C559" t="s">
        <v>34</v>
      </c>
      <c r="D559" t="s">
        <v>18</v>
      </c>
      <c r="E559" t="s">
        <v>19</v>
      </c>
      <c r="F559">
        <v>183</v>
      </c>
      <c r="G559">
        <v>53</v>
      </c>
      <c r="H559">
        <v>35</v>
      </c>
      <c r="I559">
        <v>201</v>
      </c>
      <c r="J559">
        <v>40</v>
      </c>
      <c r="K559">
        <v>4</v>
      </c>
    </row>
    <row r="560" spans="1:11" x14ac:dyDescent="0.35">
      <c r="A560" t="s">
        <v>59</v>
      </c>
      <c r="B560" t="s">
        <v>33</v>
      </c>
      <c r="C560" t="s">
        <v>34</v>
      </c>
      <c r="D560" t="s">
        <v>20</v>
      </c>
      <c r="E560" t="s">
        <v>21</v>
      </c>
      <c r="F560">
        <v>311</v>
      </c>
      <c r="G560">
        <v>52</v>
      </c>
      <c r="H560">
        <v>29</v>
      </c>
      <c r="I560">
        <v>334</v>
      </c>
      <c r="J560">
        <v>34</v>
      </c>
      <c r="K560">
        <v>5</v>
      </c>
    </row>
    <row r="561" spans="1:11" x14ac:dyDescent="0.35">
      <c r="A561" t="s">
        <v>59</v>
      </c>
      <c r="B561" t="s">
        <v>33</v>
      </c>
      <c r="C561" t="s">
        <v>34</v>
      </c>
      <c r="D561" t="s">
        <v>22</v>
      </c>
      <c r="E561" t="s">
        <v>23</v>
      </c>
      <c r="F561">
        <v>400</v>
      </c>
      <c r="G561">
        <v>42</v>
      </c>
      <c r="H561">
        <v>18</v>
      </c>
      <c r="I561">
        <v>424</v>
      </c>
      <c r="J561">
        <v>18</v>
      </c>
      <c r="K561">
        <v>1</v>
      </c>
    </row>
    <row r="562" spans="1:11" x14ac:dyDescent="0.35">
      <c r="A562" t="s">
        <v>60</v>
      </c>
      <c r="B562" t="s">
        <v>12</v>
      </c>
      <c r="C562" t="s">
        <v>13</v>
      </c>
      <c r="D562" t="s">
        <v>14</v>
      </c>
      <c r="E562" t="s">
        <v>15</v>
      </c>
      <c r="F562">
        <v>399</v>
      </c>
      <c r="G562">
        <v>58</v>
      </c>
      <c r="H562">
        <v>21</v>
      </c>
      <c r="I562">
        <v>436</v>
      </c>
      <c r="J562">
        <v>28</v>
      </c>
      <c r="K562">
        <v>5</v>
      </c>
    </row>
    <row r="563" spans="1:11" x14ac:dyDescent="0.35">
      <c r="A563" t="s">
        <v>60</v>
      </c>
      <c r="B563" t="s">
        <v>12</v>
      </c>
      <c r="C563" t="s">
        <v>13</v>
      </c>
      <c r="D563" t="s">
        <v>16</v>
      </c>
      <c r="E563" t="s">
        <v>17</v>
      </c>
      <c r="F563">
        <v>296</v>
      </c>
      <c r="G563">
        <v>13</v>
      </c>
      <c r="H563">
        <v>19</v>
      </c>
      <c r="I563">
        <v>290</v>
      </c>
      <c r="J563">
        <v>20</v>
      </c>
      <c r="K563">
        <v>3</v>
      </c>
    </row>
    <row r="564" spans="1:11" x14ac:dyDescent="0.35">
      <c r="A564" t="s">
        <v>60</v>
      </c>
      <c r="B564" t="s">
        <v>12</v>
      </c>
      <c r="C564" t="s">
        <v>13</v>
      </c>
      <c r="D564" t="s">
        <v>18</v>
      </c>
      <c r="E564" t="s">
        <v>19</v>
      </c>
      <c r="F564">
        <v>188</v>
      </c>
      <c r="G564">
        <v>26</v>
      </c>
      <c r="H564">
        <v>15</v>
      </c>
      <c r="I564">
        <v>199</v>
      </c>
      <c r="J564">
        <v>16</v>
      </c>
      <c r="K564">
        <v>4</v>
      </c>
    </row>
    <row r="565" spans="1:11" x14ac:dyDescent="0.35">
      <c r="A565" t="s">
        <v>60</v>
      </c>
      <c r="B565" t="s">
        <v>12</v>
      </c>
      <c r="C565" t="s">
        <v>13</v>
      </c>
      <c r="D565" t="s">
        <v>20</v>
      </c>
      <c r="E565" t="s">
        <v>21</v>
      </c>
      <c r="F565">
        <v>68</v>
      </c>
      <c r="G565">
        <v>1</v>
      </c>
      <c r="H565">
        <v>29</v>
      </c>
      <c r="I565">
        <v>40</v>
      </c>
      <c r="J565">
        <v>36</v>
      </c>
      <c r="K565">
        <v>5</v>
      </c>
    </row>
    <row r="566" spans="1:11" x14ac:dyDescent="0.35">
      <c r="A566" t="s">
        <v>60</v>
      </c>
      <c r="B566" t="s">
        <v>12</v>
      </c>
      <c r="C566" t="s">
        <v>13</v>
      </c>
      <c r="D566" t="s">
        <v>22</v>
      </c>
      <c r="E566" t="s">
        <v>23</v>
      </c>
      <c r="F566">
        <v>314</v>
      </c>
      <c r="G566">
        <v>33</v>
      </c>
      <c r="H566">
        <v>15</v>
      </c>
      <c r="I566">
        <v>332</v>
      </c>
      <c r="J566">
        <v>26</v>
      </c>
      <c r="K566">
        <v>1</v>
      </c>
    </row>
    <row r="567" spans="1:11" x14ac:dyDescent="0.35">
      <c r="A567" t="s">
        <v>60</v>
      </c>
      <c r="B567" t="s">
        <v>12</v>
      </c>
      <c r="C567" t="s">
        <v>24</v>
      </c>
      <c r="D567" t="s">
        <v>14</v>
      </c>
      <c r="E567" t="s">
        <v>15</v>
      </c>
      <c r="F567">
        <v>238</v>
      </c>
      <c r="G567">
        <v>20</v>
      </c>
      <c r="H567">
        <v>24</v>
      </c>
      <c r="I567">
        <v>234</v>
      </c>
      <c r="J567">
        <v>26</v>
      </c>
      <c r="K567">
        <v>5</v>
      </c>
    </row>
    <row r="568" spans="1:11" x14ac:dyDescent="0.35">
      <c r="A568" t="s">
        <v>60</v>
      </c>
      <c r="B568" t="s">
        <v>12</v>
      </c>
      <c r="C568" t="s">
        <v>24</v>
      </c>
      <c r="D568" t="s">
        <v>16</v>
      </c>
      <c r="E568" t="s">
        <v>17</v>
      </c>
      <c r="F568">
        <v>188</v>
      </c>
      <c r="G568">
        <v>59</v>
      </c>
      <c r="H568">
        <v>23</v>
      </c>
      <c r="I568">
        <v>224</v>
      </c>
      <c r="J568">
        <v>30</v>
      </c>
      <c r="K568">
        <v>5</v>
      </c>
    </row>
    <row r="569" spans="1:11" x14ac:dyDescent="0.35">
      <c r="A569" t="s">
        <v>60</v>
      </c>
      <c r="B569" t="s">
        <v>12</v>
      </c>
      <c r="C569" t="s">
        <v>24</v>
      </c>
      <c r="D569" t="s">
        <v>18</v>
      </c>
      <c r="E569" t="s">
        <v>19</v>
      </c>
      <c r="F569">
        <v>121</v>
      </c>
      <c r="G569">
        <v>28</v>
      </c>
      <c r="H569">
        <v>36</v>
      </c>
      <c r="I569">
        <v>113</v>
      </c>
      <c r="J569">
        <v>37</v>
      </c>
      <c r="K569">
        <v>5</v>
      </c>
    </row>
    <row r="570" spans="1:11" x14ac:dyDescent="0.35">
      <c r="A570" t="s">
        <v>60</v>
      </c>
      <c r="B570" t="s">
        <v>12</v>
      </c>
      <c r="C570" t="s">
        <v>24</v>
      </c>
      <c r="D570" t="s">
        <v>20</v>
      </c>
      <c r="E570" t="s">
        <v>21</v>
      </c>
      <c r="F570">
        <v>19</v>
      </c>
      <c r="G570">
        <v>21</v>
      </c>
      <c r="H570">
        <v>45</v>
      </c>
      <c r="I570">
        <v>20</v>
      </c>
      <c r="J570">
        <v>48</v>
      </c>
      <c r="K570">
        <v>1</v>
      </c>
    </row>
    <row r="571" spans="1:11" x14ac:dyDescent="0.35">
      <c r="A571" t="s">
        <v>60</v>
      </c>
      <c r="B571" t="s">
        <v>12</v>
      </c>
      <c r="C571" t="s">
        <v>24</v>
      </c>
      <c r="D571" t="s">
        <v>22</v>
      </c>
      <c r="E571" t="s">
        <v>23</v>
      </c>
      <c r="F571">
        <v>405</v>
      </c>
      <c r="G571">
        <v>49</v>
      </c>
      <c r="H571">
        <v>17</v>
      </c>
      <c r="I571">
        <v>437</v>
      </c>
      <c r="J571">
        <v>25</v>
      </c>
      <c r="K571">
        <v>3</v>
      </c>
    </row>
    <row r="572" spans="1:11" x14ac:dyDescent="0.35">
      <c r="A572" t="s">
        <v>60</v>
      </c>
      <c r="B572" t="s">
        <v>12</v>
      </c>
      <c r="C572" t="s">
        <v>25</v>
      </c>
      <c r="D572" t="s">
        <v>14</v>
      </c>
      <c r="E572" t="s">
        <v>15</v>
      </c>
      <c r="F572">
        <v>255</v>
      </c>
      <c r="G572">
        <v>2</v>
      </c>
      <c r="H572">
        <v>24</v>
      </c>
      <c r="I572">
        <v>233</v>
      </c>
      <c r="J572">
        <v>30</v>
      </c>
      <c r="K572">
        <v>2</v>
      </c>
    </row>
    <row r="573" spans="1:11" x14ac:dyDescent="0.35">
      <c r="A573" t="s">
        <v>60</v>
      </c>
      <c r="B573" t="s">
        <v>12</v>
      </c>
      <c r="C573" t="s">
        <v>38</v>
      </c>
      <c r="D573" t="s">
        <v>16</v>
      </c>
      <c r="E573" t="s">
        <v>17</v>
      </c>
      <c r="F573">
        <v>274</v>
      </c>
      <c r="G573">
        <v>45</v>
      </c>
      <c r="H573">
        <v>13</v>
      </c>
      <c r="I573">
        <v>306</v>
      </c>
      <c r="J573">
        <v>17</v>
      </c>
      <c r="K573">
        <v>5</v>
      </c>
    </row>
    <row r="574" spans="1:11" x14ac:dyDescent="0.35">
      <c r="A574" t="s">
        <v>60</v>
      </c>
      <c r="B574" t="s">
        <v>12</v>
      </c>
      <c r="C574" t="s">
        <v>25</v>
      </c>
      <c r="D574" t="s">
        <v>18</v>
      </c>
      <c r="E574" t="s">
        <v>19</v>
      </c>
      <c r="F574">
        <v>165</v>
      </c>
      <c r="G574">
        <v>30</v>
      </c>
      <c r="H574">
        <v>26</v>
      </c>
      <c r="I574">
        <v>169</v>
      </c>
      <c r="J574">
        <v>38</v>
      </c>
      <c r="K574">
        <v>3</v>
      </c>
    </row>
    <row r="575" spans="1:11" x14ac:dyDescent="0.35">
      <c r="A575" t="s">
        <v>60</v>
      </c>
      <c r="B575" t="s">
        <v>12</v>
      </c>
      <c r="C575" t="s">
        <v>25</v>
      </c>
      <c r="D575" t="s">
        <v>20</v>
      </c>
      <c r="E575" t="s">
        <v>21</v>
      </c>
      <c r="F575">
        <v>191</v>
      </c>
      <c r="G575">
        <v>60</v>
      </c>
      <c r="H575">
        <v>43</v>
      </c>
      <c r="I575">
        <v>208</v>
      </c>
      <c r="J575">
        <v>58</v>
      </c>
      <c r="K575">
        <v>3</v>
      </c>
    </row>
    <row r="576" spans="1:11" x14ac:dyDescent="0.35">
      <c r="A576" t="s">
        <v>60</v>
      </c>
      <c r="B576" t="s">
        <v>12</v>
      </c>
      <c r="C576" t="s">
        <v>25</v>
      </c>
      <c r="D576" t="s">
        <v>22</v>
      </c>
      <c r="E576" t="s">
        <v>23</v>
      </c>
      <c r="F576">
        <v>449</v>
      </c>
      <c r="G576">
        <v>49</v>
      </c>
      <c r="H576">
        <v>10</v>
      </c>
      <c r="I576">
        <v>488</v>
      </c>
      <c r="J576">
        <v>12</v>
      </c>
      <c r="K576">
        <v>1</v>
      </c>
    </row>
    <row r="577" spans="1:11" x14ac:dyDescent="0.35">
      <c r="A577" t="s">
        <v>60</v>
      </c>
      <c r="B577" t="s">
        <v>26</v>
      </c>
      <c r="C577" t="s">
        <v>27</v>
      </c>
      <c r="D577" t="s">
        <v>14</v>
      </c>
      <c r="E577" t="s">
        <v>15</v>
      </c>
      <c r="F577">
        <v>421</v>
      </c>
      <c r="G577">
        <v>51</v>
      </c>
      <c r="H577">
        <v>28</v>
      </c>
      <c r="I577">
        <v>444</v>
      </c>
      <c r="J577">
        <v>35</v>
      </c>
      <c r="K577">
        <v>3</v>
      </c>
    </row>
    <row r="578" spans="1:11" x14ac:dyDescent="0.35">
      <c r="A578" t="s">
        <v>60</v>
      </c>
      <c r="B578" t="s">
        <v>26</v>
      </c>
      <c r="C578" t="s">
        <v>27</v>
      </c>
      <c r="D578" t="s">
        <v>16</v>
      </c>
      <c r="E578" t="s">
        <v>17</v>
      </c>
      <c r="F578">
        <v>252</v>
      </c>
      <c r="G578">
        <v>55</v>
      </c>
      <c r="H578">
        <v>17</v>
      </c>
      <c r="I578">
        <v>290</v>
      </c>
      <c r="J578">
        <v>23</v>
      </c>
      <c r="K578">
        <v>2</v>
      </c>
    </row>
    <row r="579" spans="1:11" x14ac:dyDescent="0.35">
      <c r="A579" t="s">
        <v>60</v>
      </c>
      <c r="B579" t="s">
        <v>26</v>
      </c>
      <c r="C579" t="s">
        <v>27</v>
      </c>
      <c r="D579" t="s">
        <v>18</v>
      </c>
      <c r="E579" t="s">
        <v>19</v>
      </c>
      <c r="F579">
        <v>159</v>
      </c>
      <c r="G579">
        <v>60</v>
      </c>
      <c r="H579">
        <v>15</v>
      </c>
      <c r="I579">
        <v>204</v>
      </c>
      <c r="J579">
        <v>24</v>
      </c>
      <c r="K579">
        <v>5</v>
      </c>
    </row>
    <row r="580" spans="1:11" x14ac:dyDescent="0.35">
      <c r="A580" t="s">
        <v>60</v>
      </c>
      <c r="B580" t="s">
        <v>26</v>
      </c>
      <c r="C580" t="s">
        <v>27</v>
      </c>
      <c r="D580" t="s">
        <v>20</v>
      </c>
      <c r="E580" t="s">
        <v>21</v>
      </c>
      <c r="F580">
        <v>315</v>
      </c>
      <c r="G580">
        <v>27</v>
      </c>
      <c r="H580">
        <v>35</v>
      </c>
      <c r="I580">
        <v>307</v>
      </c>
      <c r="J580">
        <v>43</v>
      </c>
      <c r="K580">
        <v>1</v>
      </c>
    </row>
    <row r="581" spans="1:11" x14ac:dyDescent="0.35">
      <c r="A581" t="s">
        <v>60</v>
      </c>
      <c r="B581" t="s">
        <v>26</v>
      </c>
      <c r="C581" t="s">
        <v>27</v>
      </c>
      <c r="D581" t="s">
        <v>22</v>
      </c>
      <c r="E581" t="s">
        <v>23</v>
      </c>
      <c r="F581">
        <v>335</v>
      </c>
      <c r="G581">
        <v>10</v>
      </c>
      <c r="H581">
        <v>13</v>
      </c>
      <c r="I581">
        <v>332</v>
      </c>
      <c r="J581">
        <v>22</v>
      </c>
      <c r="K581">
        <v>4</v>
      </c>
    </row>
    <row r="582" spans="1:11" x14ac:dyDescent="0.35">
      <c r="A582" t="s">
        <v>60</v>
      </c>
      <c r="B582" t="s">
        <v>28</v>
      </c>
      <c r="C582" t="s">
        <v>29</v>
      </c>
      <c r="D582" t="s">
        <v>14</v>
      </c>
      <c r="E582" t="s">
        <v>15</v>
      </c>
      <c r="F582">
        <v>298</v>
      </c>
      <c r="G582">
        <v>14</v>
      </c>
      <c r="H582">
        <v>25</v>
      </c>
      <c r="I582">
        <v>287</v>
      </c>
      <c r="J582">
        <v>40</v>
      </c>
      <c r="K582">
        <v>3</v>
      </c>
    </row>
    <row r="583" spans="1:11" x14ac:dyDescent="0.35">
      <c r="A583" t="s">
        <v>60</v>
      </c>
      <c r="B583" t="s">
        <v>28</v>
      </c>
      <c r="C583" t="s">
        <v>29</v>
      </c>
      <c r="D583" t="s">
        <v>16</v>
      </c>
      <c r="E583" t="s">
        <v>17</v>
      </c>
      <c r="F583">
        <v>294</v>
      </c>
      <c r="G583">
        <v>60</v>
      </c>
      <c r="H583" t="s">
        <v>43</v>
      </c>
      <c r="I583">
        <v>327</v>
      </c>
      <c r="J583">
        <v>33</v>
      </c>
      <c r="K583">
        <v>5</v>
      </c>
    </row>
    <row r="584" spans="1:11" x14ac:dyDescent="0.35">
      <c r="A584" t="s">
        <v>60</v>
      </c>
      <c r="B584" t="s">
        <v>28</v>
      </c>
      <c r="C584" t="s">
        <v>29</v>
      </c>
      <c r="D584" t="s">
        <v>18</v>
      </c>
      <c r="E584" t="s">
        <v>19</v>
      </c>
      <c r="F584">
        <v>98</v>
      </c>
      <c r="G584">
        <v>6</v>
      </c>
      <c r="H584">
        <v>15</v>
      </c>
      <c r="I584">
        <v>89</v>
      </c>
      <c r="J584">
        <v>30</v>
      </c>
      <c r="K584">
        <v>2</v>
      </c>
    </row>
    <row r="585" spans="1:11" x14ac:dyDescent="0.35">
      <c r="A585" t="s">
        <v>60</v>
      </c>
      <c r="B585" t="s">
        <v>28</v>
      </c>
      <c r="C585" t="s">
        <v>29</v>
      </c>
      <c r="D585" t="s">
        <v>20</v>
      </c>
      <c r="E585" t="s">
        <v>21</v>
      </c>
      <c r="F585">
        <v>37</v>
      </c>
      <c r="G585">
        <v>12</v>
      </c>
      <c r="H585">
        <v>50</v>
      </c>
      <c r="I585">
        <v>20</v>
      </c>
      <c r="J585">
        <v>52</v>
      </c>
      <c r="K585">
        <v>2</v>
      </c>
    </row>
    <row r="586" spans="1:11" x14ac:dyDescent="0.35">
      <c r="A586" t="s">
        <v>60</v>
      </c>
      <c r="B586" t="s">
        <v>45</v>
      </c>
      <c r="C586" t="s">
        <v>29</v>
      </c>
      <c r="D586" t="s">
        <v>22</v>
      </c>
      <c r="E586" t="s">
        <v>23</v>
      </c>
      <c r="F586">
        <v>581</v>
      </c>
      <c r="G586">
        <v>22</v>
      </c>
      <c r="H586">
        <v>15</v>
      </c>
      <c r="I586">
        <v>588</v>
      </c>
      <c r="J586">
        <v>15</v>
      </c>
      <c r="K586">
        <v>4</v>
      </c>
    </row>
    <row r="587" spans="1:11" x14ac:dyDescent="0.35">
      <c r="A587" t="s">
        <v>60</v>
      </c>
      <c r="B587" t="s">
        <v>31</v>
      </c>
      <c r="C587" t="s">
        <v>32</v>
      </c>
      <c r="D587" t="s">
        <v>30</v>
      </c>
      <c r="E587" t="s">
        <v>15</v>
      </c>
      <c r="F587">
        <v>314</v>
      </c>
      <c r="G587">
        <v>14</v>
      </c>
      <c r="H587">
        <v>30</v>
      </c>
      <c r="I587">
        <v>298</v>
      </c>
      <c r="J587">
        <v>32</v>
      </c>
      <c r="K587">
        <v>5</v>
      </c>
    </row>
    <row r="588" spans="1:11" x14ac:dyDescent="0.35">
      <c r="A588" t="s">
        <v>60</v>
      </c>
      <c r="B588" t="s">
        <v>31</v>
      </c>
      <c r="C588" t="s">
        <v>32</v>
      </c>
      <c r="D588" t="s">
        <v>16</v>
      </c>
      <c r="E588" t="s">
        <v>17</v>
      </c>
      <c r="F588">
        <v>316</v>
      </c>
      <c r="G588">
        <v>60</v>
      </c>
      <c r="H588">
        <v>29</v>
      </c>
      <c r="I588">
        <v>347</v>
      </c>
      <c r="J588">
        <v>30</v>
      </c>
      <c r="K588">
        <v>4</v>
      </c>
    </row>
    <row r="589" spans="1:11" x14ac:dyDescent="0.35">
      <c r="A589" t="s">
        <v>60</v>
      </c>
      <c r="B589" t="s">
        <v>31</v>
      </c>
      <c r="C589" t="s">
        <v>32</v>
      </c>
      <c r="D589" t="s">
        <v>18</v>
      </c>
      <c r="E589" t="s">
        <v>19</v>
      </c>
      <c r="F589">
        <v>88</v>
      </c>
      <c r="G589">
        <v>43</v>
      </c>
      <c r="H589">
        <v>24</v>
      </c>
      <c r="I589">
        <v>107</v>
      </c>
      <c r="J589">
        <v>32</v>
      </c>
      <c r="K589">
        <v>2</v>
      </c>
    </row>
    <row r="590" spans="1:11" x14ac:dyDescent="0.35">
      <c r="A590" t="s">
        <v>60</v>
      </c>
      <c r="B590" t="s">
        <v>31</v>
      </c>
      <c r="C590" t="s">
        <v>32</v>
      </c>
      <c r="D590" t="s">
        <v>20</v>
      </c>
      <c r="E590" t="s">
        <v>21</v>
      </c>
      <c r="F590">
        <v>138</v>
      </c>
      <c r="G590">
        <v>38</v>
      </c>
      <c r="H590">
        <v>49</v>
      </c>
      <c r="I590">
        <v>127</v>
      </c>
      <c r="J590">
        <v>53</v>
      </c>
      <c r="K590">
        <v>1</v>
      </c>
    </row>
    <row r="591" spans="1:11" x14ac:dyDescent="0.35">
      <c r="A591" t="s">
        <v>60</v>
      </c>
      <c r="B591" t="s">
        <v>31</v>
      </c>
      <c r="C591" t="s">
        <v>32</v>
      </c>
      <c r="D591" t="s">
        <v>22</v>
      </c>
      <c r="E591" t="s">
        <v>23</v>
      </c>
      <c r="F591">
        <v>652</v>
      </c>
      <c r="G591">
        <v>54</v>
      </c>
      <c r="H591">
        <v>15</v>
      </c>
      <c r="I591">
        <v>691</v>
      </c>
      <c r="J591">
        <v>22</v>
      </c>
      <c r="K591">
        <v>1</v>
      </c>
    </row>
    <row r="592" spans="1:11" x14ac:dyDescent="0.35">
      <c r="A592" t="s">
        <v>60</v>
      </c>
      <c r="B592" t="s">
        <v>33</v>
      </c>
      <c r="C592" t="s">
        <v>34</v>
      </c>
      <c r="D592" t="s">
        <v>14</v>
      </c>
      <c r="E592" t="s">
        <v>15</v>
      </c>
      <c r="F592">
        <v>209</v>
      </c>
      <c r="G592">
        <v>8</v>
      </c>
      <c r="H592">
        <v>34</v>
      </c>
      <c r="I592">
        <v>183</v>
      </c>
      <c r="J592">
        <v>49</v>
      </c>
      <c r="K592">
        <v>2</v>
      </c>
    </row>
    <row r="593" spans="1:11" x14ac:dyDescent="0.35">
      <c r="A593" t="s">
        <v>60</v>
      </c>
      <c r="B593" t="s">
        <v>33</v>
      </c>
      <c r="C593" t="s">
        <v>34</v>
      </c>
      <c r="D593" t="s">
        <v>16</v>
      </c>
      <c r="E593" t="s">
        <v>17</v>
      </c>
      <c r="F593">
        <v>259</v>
      </c>
      <c r="G593">
        <v>15</v>
      </c>
      <c r="H593">
        <v>27</v>
      </c>
      <c r="I593">
        <v>247</v>
      </c>
      <c r="J593">
        <v>31</v>
      </c>
      <c r="K593">
        <v>3</v>
      </c>
    </row>
    <row r="594" spans="1:11" x14ac:dyDescent="0.35">
      <c r="A594" t="s">
        <v>60</v>
      </c>
      <c r="B594" t="s">
        <v>45</v>
      </c>
      <c r="C594" t="s">
        <v>34</v>
      </c>
      <c r="D594" t="s">
        <v>18</v>
      </c>
      <c r="E594" t="s">
        <v>19</v>
      </c>
      <c r="F594">
        <v>201</v>
      </c>
      <c r="G594">
        <v>5</v>
      </c>
      <c r="H594">
        <v>21</v>
      </c>
      <c r="I594">
        <v>185</v>
      </c>
      <c r="J594">
        <v>27</v>
      </c>
      <c r="K594">
        <v>3</v>
      </c>
    </row>
    <row r="595" spans="1:11" x14ac:dyDescent="0.35">
      <c r="A595" t="s">
        <v>60</v>
      </c>
      <c r="B595" t="s">
        <v>33</v>
      </c>
      <c r="C595" t="s">
        <v>34</v>
      </c>
      <c r="D595" t="s">
        <v>20</v>
      </c>
      <c r="E595" t="s">
        <v>21</v>
      </c>
      <c r="F595">
        <v>334</v>
      </c>
      <c r="G595">
        <v>22</v>
      </c>
      <c r="H595">
        <v>35</v>
      </c>
      <c r="I595">
        <v>321</v>
      </c>
      <c r="J595">
        <v>36</v>
      </c>
      <c r="K595">
        <v>3</v>
      </c>
    </row>
    <row r="596" spans="1:11" x14ac:dyDescent="0.35">
      <c r="A596" t="s">
        <v>60</v>
      </c>
      <c r="B596" t="s">
        <v>33</v>
      </c>
      <c r="C596" t="s">
        <v>34</v>
      </c>
      <c r="D596" t="s">
        <v>22</v>
      </c>
      <c r="E596" t="s">
        <v>23</v>
      </c>
      <c r="F596">
        <v>424</v>
      </c>
      <c r="G596">
        <v>0</v>
      </c>
      <c r="H596">
        <v>9</v>
      </c>
      <c r="I596">
        <v>415</v>
      </c>
      <c r="J596">
        <v>17</v>
      </c>
      <c r="K596">
        <v>4</v>
      </c>
    </row>
    <row r="597" spans="1:11" x14ac:dyDescent="0.35">
      <c r="A597" t="s">
        <v>61</v>
      </c>
      <c r="B597" t="s">
        <v>12</v>
      </c>
      <c r="C597" t="s">
        <v>13</v>
      </c>
      <c r="D597" t="s">
        <v>14</v>
      </c>
      <c r="E597" t="s">
        <v>15</v>
      </c>
      <c r="F597">
        <v>436</v>
      </c>
      <c r="G597">
        <v>33</v>
      </c>
      <c r="H597">
        <v>19</v>
      </c>
      <c r="I597">
        <v>450</v>
      </c>
      <c r="J597">
        <v>34</v>
      </c>
      <c r="K597">
        <v>1</v>
      </c>
    </row>
    <row r="598" spans="1:11" x14ac:dyDescent="0.35">
      <c r="A598" t="s">
        <v>61</v>
      </c>
      <c r="B598" t="s">
        <v>12</v>
      </c>
      <c r="C598" t="s">
        <v>13</v>
      </c>
      <c r="D598" t="s">
        <v>16</v>
      </c>
      <c r="E598" t="s">
        <v>17</v>
      </c>
      <c r="F598">
        <v>290</v>
      </c>
      <c r="G598">
        <v>51</v>
      </c>
      <c r="H598">
        <v>24</v>
      </c>
      <c r="I598">
        <v>317</v>
      </c>
      <c r="J598">
        <v>33</v>
      </c>
      <c r="K598">
        <v>2</v>
      </c>
    </row>
    <row r="599" spans="1:11" x14ac:dyDescent="0.35">
      <c r="A599" t="s">
        <v>61</v>
      </c>
      <c r="B599" t="s">
        <v>12</v>
      </c>
      <c r="C599" t="s">
        <v>13</v>
      </c>
      <c r="D599" t="s">
        <v>18</v>
      </c>
      <c r="E599" t="s">
        <v>19</v>
      </c>
      <c r="F599">
        <v>199</v>
      </c>
      <c r="G599">
        <v>59</v>
      </c>
      <c r="H599">
        <v>40</v>
      </c>
      <c r="I599">
        <v>218</v>
      </c>
      <c r="J599">
        <v>48</v>
      </c>
      <c r="K599">
        <v>5</v>
      </c>
    </row>
    <row r="600" spans="1:11" x14ac:dyDescent="0.35">
      <c r="A600" t="s">
        <v>61</v>
      </c>
      <c r="B600" t="s">
        <v>12</v>
      </c>
      <c r="C600" t="s">
        <v>13</v>
      </c>
      <c r="D600" t="s">
        <v>20</v>
      </c>
      <c r="E600" t="s">
        <v>21</v>
      </c>
      <c r="F600">
        <v>40</v>
      </c>
      <c r="G600">
        <v>44</v>
      </c>
      <c r="H600">
        <v>36</v>
      </c>
      <c r="I600">
        <v>48</v>
      </c>
      <c r="J600">
        <v>39</v>
      </c>
      <c r="K600">
        <v>4</v>
      </c>
    </row>
    <row r="601" spans="1:11" x14ac:dyDescent="0.35">
      <c r="A601" t="s">
        <v>61</v>
      </c>
      <c r="B601" t="s">
        <v>12</v>
      </c>
      <c r="C601" t="s">
        <v>13</v>
      </c>
      <c r="D601" t="s">
        <v>22</v>
      </c>
      <c r="E601" t="s">
        <v>23</v>
      </c>
      <c r="F601">
        <v>332</v>
      </c>
      <c r="G601">
        <v>28</v>
      </c>
      <c r="H601">
        <v>15</v>
      </c>
      <c r="I601">
        <v>345</v>
      </c>
      <c r="J601">
        <v>27</v>
      </c>
      <c r="K601">
        <v>3</v>
      </c>
    </row>
    <row r="602" spans="1:11" x14ac:dyDescent="0.35">
      <c r="A602" t="s">
        <v>61</v>
      </c>
      <c r="B602" t="s">
        <v>12</v>
      </c>
      <c r="C602" t="s">
        <v>24</v>
      </c>
      <c r="D602" t="s">
        <v>14</v>
      </c>
      <c r="E602" t="s">
        <v>15</v>
      </c>
      <c r="F602">
        <v>234</v>
      </c>
      <c r="G602">
        <v>54</v>
      </c>
      <c r="H602">
        <v>15</v>
      </c>
      <c r="I602">
        <v>273</v>
      </c>
      <c r="J602">
        <v>26</v>
      </c>
      <c r="K602">
        <v>1</v>
      </c>
    </row>
    <row r="603" spans="1:11" x14ac:dyDescent="0.35">
      <c r="A603" t="s">
        <v>61</v>
      </c>
      <c r="B603" t="s">
        <v>12</v>
      </c>
      <c r="C603" t="s">
        <v>24</v>
      </c>
      <c r="D603" t="s">
        <v>16</v>
      </c>
      <c r="E603" t="s">
        <v>17</v>
      </c>
      <c r="F603">
        <v>224</v>
      </c>
      <c r="G603">
        <v>15</v>
      </c>
      <c r="H603">
        <v>32</v>
      </c>
      <c r="I603">
        <v>207</v>
      </c>
      <c r="J603">
        <v>37</v>
      </c>
      <c r="K603">
        <v>4</v>
      </c>
    </row>
    <row r="604" spans="1:11" x14ac:dyDescent="0.35">
      <c r="A604" t="s">
        <v>61</v>
      </c>
      <c r="B604" t="s">
        <v>12</v>
      </c>
      <c r="C604" t="s">
        <v>24</v>
      </c>
      <c r="D604" t="s">
        <v>18</v>
      </c>
      <c r="E604" t="s">
        <v>19</v>
      </c>
      <c r="F604">
        <v>113</v>
      </c>
      <c r="G604">
        <v>35</v>
      </c>
      <c r="H604">
        <v>37</v>
      </c>
      <c r="I604">
        <v>111</v>
      </c>
      <c r="J604">
        <v>48</v>
      </c>
      <c r="K604">
        <v>5</v>
      </c>
    </row>
    <row r="605" spans="1:11" x14ac:dyDescent="0.35">
      <c r="A605" t="s">
        <v>62</v>
      </c>
      <c r="B605" t="s">
        <v>12</v>
      </c>
      <c r="C605" t="s">
        <v>24</v>
      </c>
      <c r="D605" t="s">
        <v>20</v>
      </c>
      <c r="E605" t="s">
        <v>21</v>
      </c>
      <c r="F605">
        <v>20</v>
      </c>
      <c r="G605">
        <v>60</v>
      </c>
      <c r="H605">
        <v>31</v>
      </c>
      <c r="I605">
        <v>49</v>
      </c>
      <c r="J605">
        <v>44</v>
      </c>
      <c r="K605">
        <v>5</v>
      </c>
    </row>
    <row r="606" spans="1:11" x14ac:dyDescent="0.35">
      <c r="A606" t="s">
        <v>61</v>
      </c>
      <c r="B606" t="s">
        <v>12</v>
      </c>
      <c r="C606" t="s">
        <v>24</v>
      </c>
      <c r="D606" t="s">
        <v>22</v>
      </c>
      <c r="E606" t="s">
        <v>23</v>
      </c>
      <c r="F606">
        <v>437</v>
      </c>
      <c r="G606">
        <v>26</v>
      </c>
      <c r="H606">
        <v>7</v>
      </c>
      <c r="I606">
        <v>456</v>
      </c>
      <c r="J606">
        <v>12</v>
      </c>
      <c r="K606">
        <v>4</v>
      </c>
    </row>
    <row r="607" spans="1:11" x14ac:dyDescent="0.35">
      <c r="A607" t="s">
        <v>61</v>
      </c>
      <c r="B607" t="s">
        <v>12</v>
      </c>
      <c r="C607" t="s">
        <v>25</v>
      </c>
      <c r="D607" t="s">
        <v>14</v>
      </c>
      <c r="E607" t="s">
        <v>15</v>
      </c>
      <c r="F607">
        <v>233</v>
      </c>
      <c r="G607">
        <v>19</v>
      </c>
      <c r="H607">
        <v>11</v>
      </c>
      <c r="I607">
        <v>241</v>
      </c>
      <c r="J607">
        <v>20</v>
      </c>
      <c r="K607">
        <v>1</v>
      </c>
    </row>
    <row r="608" spans="1:11" x14ac:dyDescent="0.35">
      <c r="A608" t="s">
        <v>61</v>
      </c>
      <c r="B608" t="s">
        <v>12</v>
      </c>
      <c r="C608" t="s">
        <v>25</v>
      </c>
      <c r="D608" t="s">
        <v>16</v>
      </c>
      <c r="E608" t="s">
        <v>17</v>
      </c>
      <c r="F608">
        <v>306</v>
      </c>
      <c r="G608">
        <v>31</v>
      </c>
      <c r="H608">
        <v>11</v>
      </c>
      <c r="I608">
        <v>326</v>
      </c>
      <c r="J608">
        <v>25</v>
      </c>
      <c r="K608">
        <v>5</v>
      </c>
    </row>
    <row r="609" spans="1:11" x14ac:dyDescent="0.35">
      <c r="A609" t="s">
        <v>61</v>
      </c>
      <c r="B609" t="s">
        <v>12</v>
      </c>
      <c r="C609" t="s">
        <v>25</v>
      </c>
      <c r="D609" t="s">
        <v>18</v>
      </c>
      <c r="E609" t="s">
        <v>19</v>
      </c>
      <c r="F609">
        <v>169</v>
      </c>
      <c r="G609">
        <v>9</v>
      </c>
      <c r="H609">
        <v>48</v>
      </c>
      <c r="I609">
        <v>130</v>
      </c>
      <c r="J609">
        <v>62</v>
      </c>
      <c r="K609">
        <v>3</v>
      </c>
    </row>
    <row r="610" spans="1:11" x14ac:dyDescent="0.35">
      <c r="A610" t="s">
        <v>61</v>
      </c>
      <c r="B610" t="s">
        <v>12</v>
      </c>
      <c r="C610" t="s">
        <v>25</v>
      </c>
      <c r="D610" t="s">
        <v>20</v>
      </c>
      <c r="E610" t="s">
        <v>21</v>
      </c>
      <c r="F610">
        <v>208</v>
      </c>
      <c r="G610">
        <v>3</v>
      </c>
      <c r="H610">
        <v>34</v>
      </c>
      <c r="I610">
        <v>177</v>
      </c>
      <c r="J610">
        <v>35</v>
      </c>
      <c r="K610">
        <v>1</v>
      </c>
    </row>
    <row r="611" spans="1:11" x14ac:dyDescent="0.35">
      <c r="A611" t="s">
        <v>61</v>
      </c>
      <c r="B611" t="s">
        <v>12</v>
      </c>
      <c r="C611" t="s">
        <v>25</v>
      </c>
      <c r="D611" t="s">
        <v>22</v>
      </c>
      <c r="E611" t="s">
        <v>23</v>
      </c>
      <c r="F611">
        <v>488</v>
      </c>
      <c r="G611">
        <v>48</v>
      </c>
      <c r="H611">
        <v>11</v>
      </c>
      <c r="I611">
        <v>525</v>
      </c>
      <c r="J611">
        <v>20</v>
      </c>
      <c r="K611">
        <v>5</v>
      </c>
    </row>
    <row r="612" spans="1:11" x14ac:dyDescent="0.35">
      <c r="A612" t="s">
        <v>61</v>
      </c>
      <c r="B612" t="s">
        <v>26</v>
      </c>
      <c r="C612" t="s">
        <v>27</v>
      </c>
      <c r="D612" t="s">
        <v>14</v>
      </c>
      <c r="E612" t="s">
        <v>15</v>
      </c>
      <c r="F612">
        <v>444</v>
      </c>
      <c r="G612">
        <v>57</v>
      </c>
      <c r="H612">
        <v>10</v>
      </c>
      <c r="I612">
        <v>-5</v>
      </c>
      <c r="J612">
        <v>21</v>
      </c>
      <c r="K612">
        <v>3</v>
      </c>
    </row>
    <row r="613" spans="1:11" x14ac:dyDescent="0.35">
      <c r="A613" t="s">
        <v>61</v>
      </c>
      <c r="B613" t="s">
        <v>26</v>
      </c>
      <c r="C613" t="s">
        <v>27</v>
      </c>
      <c r="D613" t="s">
        <v>16</v>
      </c>
      <c r="E613" t="s">
        <v>17</v>
      </c>
      <c r="F613">
        <v>290</v>
      </c>
      <c r="G613">
        <v>29</v>
      </c>
      <c r="H613">
        <v>27</v>
      </c>
      <c r="I613">
        <v>292</v>
      </c>
      <c r="J613">
        <v>35</v>
      </c>
      <c r="K613">
        <v>3</v>
      </c>
    </row>
    <row r="614" spans="1:11" x14ac:dyDescent="0.35">
      <c r="A614" t="s">
        <v>61</v>
      </c>
      <c r="B614" t="s">
        <v>26</v>
      </c>
      <c r="C614" t="s">
        <v>27</v>
      </c>
      <c r="D614" t="s">
        <v>18</v>
      </c>
      <c r="E614" t="s">
        <v>19</v>
      </c>
      <c r="F614">
        <v>204</v>
      </c>
      <c r="G614">
        <v>43</v>
      </c>
      <c r="H614">
        <v>41</v>
      </c>
      <c r="I614">
        <v>206</v>
      </c>
      <c r="J614">
        <v>47</v>
      </c>
      <c r="K614">
        <v>2</v>
      </c>
    </row>
    <row r="615" spans="1:11" x14ac:dyDescent="0.35">
      <c r="A615" t="s">
        <v>61</v>
      </c>
      <c r="B615" t="s">
        <v>26</v>
      </c>
      <c r="C615" t="s">
        <v>27</v>
      </c>
      <c r="D615" t="s">
        <v>20</v>
      </c>
      <c r="E615" t="s">
        <v>21</v>
      </c>
      <c r="F615">
        <v>307</v>
      </c>
      <c r="G615">
        <v>27</v>
      </c>
      <c r="H615">
        <v>19</v>
      </c>
      <c r="I615">
        <v>315</v>
      </c>
      <c r="J615">
        <v>23</v>
      </c>
      <c r="K615">
        <v>3</v>
      </c>
    </row>
    <row r="616" spans="1:11" x14ac:dyDescent="0.35">
      <c r="A616" t="s">
        <v>61</v>
      </c>
      <c r="B616" t="s">
        <v>26</v>
      </c>
      <c r="C616" t="s">
        <v>27</v>
      </c>
      <c r="D616" t="s">
        <v>22</v>
      </c>
      <c r="E616" t="s">
        <v>23</v>
      </c>
      <c r="F616">
        <v>332</v>
      </c>
      <c r="G616">
        <v>27</v>
      </c>
      <c r="H616">
        <v>6</v>
      </c>
      <c r="I616">
        <v>353</v>
      </c>
      <c r="J616">
        <v>7</v>
      </c>
      <c r="K616">
        <v>3</v>
      </c>
    </row>
    <row r="617" spans="1:11" x14ac:dyDescent="0.35">
      <c r="A617" t="s">
        <v>61</v>
      </c>
      <c r="B617" t="s">
        <v>28</v>
      </c>
      <c r="C617" t="s">
        <v>36</v>
      </c>
      <c r="D617" t="s">
        <v>14</v>
      </c>
      <c r="E617" t="s">
        <v>15</v>
      </c>
      <c r="F617">
        <v>287</v>
      </c>
      <c r="G617">
        <v>57</v>
      </c>
      <c r="H617">
        <v>23</v>
      </c>
      <c r="I617">
        <v>321</v>
      </c>
      <c r="J617">
        <v>28</v>
      </c>
      <c r="K617">
        <v>2</v>
      </c>
    </row>
    <row r="618" spans="1:11" x14ac:dyDescent="0.35">
      <c r="A618" t="s">
        <v>61</v>
      </c>
      <c r="B618" t="s">
        <v>28</v>
      </c>
      <c r="C618" t="s">
        <v>29</v>
      </c>
      <c r="D618" t="s">
        <v>16</v>
      </c>
      <c r="E618" t="s">
        <v>17</v>
      </c>
      <c r="F618">
        <v>327</v>
      </c>
      <c r="G618">
        <v>12</v>
      </c>
      <c r="H618">
        <v>25</v>
      </c>
      <c r="I618">
        <v>314</v>
      </c>
      <c r="J618">
        <v>25</v>
      </c>
      <c r="K618">
        <v>3</v>
      </c>
    </row>
    <row r="619" spans="1:11" x14ac:dyDescent="0.35">
      <c r="A619" t="s">
        <v>61</v>
      </c>
      <c r="B619" t="s">
        <v>28</v>
      </c>
      <c r="C619" t="s">
        <v>29</v>
      </c>
      <c r="D619" t="s">
        <v>18</v>
      </c>
      <c r="E619" t="s">
        <v>19</v>
      </c>
      <c r="F619">
        <v>89</v>
      </c>
      <c r="G619">
        <v>57</v>
      </c>
      <c r="H619">
        <v>23</v>
      </c>
      <c r="I619">
        <v>123</v>
      </c>
      <c r="J619">
        <v>37</v>
      </c>
      <c r="K619">
        <v>4</v>
      </c>
    </row>
    <row r="620" spans="1:11" x14ac:dyDescent="0.35">
      <c r="A620" t="s">
        <v>61</v>
      </c>
      <c r="B620" t="s">
        <v>28</v>
      </c>
      <c r="C620" t="s">
        <v>29</v>
      </c>
      <c r="D620" t="s">
        <v>20</v>
      </c>
      <c r="E620" t="s">
        <v>21</v>
      </c>
      <c r="F620">
        <v>20</v>
      </c>
      <c r="G620">
        <v>57</v>
      </c>
      <c r="H620">
        <v>45</v>
      </c>
      <c r="I620">
        <v>32</v>
      </c>
      <c r="J620">
        <v>45</v>
      </c>
      <c r="K620">
        <v>5</v>
      </c>
    </row>
    <row r="621" spans="1:11" x14ac:dyDescent="0.35">
      <c r="A621" t="s">
        <v>61</v>
      </c>
      <c r="B621" t="s">
        <v>28</v>
      </c>
      <c r="C621" t="s">
        <v>29</v>
      </c>
      <c r="D621" t="s">
        <v>30</v>
      </c>
      <c r="E621" t="s">
        <v>23</v>
      </c>
      <c r="F621">
        <v>588</v>
      </c>
      <c r="G621">
        <v>7</v>
      </c>
      <c r="H621">
        <v>8</v>
      </c>
      <c r="I621">
        <v>587</v>
      </c>
      <c r="J621">
        <v>8</v>
      </c>
      <c r="K621">
        <v>1</v>
      </c>
    </row>
    <row r="622" spans="1:11" x14ac:dyDescent="0.35">
      <c r="A622" t="s">
        <v>61</v>
      </c>
      <c r="B622" t="s">
        <v>31</v>
      </c>
      <c r="C622" t="s">
        <v>32</v>
      </c>
      <c r="D622" t="s">
        <v>14</v>
      </c>
      <c r="E622" t="s">
        <v>15</v>
      </c>
      <c r="F622">
        <v>298</v>
      </c>
      <c r="G622">
        <v>46</v>
      </c>
      <c r="H622">
        <v>28</v>
      </c>
      <c r="I622">
        <v>316</v>
      </c>
      <c r="J622">
        <v>43</v>
      </c>
      <c r="K622">
        <v>4</v>
      </c>
    </row>
    <row r="623" spans="1:11" x14ac:dyDescent="0.35">
      <c r="A623" t="s">
        <v>61</v>
      </c>
      <c r="B623" t="s">
        <v>31</v>
      </c>
      <c r="C623" t="s">
        <v>32</v>
      </c>
      <c r="D623" t="s">
        <v>16</v>
      </c>
      <c r="E623" t="s">
        <v>17</v>
      </c>
      <c r="F623">
        <v>347</v>
      </c>
      <c r="G623">
        <v>54</v>
      </c>
      <c r="H623">
        <v>8</v>
      </c>
      <c r="I623">
        <v>393</v>
      </c>
      <c r="J623">
        <v>23</v>
      </c>
      <c r="K623">
        <v>1</v>
      </c>
    </row>
    <row r="624" spans="1:11" x14ac:dyDescent="0.35">
      <c r="A624" t="s">
        <v>61</v>
      </c>
      <c r="B624" t="s">
        <v>31</v>
      </c>
      <c r="C624" t="s">
        <v>32</v>
      </c>
      <c r="D624" t="s">
        <v>18</v>
      </c>
      <c r="E624" t="s">
        <v>19</v>
      </c>
      <c r="F624">
        <v>107</v>
      </c>
      <c r="G624">
        <v>23</v>
      </c>
      <c r="H624">
        <v>16</v>
      </c>
      <c r="I624">
        <v>114</v>
      </c>
      <c r="K624">
        <v>4</v>
      </c>
    </row>
    <row r="625" spans="1:11" x14ac:dyDescent="0.35">
      <c r="A625" t="s">
        <v>61</v>
      </c>
      <c r="B625" t="s">
        <v>31</v>
      </c>
      <c r="C625" t="s">
        <v>32</v>
      </c>
      <c r="D625" t="s">
        <v>20</v>
      </c>
      <c r="E625" t="s">
        <v>21</v>
      </c>
      <c r="F625">
        <v>127</v>
      </c>
      <c r="G625">
        <v>8</v>
      </c>
      <c r="H625">
        <v>32</v>
      </c>
      <c r="I625">
        <v>103</v>
      </c>
      <c r="J625">
        <v>37</v>
      </c>
      <c r="K625">
        <v>2</v>
      </c>
    </row>
    <row r="626" spans="1:11" x14ac:dyDescent="0.35">
      <c r="A626" t="s">
        <v>61</v>
      </c>
      <c r="B626" t="s">
        <v>31</v>
      </c>
      <c r="C626" t="s">
        <v>32</v>
      </c>
      <c r="D626" t="s">
        <v>22</v>
      </c>
      <c r="E626" t="s">
        <v>23</v>
      </c>
      <c r="F626">
        <v>691</v>
      </c>
      <c r="G626">
        <v>12</v>
      </c>
      <c r="H626">
        <v>4</v>
      </c>
      <c r="I626">
        <v>699</v>
      </c>
      <c r="J626">
        <v>11</v>
      </c>
      <c r="K626">
        <v>4</v>
      </c>
    </row>
    <row r="627" spans="1:11" x14ac:dyDescent="0.35">
      <c r="A627" t="s">
        <v>61</v>
      </c>
      <c r="B627" t="s">
        <v>33</v>
      </c>
      <c r="C627" t="s">
        <v>34</v>
      </c>
      <c r="D627" t="s">
        <v>14</v>
      </c>
      <c r="E627" t="s">
        <v>15</v>
      </c>
      <c r="F627">
        <v>183</v>
      </c>
      <c r="G627">
        <v>50</v>
      </c>
      <c r="H627">
        <v>16</v>
      </c>
      <c r="I627">
        <v>217</v>
      </c>
      <c r="J627">
        <v>31</v>
      </c>
      <c r="K627">
        <v>1</v>
      </c>
    </row>
    <row r="628" spans="1:11" x14ac:dyDescent="0.35">
      <c r="A628" t="s">
        <v>61</v>
      </c>
      <c r="B628" t="s">
        <v>33</v>
      </c>
      <c r="C628" t="s">
        <v>38</v>
      </c>
      <c r="D628" t="s">
        <v>16</v>
      </c>
      <c r="E628" t="s">
        <v>17</v>
      </c>
      <c r="F628">
        <v>247</v>
      </c>
      <c r="G628">
        <v>45</v>
      </c>
      <c r="H628">
        <v>24</v>
      </c>
      <c r="I628">
        <v>268</v>
      </c>
      <c r="J628">
        <v>29</v>
      </c>
      <c r="K628">
        <v>2</v>
      </c>
    </row>
    <row r="629" spans="1:11" x14ac:dyDescent="0.35">
      <c r="A629" t="s">
        <v>61</v>
      </c>
      <c r="B629" t="s">
        <v>33</v>
      </c>
      <c r="C629" t="s">
        <v>34</v>
      </c>
      <c r="D629" t="s">
        <v>18</v>
      </c>
      <c r="E629" t="s">
        <v>19</v>
      </c>
      <c r="F629">
        <v>185</v>
      </c>
      <c r="G629">
        <v>12</v>
      </c>
      <c r="H629">
        <v>23</v>
      </c>
      <c r="I629">
        <v>174</v>
      </c>
      <c r="J629">
        <v>37</v>
      </c>
      <c r="K629">
        <v>5</v>
      </c>
    </row>
    <row r="630" spans="1:11" x14ac:dyDescent="0.35">
      <c r="A630" t="s">
        <v>61</v>
      </c>
      <c r="B630" t="s">
        <v>33</v>
      </c>
      <c r="C630" t="s">
        <v>34</v>
      </c>
      <c r="D630" t="s">
        <v>20</v>
      </c>
      <c r="E630" t="s">
        <v>21</v>
      </c>
      <c r="F630">
        <v>321</v>
      </c>
      <c r="G630">
        <v>55</v>
      </c>
      <c r="H630">
        <v>29</v>
      </c>
      <c r="I630">
        <v>347</v>
      </c>
      <c r="J630">
        <v>39</v>
      </c>
      <c r="K630">
        <v>1</v>
      </c>
    </row>
    <row r="631" spans="1:11" x14ac:dyDescent="0.35">
      <c r="A631" t="s">
        <v>61</v>
      </c>
      <c r="B631" t="s">
        <v>33</v>
      </c>
      <c r="C631" t="s">
        <v>34</v>
      </c>
      <c r="D631" t="s">
        <v>22</v>
      </c>
      <c r="E631" t="s">
        <v>23</v>
      </c>
      <c r="F631">
        <v>415</v>
      </c>
      <c r="G631">
        <v>37</v>
      </c>
      <c r="H631">
        <v>11</v>
      </c>
      <c r="I631">
        <v>441</v>
      </c>
      <c r="J631">
        <v>17</v>
      </c>
      <c r="K631">
        <v>5</v>
      </c>
    </row>
    <row r="632" spans="1:11" x14ac:dyDescent="0.35">
      <c r="A632" t="s">
        <v>63</v>
      </c>
      <c r="B632" t="s">
        <v>12</v>
      </c>
      <c r="C632" t="s">
        <v>13</v>
      </c>
      <c r="D632" t="s">
        <v>14</v>
      </c>
      <c r="E632" t="s">
        <v>15</v>
      </c>
      <c r="F632">
        <v>450</v>
      </c>
      <c r="G632">
        <v>48</v>
      </c>
      <c r="H632">
        <v>25</v>
      </c>
      <c r="I632">
        <v>473</v>
      </c>
      <c r="J632">
        <v>28</v>
      </c>
      <c r="K632">
        <v>1</v>
      </c>
    </row>
    <row r="633" spans="1:11" x14ac:dyDescent="0.35">
      <c r="A633" t="s">
        <v>63</v>
      </c>
      <c r="B633" t="s">
        <v>12</v>
      </c>
      <c r="C633" t="s">
        <v>13</v>
      </c>
      <c r="D633" t="s">
        <v>16</v>
      </c>
      <c r="E633" t="s">
        <v>17</v>
      </c>
      <c r="F633">
        <v>317</v>
      </c>
      <c r="G633">
        <v>5</v>
      </c>
      <c r="H633">
        <v>17</v>
      </c>
      <c r="I633">
        <v>305</v>
      </c>
      <c r="J633">
        <v>23</v>
      </c>
      <c r="K633">
        <v>1</v>
      </c>
    </row>
    <row r="634" spans="1:11" x14ac:dyDescent="0.35">
      <c r="A634" t="s">
        <v>63</v>
      </c>
      <c r="B634" t="s">
        <v>12</v>
      </c>
      <c r="C634" t="s">
        <v>13</v>
      </c>
      <c r="D634" t="s">
        <v>18</v>
      </c>
      <c r="E634" t="s">
        <v>19</v>
      </c>
      <c r="F634">
        <v>218</v>
      </c>
      <c r="G634">
        <v>25</v>
      </c>
      <c r="H634">
        <v>50</v>
      </c>
      <c r="I634">
        <v>193</v>
      </c>
      <c r="J634">
        <v>55</v>
      </c>
      <c r="K634">
        <v>2</v>
      </c>
    </row>
    <row r="635" spans="1:11" x14ac:dyDescent="0.35">
      <c r="A635" t="s">
        <v>63</v>
      </c>
      <c r="B635" t="s">
        <v>12</v>
      </c>
      <c r="C635" t="s">
        <v>13</v>
      </c>
      <c r="D635" t="s">
        <v>20</v>
      </c>
      <c r="E635" t="s">
        <v>21</v>
      </c>
      <c r="F635">
        <v>48</v>
      </c>
      <c r="G635">
        <v>51</v>
      </c>
      <c r="H635">
        <v>38</v>
      </c>
      <c r="I635">
        <v>61</v>
      </c>
      <c r="J635">
        <v>42</v>
      </c>
      <c r="K635">
        <v>4</v>
      </c>
    </row>
    <row r="636" spans="1:11" x14ac:dyDescent="0.35">
      <c r="A636" t="s">
        <v>63</v>
      </c>
      <c r="B636" t="s">
        <v>12</v>
      </c>
      <c r="C636" t="s">
        <v>13</v>
      </c>
      <c r="D636" t="s">
        <v>22</v>
      </c>
      <c r="E636" t="s">
        <v>23</v>
      </c>
      <c r="F636">
        <v>345</v>
      </c>
      <c r="G636">
        <v>41</v>
      </c>
      <c r="H636">
        <v>9</v>
      </c>
      <c r="I636">
        <v>377</v>
      </c>
      <c r="J636">
        <v>24</v>
      </c>
      <c r="K636">
        <v>5</v>
      </c>
    </row>
    <row r="637" spans="1:11" x14ac:dyDescent="0.35">
      <c r="A637" t="s">
        <v>63</v>
      </c>
      <c r="B637" t="s">
        <v>12</v>
      </c>
      <c r="C637" t="s">
        <v>36</v>
      </c>
      <c r="D637" t="s">
        <v>14</v>
      </c>
      <c r="E637" t="s">
        <v>15</v>
      </c>
      <c r="F637">
        <v>273</v>
      </c>
      <c r="G637">
        <v>33</v>
      </c>
      <c r="H637">
        <v>35</v>
      </c>
      <c r="I637">
        <v>271</v>
      </c>
      <c r="J637">
        <v>44</v>
      </c>
      <c r="K637">
        <v>5</v>
      </c>
    </row>
    <row r="638" spans="1:11" x14ac:dyDescent="0.35">
      <c r="A638" t="s">
        <v>63</v>
      </c>
      <c r="B638" t="s">
        <v>12</v>
      </c>
      <c r="C638" t="s">
        <v>24</v>
      </c>
      <c r="D638" t="s">
        <v>16</v>
      </c>
      <c r="E638" t="s">
        <v>17</v>
      </c>
      <c r="F638">
        <v>207</v>
      </c>
      <c r="G638">
        <v>28</v>
      </c>
      <c r="H638">
        <v>22</v>
      </c>
      <c r="I638">
        <v>213</v>
      </c>
      <c r="J638">
        <v>37</v>
      </c>
      <c r="K638">
        <v>1</v>
      </c>
    </row>
    <row r="639" spans="1:11" x14ac:dyDescent="0.35">
      <c r="A639" t="s">
        <v>63</v>
      </c>
      <c r="B639" t="s">
        <v>12</v>
      </c>
      <c r="C639" t="s">
        <v>24</v>
      </c>
      <c r="D639" t="s">
        <v>18</v>
      </c>
      <c r="E639" t="s">
        <v>19</v>
      </c>
      <c r="F639">
        <v>111</v>
      </c>
      <c r="G639">
        <v>60</v>
      </c>
      <c r="H639">
        <v>22</v>
      </c>
      <c r="I639">
        <v>149</v>
      </c>
      <c r="J639">
        <v>28</v>
      </c>
      <c r="K639">
        <v>3</v>
      </c>
    </row>
    <row r="640" spans="1:11" x14ac:dyDescent="0.35">
      <c r="A640" t="s">
        <v>63</v>
      </c>
      <c r="B640" t="s">
        <v>12</v>
      </c>
      <c r="C640" t="s">
        <v>24</v>
      </c>
      <c r="D640" t="s">
        <v>20</v>
      </c>
      <c r="E640" t="s">
        <v>21</v>
      </c>
      <c r="F640">
        <v>49</v>
      </c>
      <c r="G640">
        <v>16</v>
      </c>
      <c r="H640">
        <v>50</v>
      </c>
      <c r="I640">
        <v>15</v>
      </c>
      <c r="J640">
        <v>61</v>
      </c>
      <c r="K640">
        <v>3</v>
      </c>
    </row>
    <row r="641" spans="1:11" x14ac:dyDescent="0.35">
      <c r="A641" t="s">
        <v>63</v>
      </c>
      <c r="B641" t="s">
        <v>12</v>
      </c>
      <c r="C641" t="s">
        <v>24</v>
      </c>
      <c r="D641" t="s">
        <v>22</v>
      </c>
      <c r="E641" t="s">
        <v>23</v>
      </c>
      <c r="F641">
        <v>456</v>
      </c>
      <c r="G641">
        <v>6</v>
      </c>
      <c r="H641">
        <v>11</v>
      </c>
      <c r="I641">
        <v>451</v>
      </c>
      <c r="J641">
        <v>26</v>
      </c>
      <c r="K641">
        <v>3</v>
      </c>
    </row>
    <row r="642" spans="1:11" x14ac:dyDescent="0.35">
      <c r="A642" t="s">
        <v>63</v>
      </c>
      <c r="B642" t="s">
        <v>12</v>
      </c>
      <c r="C642" t="s">
        <v>25</v>
      </c>
      <c r="D642" t="s">
        <v>14</v>
      </c>
      <c r="E642" t="s">
        <v>15</v>
      </c>
      <c r="F642">
        <v>241</v>
      </c>
      <c r="G642">
        <v>51</v>
      </c>
      <c r="H642">
        <v>31</v>
      </c>
      <c r="I642">
        <v>261</v>
      </c>
      <c r="J642">
        <v>42</v>
      </c>
      <c r="K642">
        <v>4</v>
      </c>
    </row>
    <row r="643" spans="1:11" x14ac:dyDescent="0.35">
      <c r="A643" t="s">
        <v>63</v>
      </c>
      <c r="B643" t="s">
        <v>12</v>
      </c>
      <c r="C643" t="s">
        <v>25</v>
      </c>
      <c r="D643" t="s">
        <v>16</v>
      </c>
      <c r="E643" t="s">
        <v>17</v>
      </c>
      <c r="F643">
        <v>326</v>
      </c>
      <c r="G643">
        <v>20</v>
      </c>
      <c r="H643">
        <v>25</v>
      </c>
      <c r="I643">
        <v>321</v>
      </c>
      <c r="J643">
        <v>40</v>
      </c>
      <c r="K643">
        <v>2</v>
      </c>
    </row>
    <row r="644" spans="1:11" x14ac:dyDescent="0.35">
      <c r="A644" t="s">
        <v>63</v>
      </c>
      <c r="B644" t="s">
        <v>12</v>
      </c>
      <c r="C644" t="s">
        <v>25</v>
      </c>
      <c r="D644" t="s">
        <v>18</v>
      </c>
      <c r="E644" t="s">
        <v>19</v>
      </c>
      <c r="F644">
        <v>130</v>
      </c>
      <c r="G644">
        <v>10</v>
      </c>
      <c r="H644">
        <v>23</v>
      </c>
      <c r="I644">
        <v>117</v>
      </c>
      <c r="J644">
        <v>26</v>
      </c>
      <c r="K644">
        <v>5</v>
      </c>
    </row>
    <row r="645" spans="1:11" x14ac:dyDescent="0.35">
      <c r="A645" t="s">
        <v>63</v>
      </c>
      <c r="B645" t="s">
        <v>12</v>
      </c>
      <c r="C645" t="s">
        <v>25</v>
      </c>
      <c r="D645" t="s">
        <v>20</v>
      </c>
      <c r="E645" t="s">
        <v>21</v>
      </c>
      <c r="F645">
        <v>177</v>
      </c>
      <c r="G645">
        <v>22</v>
      </c>
      <c r="H645">
        <v>18</v>
      </c>
      <c r="I645">
        <v>181</v>
      </c>
      <c r="J645">
        <v>28</v>
      </c>
      <c r="K645">
        <v>3</v>
      </c>
    </row>
    <row r="646" spans="1:11" x14ac:dyDescent="0.35">
      <c r="A646" t="s">
        <v>63</v>
      </c>
      <c r="B646" t="s">
        <v>12</v>
      </c>
      <c r="C646" t="s">
        <v>25</v>
      </c>
      <c r="D646" t="s">
        <v>22</v>
      </c>
      <c r="E646" t="s">
        <v>23</v>
      </c>
      <c r="F646">
        <v>525</v>
      </c>
      <c r="G646">
        <v>31</v>
      </c>
      <c r="H646">
        <v>8</v>
      </c>
      <c r="I646">
        <v>548</v>
      </c>
      <c r="J646">
        <v>8</v>
      </c>
      <c r="K646">
        <v>3</v>
      </c>
    </row>
    <row r="647" spans="1:11" x14ac:dyDescent="0.35">
      <c r="A647" t="s">
        <v>63</v>
      </c>
      <c r="B647" t="s">
        <v>26</v>
      </c>
      <c r="C647" t="s">
        <v>27</v>
      </c>
      <c r="D647" t="s">
        <v>14</v>
      </c>
      <c r="E647" t="s">
        <v>15</v>
      </c>
      <c r="F647">
        <v>491</v>
      </c>
      <c r="G647">
        <v>55</v>
      </c>
      <c r="H647">
        <v>33</v>
      </c>
      <c r="I647">
        <v>513</v>
      </c>
      <c r="J647">
        <v>35</v>
      </c>
      <c r="K647">
        <v>2</v>
      </c>
    </row>
    <row r="648" spans="1:11" x14ac:dyDescent="0.35">
      <c r="A648" t="s">
        <v>63</v>
      </c>
      <c r="B648" t="s">
        <v>26</v>
      </c>
      <c r="C648" t="s">
        <v>27</v>
      </c>
      <c r="D648" t="s">
        <v>16</v>
      </c>
      <c r="E648" t="s">
        <v>17</v>
      </c>
      <c r="F648">
        <v>292</v>
      </c>
      <c r="G648">
        <v>34</v>
      </c>
      <c r="H648">
        <v>9</v>
      </c>
      <c r="I648">
        <v>317</v>
      </c>
      <c r="J648">
        <v>20</v>
      </c>
      <c r="K648">
        <v>1</v>
      </c>
    </row>
    <row r="649" spans="1:11" x14ac:dyDescent="0.35">
      <c r="A649" t="s">
        <v>63</v>
      </c>
      <c r="B649" t="s">
        <v>26</v>
      </c>
      <c r="C649" t="s">
        <v>27</v>
      </c>
      <c r="D649" t="s">
        <v>18</v>
      </c>
      <c r="E649" t="s">
        <v>19</v>
      </c>
      <c r="F649">
        <v>206</v>
      </c>
      <c r="G649">
        <v>0</v>
      </c>
      <c r="H649">
        <v>43</v>
      </c>
      <c r="I649">
        <v>163</v>
      </c>
      <c r="J649">
        <v>57</v>
      </c>
      <c r="K649">
        <v>2</v>
      </c>
    </row>
    <row r="650" spans="1:11" x14ac:dyDescent="0.35">
      <c r="A650" t="s">
        <v>63</v>
      </c>
      <c r="B650" t="s">
        <v>26</v>
      </c>
      <c r="C650" t="s">
        <v>27</v>
      </c>
      <c r="D650" t="s">
        <v>20</v>
      </c>
      <c r="E650" t="s">
        <v>21</v>
      </c>
      <c r="F650">
        <v>315</v>
      </c>
      <c r="G650">
        <v>9</v>
      </c>
      <c r="H650">
        <v>19</v>
      </c>
      <c r="I650">
        <v>305</v>
      </c>
      <c r="J650">
        <v>20</v>
      </c>
      <c r="K650">
        <v>3</v>
      </c>
    </row>
    <row r="651" spans="1:11" x14ac:dyDescent="0.35">
      <c r="A651" t="s">
        <v>63</v>
      </c>
      <c r="B651" t="s">
        <v>26</v>
      </c>
      <c r="C651" t="s">
        <v>27</v>
      </c>
      <c r="D651" t="s">
        <v>22</v>
      </c>
      <c r="E651" t="s">
        <v>23</v>
      </c>
      <c r="F651">
        <v>353</v>
      </c>
      <c r="G651">
        <v>29</v>
      </c>
      <c r="H651">
        <v>17</v>
      </c>
      <c r="I651">
        <v>365</v>
      </c>
      <c r="J651">
        <v>22</v>
      </c>
      <c r="K651">
        <v>3</v>
      </c>
    </row>
    <row r="652" spans="1:11" x14ac:dyDescent="0.35">
      <c r="A652" t="s">
        <v>63</v>
      </c>
      <c r="B652" t="s">
        <v>28</v>
      </c>
      <c r="C652" t="s">
        <v>29</v>
      </c>
      <c r="D652" t="s">
        <v>14</v>
      </c>
      <c r="E652" t="s">
        <v>15</v>
      </c>
      <c r="F652">
        <v>321</v>
      </c>
      <c r="G652">
        <v>51</v>
      </c>
      <c r="H652">
        <v>25</v>
      </c>
      <c r="I652">
        <v>347</v>
      </c>
      <c r="J652">
        <v>34</v>
      </c>
      <c r="K652">
        <v>1</v>
      </c>
    </row>
    <row r="653" spans="1:11" x14ac:dyDescent="0.35">
      <c r="A653" t="s">
        <v>63</v>
      </c>
      <c r="B653" t="s">
        <v>28</v>
      </c>
      <c r="C653" t="s">
        <v>29</v>
      </c>
      <c r="D653" t="s">
        <v>16</v>
      </c>
      <c r="E653" t="s">
        <v>17</v>
      </c>
      <c r="F653">
        <v>314</v>
      </c>
      <c r="G653">
        <v>56</v>
      </c>
      <c r="H653">
        <v>18</v>
      </c>
      <c r="I653">
        <v>352</v>
      </c>
      <c r="J653">
        <v>30</v>
      </c>
      <c r="K653">
        <v>3</v>
      </c>
    </row>
    <row r="654" spans="1:11" x14ac:dyDescent="0.35">
      <c r="A654" t="s">
        <v>63</v>
      </c>
      <c r="B654" t="s">
        <v>28</v>
      </c>
      <c r="C654" t="s">
        <v>29</v>
      </c>
      <c r="D654" t="s">
        <v>18</v>
      </c>
      <c r="E654" t="s">
        <v>19</v>
      </c>
      <c r="F654">
        <v>123</v>
      </c>
      <c r="G654">
        <v>45</v>
      </c>
      <c r="H654">
        <v>41</v>
      </c>
      <c r="I654">
        <v>127</v>
      </c>
      <c r="J654">
        <v>50</v>
      </c>
      <c r="K654">
        <v>4</v>
      </c>
    </row>
    <row r="655" spans="1:11" x14ac:dyDescent="0.35">
      <c r="A655" t="s">
        <v>63</v>
      </c>
      <c r="B655" t="s">
        <v>28</v>
      </c>
      <c r="C655" t="s">
        <v>29</v>
      </c>
      <c r="D655" t="s">
        <v>20</v>
      </c>
      <c r="E655" t="s">
        <v>21</v>
      </c>
      <c r="F655">
        <v>32</v>
      </c>
      <c r="G655">
        <v>41</v>
      </c>
      <c r="H655">
        <v>19</v>
      </c>
      <c r="I655">
        <v>54</v>
      </c>
      <c r="J655">
        <v>29</v>
      </c>
      <c r="K655">
        <v>3</v>
      </c>
    </row>
    <row r="656" spans="1:11" x14ac:dyDescent="0.35">
      <c r="A656" t="s">
        <v>63</v>
      </c>
      <c r="B656" t="s">
        <v>28</v>
      </c>
      <c r="C656" t="s">
        <v>29</v>
      </c>
      <c r="D656" t="s">
        <v>22</v>
      </c>
      <c r="E656" t="s">
        <v>23</v>
      </c>
      <c r="F656">
        <v>587</v>
      </c>
      <c r="G656">
        <v>45</v>
      </c>
      <c r="H656">
        <v>3</v>
      </c>
      <c r="I656">
        <v>629</v>
      </c>
      <c r="J656">
        <v>4</v>
      </c>
      <c r="K656">
        <v>5</v>
      </c>
    </row>
    <row r="657" spans="1:11" x14ac:dyDescent="0.35">
      <c r="A657" t="s">
        <v>63</v>
      </c>
      <c r="B657" t="s">
        <v>31</v>
      </c>
      <c r="C657" t="s">
        <v>32</v>
      </c>
      <c r="D657" t="s">
        <v>14</v>
      </c>
      <c r="E657" t="s">
        <v>15</v>
      </c>
      <c r="F657">
        <v>316</v>
      </c>
      <c r="G657">
        <v>39</v>
      </c>
      <c r="H657">
        <v>23</v>
      </c>
      <c r="I657">
        <v>332</v>
      </c>
      <c r="J657">
        <v>25</v>
      </c>
      <c r="K657">
        <v>1</v>
      </c>
    </row>
    <row r="658" spans="1:11" x14ac:dyDescent="0.35">
      <c r="A658" t="s">
        <v>63</v>
      </c>
      <c r="B658" t="s">
        <v>31</v>
      </c>
      <c r="C658" t="s">
        <v>32</v>
      </c>
      <c r="D658" t="s">
        <v>16</v>
      </c>
      <c r="E658" t="s">
        <v>17</v>
      </c>
      <c r="F658">
        <v>393</v>
      </c>
      <c r="G658">
        <v>13</v>
      </c>
      <c r="H658">
        <v>24</v>
      </c>
      <c r="I658">
        <v>382</v>
      </c>
      <c r="J658">
        <v>37</v>
      </c>
      <c r="K658">
        <v>4</v>
      </c>
    </row>
    <row r="659" spans="1:11" x14ac:dyDescent="0.35">
      <c r="A659" t="s">
        <v>39</v>
      </c>
      <c r="B659" t="s">
        <v>31</v>
      </c>
      <c r="C659" t="s">
        <v>32</v>
      </c>
      <c r="D659" t="s">
        <v>18</v>
      </c>
      <c r="E659" t="s">
        <v>19</v>
      </c>
      <c r="F659">
        <v>114</v>
      </c>
      <c r="G659">
        <v>48</v>
      </c>
      <c r="H659">
        <v>22</v>
      </c>
      <c r="I659">
        <v>140</v>
      </c>
      <c r="J659">
        <v>31</v>
      </c>
      <c r="K659">
        <v>3</v>
      </c>
    </row>
    <row r="660" spans="1:11" x14ac:dyDescent="0.35">
      <c r="A660" t="s">
        <v>63</v>
      </c>
      <c r="B660" t="s">
        <v>31</v>
      </c>
      <c r="C660" t="s">
        <v>32</v>
      </c>
      <c r="D660" t="s">
        <v>20</v>
      </c>
      <c r="E660" t="s">
        <v>21</v>
      </c>
      <c r="F660">
        <v>103</v>
      </c>
      <c r="G660">
        <v>32</v>
      </c>
      <c r="H660">
        <v>25</v>
      </c>
      <c r="I660">
        <v>110</v>
      </c>
      <c r="J660">
        <v>40</v>
      </c>
      <c r="K660">
        <v>3</v>
      </c>
    </row>
    <row r="661" spans="1:11" x14ac:dyDescent="0.35">
      <c r="A661" t="s">
        <v>63</v>
      </c>
      <c r="B661" t="s">
        <v>31</v>
      </c>
      <c r="C661" t="s">
        <v>32</v>
      </c>
      <c r="D661" t="s">
        <v>22</v>
      </c>
      <c r="E661" t="s">
        <v>23</v>
      </c>
      <c r="F661">
        <v>699</v>
      </c>
      <c r="G661">
        <v>4</v>
      </c>
      <c r="H661">
        <v>15</v>
      </c>
      <c r="I661">
        <v>688</v>
      </c>
      <c r="J661">
        <v>28</v>
      </c>
      <c r="K661">
        <v>1</v>
      </c>
    </row>
    <row r="662" spans="1:11" x14ac:dyDescent="0.35">
      <c r="A662" t="s">
        <v>63</v>
      </c>
      <c r="B662" t="s">
        <v>33</v>
      </c>
      <c r="C662" t="s">
        <v>34</v>
      </c>
      <c r="D662" t="s">
        <v>14</v>
      </c>
      <c r="E662" t="s">
        <v>15</v>
      </c>
      <c r="F662">
        <v>217</v>
      </c>
      <c r="G662">
        <v>21</v>
      </c>
      <c r="H662">
        <v>13</v>
      </c>
      <c r="I662">
        <v>225</v>
      </c>
      <c r="J662">
        <v>26</v>
      </c>
      <c r="K662">
        <v>4</v>
      </c>
    </row>
    <row r="663" spans="1:11" x14ac:dyDescent="0.35">
      <c r="A663" t="s">
        <v>63</v>
      </c>
      <c r="B663" t="s">
        <v>33</v>
      </c>
      <c r="C663" t="s">
        <v>34</v>
      </c>
      <c r="D663" t="s">
        <v>16</v>
      </c>
      <c r="E663" t="s">
        <v>17</v>
      </c>
      <c r="F663">
        <v>268</v>
      </c>
      <c r="G663">
        <v>1</v>
      </c>
      <c r="H663">
        <v>34</v>
      </c>
      <c r="I663">
        <v>235</v>
      </c>
      <c r="J663">
        <v>39</v>
      </c>
      <c r="K663">
        <v>4</v>
      </c>
    </row>
    <row r="664" spans="1:11" x14ac:dyDescent="0.35">
      <c r="A664" t="s">
        <v>63</v>
      </c>
      <c r="B664" t="s">
        <v>33</v>
      </c>
      <c r="C664" t="s">
        <v>34</v>
      </c>
      <c r="D664" t="s">
        <v>18</v>
      </c>
      <c r="E664" t="s">
        <v>19</v>
      </c>
      <c r="F664">
        <v>174</v>
      </c>
      <c r="G664">
        <v>3</v>
      </c>
      <c r="H664">
        <v>48</v>
      </c>
      <c r="I664">
        <v>129</v>
      </c>
      <c r="J664">
        <v>51</v>
      </c>
      <c r="K664">
        <v>4</v>
      </c>
    </row>
    <row r="665" spans="1:11" x14ac:dyDescent="0.35">
      <c r="A665" t="s">
        <v>63</v>
      </c>
      <c r="B665" t="s">
        <v>33</v>
      </c>
      <c r="C665" t="s">
        <v>38</v>
      </c>
      <c r="D665" t="s">
        <v>20</v>
      </c>
      <c r="E665" t="s">
        <v>21</v>
      </c>
      <c r="F665">
        <v>347</v>
      </c>
      <c r="G665">
        <v>2</v>
      </c>
      <c r="H665">
        <v>27</v>
      </c>
      <c r="I665">
        <v>322</v>
      </c>
      <c r="J665">
        <v>42</v>
      </c>
      <c r="K665">
        <v>2</v>
      </c>
    </row>
    <row r="666" spans="1:11" x14ac:dyDescent="0.35">
      <c r="A666" t="s">
        <v>63</v>
      </c>
      <c r="B666" t="s">
        <v>33</v>
      </c>
      <c r="C666" t="s">
        <v>34</v>
      </c>
      <c r="D666" t="s">
        <v>22</v>
      </c>
      <c r="E666" t="s">
        <v>23</v>
      </c>
      <c r="F666">
        <v>441</v>
      </c>
      <c r="G666">
        <v>35</v>
      </c>
      <c r="H666">
        <v>10</v>
      </c>
      <c r="I666">
        <v>466</v>
      </c>
      <c r="J666">
        <v>25</v>
      </c>
      <c r="K666">
        <v>5</v>
      </c>
    </row>
    <row r="667" spans="1:11" x14ac:dyDescent="0.35">
      <c r="A667" t="s">
        <v>64</v>
      </c>
      <c r="B667" t="s">
        <v>12</v>
      </c>
      <c r="C667" t="s">
        <v>13</v>
      </c>
      <c r="D667" t="s">
        <v>14</v>
      </c>
      <c r="E667" t="s">
        <v>15</v>
      </c>
      <c r="F667">
        <v>473</v>
      </c>
      <c r="G667">
        <v>18</v>
      </c>
      <c r="H667">
        <v>17</v>
      </c>
      <c r="I667">
        <v>474</v>
      </c>
      <c r="J667">
        <v>26</v>
      </c>
      <c r="K667">
        <v>3</v>
      </c>
    </row>
    <row r="668" spans="1:11" x14ac:dyDescent="0.35">
      <c r="A668" t="s">
        <v>64</v>
      </c>
      <c r="B668" t="s">
        <v>12</v>
      </c>
      <c r="C668" t="s">
        <v>13</v>
      </c>
      <c r="D668" t="s">
        <v>16</v>
      </c>
      <c r="E668" t="s">
        <v>17</v>
      </c>
      <c r="F668">
        <v>305</v>
      </c>
      <c r="G668">
        <v>43</v>
      </c>
      <c r="H668">
        <v>20</v>
      </c>
      <c r="I668">
        <v>328</v>
      </c>
      <c r="J668">
        <v>23</v>
      </c>
      <c r="K668">
        <v>2</v>
      </c>
    </row>
    <row r="669" spans="1:11" x14ac:dyDescent="0.35">
      <c r="A669" t="s">
        <v>64</v>
      </c>
      <c r="B669" t="s">
        <v>12</v>
      </c>
      <c r="C669" t="s">
        <v>13</v>
      </c>
      <c r="D669" t="s">
        <v>18</v>
      </c>
      <c r="E669" t="s">
        <v>19</v>
      </c>
      <c r="F669">
        <v>193</v>
      </c>
      <c r="G669">
        <v>2</v>
      </c>
      <c r="H669">
        <v>44</v>
      </c>
      <c r="I669">
        <v>151</v>
      </c>
      <c r="J669">
        <v>57</v>
      </c>
      <c r="K669">
        <v>3</v>
      </c>
    </row>
    <row r="670" spans="1:11" x14ac:dyDescent="0.35">
      <c r="A670" t="s">
        <v>64</v>
      </c>
      <c r="B670" t="s">
        <v>12</v>
      </c>
      <c r="C670" t="s">
        <v>13</v>
      </c>
      <c r="D670" t="s">
        <v>20</v>
      </c>
      <c r="E670" t="s">
        <v>21</v>
      </c>
      <c r="F670">
        <v>61</v>
      </c>
      <c r="G670">
        <v>17</v>
      </c>
      <c r="H670">
        <v>35</v>
      </c>
      <c r="I670">
        <v>43</v>
      </c>
      <c r="J670">
        <v>37</v>
      </c>
      <c r="K670">
        <v>3</v>
      </c>
    </row>
    <row r="671" spans="1:11" x14ac:dyDescent="0.35">
      <c r="A671" t="s">
        <v>64</v>
      </c>
      <c r="B671" t="s">
        <v>12</v>
      </c>
      <c r="C671" t="s">
        <v>13</v>
      </c>
      <c r="D671" t="s">
        <v>22</v>
      </c>
      <c r="E671" t="s">
        <v>23</v>
      </c>
      <c r="F671">
        <v>377</v>
      </c>
      <c r="G671">
        <v>42</v>
      </c>
      <c r="H671">
        <v>6</v>
      </c>
      <c r="I671">
        <v>413</v>
      </c>
      <c r="J671">
        <v>17</v>
      </c>
      <c r="K671">
        <v>3</v>
      </c>
    </row>
    <row r="672" spans="1:11" x14ac:dyDescent="0.35">
      <c r="A672" t="s">
        <v>64</v>
      </c>
      <c r="B672" t="s">
        <v>12</v>
      </c>
      <c r="C672" t="s">
        <v>24</v>
      </c>
      <c r="D672" t="s">
        <v>14</v>
      </c>
      <c r="E672" t="s">
        <v>15</v>
      </c>
      <c r="F672">
        <v>271</v>
      </c>
      <c r="G672">
        <v>17</v>
      </c>
      <c r="H672">
        <v>21</v>
      </c>
      <c r="I672">
        <v>267</v>
      </c>
      <c r="J672">
        <v>21</v>
      </c>
      <c r="K672">
        <v>1</v>
      </c>
    </row>
    <row r="673" spans="1:11" x14ac:dyDescent="0.35">
      <c r="A673" t="s">
        <v>64</v>
      </c>
      <c r="B673" t="s">
        <v>12</v>
      </c>
      <c r="C673" t="s">
        <v>24</v>
      </c>
      <c r="D673" t="s">
        <v>16</v>
      </c>
      <c r="E673" t="s">
        <v>17</v>
      </c>
      <c r="F673">
        <v>213</v>
      </c>
      <c r="G673">
        <v>31</v>
      </c>
      <c r="H673">
        <v>31</v>
      </c>
      <c r="I673">
        <v>213</v>
      </c>
      <c r="J673">
        <v>39</v>
      </c>
      <c r="K673">
        <v>2</v>
      </c>
    </row>
    <row r="674" spans="1:11" x14ac:dyDescent="0.35">
      <c r="A674" t="s">
        <v>64</v>
      </c>
      <c r="B674" t="s">
        <v>12</v>
      </c>
      <c r="C674" t="s">
        <v>24</v>
      </c>
      <c r="D674" t="s">
        <v>18</v>
      </c>
      <c r="E674" t="s">
        <v>19</v>
      </c>
      <c r="F674">
        <v>149</v>
      </c>
      <c r="G674">
        <v>58</v>
      </c>
      <c r="H674">
        <v>27</v>
      </c>
      <c r="I674">
        <v>180</v>
      </c>
      <c r="J674">
        <v>31</v>
      </c>
      <c r="K674">
        <v>1</v>
      </c>
    </row>
    <row r="675" spans="1:11" x14ac:dyDescent="0.35">
      <c r="A675" t="s">
        <v>64</v>
      </c>
      <c r="B675" t="s">
        <v>12</v>
      </c>
      <c r="C675" t="s">
        <v>24</v>
      </c>
      <c r="D675" t="s">
        <v>20</v>
      </c>
      <c r="E675" t="s">
        <v>21</v>
      </c>
      <c r="F675">
        <v>15</v>
      </c>
      <c r="G675">
        <v>24</v>
      </c>
      <c r="H675">
        <v>39</v>
      </c>
      <c r="I675">
        <v>0</v>
      </c>
      <c r="J675">
        <v>45</v>
      </c>
      <c r="K675">
        <v>5</v>
      </c>
    </row>
    <row r="676" spans="1:11" x14ac:dyDescent="0.35">
      <c r="A676" t="s">
        <v>64</v>
      </c>
      <c r="B676" t="s">
        <v>12</v>
      </c>
      <c r="C676" t="s">
        <v>24</v>
      </c>
      <c r="D676" t="s">
        <v>22</v>
      </c>
      <c r="E676" t="s">
        <v>23</v>
      </c>
      <c r="F676">
        <v>451</v>
      </c>
      <c r="G676">
        <v>18</v>
      </c>
      <c r="H676">
        <v>14</v>
      </c>
      <c r="I676">
        <v>455</v>
      </c>
      <c r="J676">
        <v>17</v>
      </c>
      <c r="K676">
        <v>2</v>
      </c>
    </row>
    <row r="677" spans="1:11" x14ac:dyDescent="0.35">
      <c r="A677" t="s">
        <v>64</v>
      </c>
      <c r="B677" t="s">
        <v>12</v>
      </c>
      <c r="C677" t="s">
        <v>25</v>
      </c>
      <c r="D677" t="s">
        <v>14</v>
      </c>
      <c r="E677" t="s">
        <v>15</v>
      </c>
      <c r="F677">
        <v>261</v>
      </c>
      <c r="G677">
        <v>27</v>
      </c>
      <c r="H677">
        <v>35</v>
      </c>
      <c r="I677">
        <v>253</v>
      </c>
      <c r="J677">
        <v>37</v>
      </c>
      <c r="K677">
        <v>3</v>
      </c>
    </row>
    <row r="678" spans="1:11" x14ac:dyDescent="0.35">
      <c r="A678" t="s">
        <v>64</v>
      </c>
      <c r="B678" t="s">
        <v>12</v>
      </c>
      <c r="C678" t="s">
        <v>25</v>
      </c>
      <c r="D678" t="s">
        <v>16</v>
      </c>
      <c r="E678" t="s">
        <v>17</v>
      </c>
      <c r="F678">
        <v>321</v>
      </c>
      <c r="G678">
        <v>6</v>
      </c>
      <c r="H678">
        <v>35</v>
      </c>
      <c r="I678">
        <v>292</v>
      </c>
      <c r="J678">
        <v>48</v>
      </c>
      <c r="K678">
        <v>3</v>
      </c>
    </row>
    <row r="679" spans="1:11" x14ac:dyDescent="0.35">
      <c r="A679" t="s">
        <v>64</v>
      </c>
      <c r="B679" t="s">
        <v>12</v>
      </c>
      <c r="C679" t="s">
        <v>25</v>
      </c>
      <c r="D679" t="s">
        <v>18</v>
      </c>
      <c r="E679" t="s">
        <v>19</v>
      </c>
      <c r="F679">
        <v>117</v>
      </c>
      <c r="G679">
        <v>6</v>
      </c>
      <c r="H679">
        <v>50</v>
      </c>
      <c r="I679">
        <v>73</v>
      </c>
      <c r="J679">
        <v>63</v>
      </c>
      <c r="K679">
        <v>4</v>
      </c>
    </row>
    <row r="680" spans="1:11" x14ac:dyDescent="0.35">
      <c r="A680" t="s">
        <v>64</v>
      </c>
      <c r="B680" t="s">
        <v>12</v>
      </c>
      <c r="C680" t="s">
        <v>25</v>
      </c>
      <c r="D680" t="s">
        <v>20</v>
      </c>
      <c r="E680" t="s">
        <v>21</v>
      </c>
      <c r="F680">
        <v>181</v>
      </c>
      <c r="G680">
        <v>40</v>
      </c>
      <c r="H680">
        <v>37</v>
      </c>
      <c r="I680">
        <v>184</v>
      </c>
      <c r="J680">
        <v>46</v>
      </c>
      <c r="K680">
        <v>3</v>
      </c>
    </row>
    <row r="681" spans="1:11" x14ac:dyDescent="0.35">
      <c r="A681" t="s">
        <v>64</v>
      </c>
      <c r="B681" t="s">
        <v>12</v>
      </c>
      <c r="C681" t="s">
        <v>25</v>
      </c>
      <c r="D681" t="s">
        <v>22</v>
      </c>
      <c r="E681" t="s">
        <v>23</v>
      </c>
      <c r="F681">
        <v>548</v>
      </c>
      <c r="G681">
        <v>56</v>
      </c>
      <c r="H681">
        <v>9</v>
      </c>
      <c r="I681">
        <v>595</v>
      </c>
      <c r="J681">
        <v>15</v>
      </c>
      <c r="K681">
        <v>5</v>
      </c>
    </row>
    <row r="682" spans="1:11" x14ac:dyDescent="0.35">
      <c r="A682" t="s">
        <v>64</v>
      </c>
      <c r="B682" t="s">
        <v>26</v>
      </c>
      <c r="C682" t="s">
        <v>27</v>
      </c>
      <c r="D682" t="s">
        <v>30</v>
      </c>
      <c r="E682" t="s">
        <v>15</v>
      </c>
      <c r="F682">
        <v>513</v>
      </c>
      <c r="G682">
        <v>49</v>
      </c>
      <c r="H682">
        <v>35</v>
      </c>
      <c r="I682">
        <v>527</v>
      </c>
      <c r="J682">
        <v>42</v>
      </c>
      <c r="K682">
        <v>1</v>
      </c>
    </row>
    <row r="683" spans="1:11" x14ac:dyDescent="0.35">
      <c r="A683" t="s">
        <v>64</v>
      </c>
      <c r="B683" t="s">
        <v>26</v>
      </c>
      <c r="C683" t="s">
        <v>27</v>
      </c>
      <c r="D683" t="s">
        <v>16</v>
      </c>
      <c r="E683" t="s">
        <v>17</v>
      </c>
      <c r="F683">
        <v>317</v>
      </c>
      <c r="G683">
        <v>50</v>
      </c>
      <c r="H683">
        <v>14</v>
      </c>
      <c r="I683">
        <v>353</v>
      </c>
      <c r="J683">
        <v>25</v>
      </c>
      <c r="K683">
        <v>3</v>
      </c>
    </row>
    <row r="684" spans="1:11" x14ac:dyDescent="0.35">
      <c r="A684" t="s">
        <v>64</v>
      </c>
      <c r="B684" t="s">
        <v>26</v>
      </c>
      <c r="C684" t="s">
        <v>27</v>
      </c>
      <c r="D684" t="s">
        <v>18</v>
      </c>
      <c r="E684" t="s">
        <v>19</v>
      </c>
      <c r="F684">
        <v>163</v>
      </c>
      <c r="G684">
        <v>18</v>
      </c>
      <c r="H684">
        <v>27</v>
      </c>
      <c r="I684">
        <v>154</v>
      </c>
      <c r="J684">
        <v>34</v>
      </c>
      <c r="K684">
        <v>3</v>
      </c>
    </row>
    <row r="685" spans="1:11" x14ac:dyDescent="0.35">
      <c r="A685" t="s">
        <v>64</v>
      </c>
      <c r="B685" t="s">
        <v>26</v>
      </c>
      <c r="C685" t="s">
        <v>27</v>
      </c>
      <c r="D685" t="s">
        <v>20</v>
      </c>
      <c r="E685" t="s">
        <v>21</v>
      </c>
      <c r="F685">
        <v>305</v>
      </c>
      <c r="G685">
        <v>34</v>
      </c>
      <c r="H685">
        <v>43</v>
      </c>
      <c r="I685">
        <v>296</v>
      </c>
      <c r="J685">
        <v>57</v>
      </c>
      <c r="K685">
        <v>3</v>
      </c>
    </row>
    <row r="686" spans="1:11" x14ac:dyDescent="0.35">
      <c r="A686" t="s">
        <v>64</v>
      </c>
      <c r="B686" t="s">
        <v>26</v>
      </c>
      <c r="C686" t="s">
        <v>27</v>
      </c>
      <c r="D686" t="s">
        <v>22</v>
      </c>
      <c r="E686" t="s">
        <v>23</v>
      </c>
      <c r="F686">
        <v>365</v>
      </c>
      <c r="G686">
        <v>19</v>
      </c>
      <c r="H686">
        <v>14</v>
      </c>
      <c r="I686">
        <v>370</v>
      </c>
      <c r="J686">
        <v>14</v>
      </c>
      <c r="K686">
        <v>4</v>
      </c>
    </row>
    <row r="687" spans="1:11" x14ac:dyDescent="0.35">
      <c r="A687" t="s">
        <v>64</v>
      </c>
      <c r="B687" t="s">
        <v>28</v>
      </c>
      <c r="C687" t="s">
        <v>29</v>
      </c>
      <c r="D687" t="s">
        <v>14</v>
      </c>
      <c r="E687" t="s">
        <v>15</v>
      </c>
      <c r="F687">
        <v>347</v>
      </c>
      <c r="G687">
        <v>20</v>
      </c>
      <c r="H687">
        <v>23</v>
      </c>
      <c r="I687">
        <v>344</v>
      </c>
      <c r="J687">
        <v>38</v>
      </c>
      <c r="K687">
        <v>1</v>
      </c>
    </row>
    <row r="688" spans="1:11" x14ac:dyDescent="0.35">
      <c r="A688" t="s">
        <v>64</v>
      </c>
      <c r="B688" t="s">
        <v>28</v>
      </c>
      <c r="C688" t="s">
        <v>29</v>
      </c>
      <c r="D688" t="s">
        <v>16</v>
      </c>
      <c r="E688" t="s">
        <v>17</v>
      </c>
      <c r="F688">
        <v>352</v>
      </c>
      <c r="G688">
        <v>21</v>
      </c>
      <c r="H688">
        <v>18</v>
      </c>
      <c r="I688">
        <v>355</v>
      </c>
      <c r="J688">
        <v>30</v>
      </c>
      <c r="K688">
        <v>5</v>
      </c>
    </row>
    <row r="689" spans="1:11" x14ac:dyDescent="0.35">
      <c r="A689" t="s">
        <v>64</v>
      </c>
      <c r="B689" t="s">
        <v>28</v>
      </c>
      <c r="C689" t="s">
        <v>29</v>
      </c>
      <c r="D689" t="s">
        <v>18</v>
      </c>
      <c r="E689" t="s">
        <v>19</v>
      </c>
      <c r="F689">
        <v>127</v>
      </c>
      <c r="G689">
        <v>5</v>
      </c>
      <c r="H689">
        <v>36</v>
      </c>
      <c r="I689">
        <v>96</v>
      </c>
      <c r="J689">
        <v>42</v>
      </c>
      <c r="K689">
        <v>2</v>
      </c>
    </row>
    <row r="690" spans="1:11" x14ac:dyDescent="0.35">
      <c r="A690" t="s">
        <v>64</v>
      </c>
      <c r="B690" t="s">
        <v>28</v>
      </c>
      <c r="C690" t="s">
        <v>29</v>
      </c>
      <c r="D690" t="s">
        <v>20</v>
      </c>
      <c r="E690" t="s">
        <v>21</v>
      </c>
      <c r="F690">
        <v>54</v>
      </c>
      <c r="G690">
        <v>41</v>
      </c>
      <c r="H690">
        <v>30</v>
      </c>
      <c r="I690">
        <v>65</v>
      </c>
      <c r="J690">
        <v>39</v>
      </c>
      <c r="K690">
        <v>1</v>
      </c>
    </row>
    <row r="691" spans="1:11" x14ac:dyDescent="0.35">
      <c r="A691" t="s">
        <v>64</v>
      </c>
      <c r="B691" t="s">
        <v>28</v>
      </c>
      <c r="C691" t="s">
        <v>29</v>
      </c>
      <c r="D691" t="s">
        <v>22</v>
      </c>
      <c r="E691" t="s">
        <v>23</v>
      </c>
      <c r="F691">
        <v>629</v>
      </c>
      <c r="G691">
        <v>60</v>
      </c>
      <c r="H691">
        <v>8</v>
      </c>
      <c r="I691">
        <v>681</v>
      </c>
      <c r="J691">
        <v>15</v>
      </c>
      <c r="K691">
        <v>4</v>
      </c>
    </row>
    <row r="692" spans="1:11" x14ac:dyDescent="0.35">
      <c r="A692" t="s">
        <v>64</v>
      </c>
      <c r="B692" t="s">
        <v>31</v>
      </c>
      <c r="C692" t="s">
        <v>32</v>
      </c>
      <c r="D692" t="s">
        <v>14</v>
      </c>
      <c r="E692" t="s">
        <v>15</v>
      </c>
      <c r="F692">
        <v>332</v>
      </c>
      <c r="G692">
        <v>33</v>
      </c>
      <c r="H692">
        <v>9</v>
      </c>
      <c r="I692">
        <v>356</v>
      </c>
      <c r="J692">
        <v>10</v>
      </c>
      <c r="K692">
        <v>2</v>
      </c>
    </row>
    <row r="693" spans="1:11" x14ac:dyDescent="0.35">
      <c r="A693" t="s">
        <v>64</v>
      </c>
      <c r="B693" t="s">
        <v>31</v>
      </c>
      <c r="C693" t="s">
        <v>32</v>
      </c>
      <c r="D693" t="s">
        <v>16</v>
      </c>
      <c r="E693" t="s">
        <v>17</v>
      </c>
      <c r="F693">
        <v>382</v>
      </c>
      <c r="G693">
        <v>0</v>
      </c>
      <c r="H693">
        <v>18</v>
      </c>
      <c r="I693">
        <v>364</v>
      </c>
      <c r="J693">
        <v>26</v>
      </c>
      <c r="K693">
        <v>1</v>
      </c>
    </row>
    <row r="694" spans="1:11" x14ac:dyDescent="0.35">
      <c r="A694" t="s">
        <v>64</v>
      </c>
      <c r="B694" t="s">
        <v>31</v>
      </c>
      <c r="C694" t="s">
        <v>32</v>
      </c>
      <c r="D694" t="s">
        <v>18</v>
      </c>
      <c r="E694" t="s">
        <v>19</v>
      </c>
      <c r="F694">
        <v>140</v>
      </c>
      <c r="G694">
        <v>7</v>
      </c>
      <c r="H694">
        <v>19</v>
      </c>
      <c r="I694">
        <v>128</v>
      </c>
      <c r="J694">
        <v>31</v>
      </c>
      <c r="K694">
        <v>3</v>
      </c>
    </row>
    <row r="695" spans="1:11" x14ac:dyDescent="0.35">
      <c r="A695" t="s">
        <v>64</v>
      </c>
      <c r="B695" t="s">
        <v>31</v>
      </c>
      <c r="C695" t="s">
        <v>32</v>
      </c>
      <c r="D695" t="s">
        <v>20</v>
      </c>
      <c r="E695" t="s">
        <v>21</v>
      </c>
      <c r="F695">
        <v>110</v>
      </c>
      <c r="G695">
        <v>22</v>
      </c>
      <c r="H695">
        <v>39</v>
      </c>
      <c r="I695">
        <v>93</v>
      </c>
      <c r="J695">
        <v>44</v>
      </c>
      <c r="K695">
        <v>5</v>
      </c>
    </row>
    <row r="696" spans="1:11" x14ac:dyDescent="0.35">
      <c r="A696" t="s">
        <v>64</v>
      </c>
      <c r="B696" t="s">
        <v>31</v>
      </c>
      <c r="C696" t="s">
        <v>32</v>
      </c>
      <c r="D696" t="s">
        <v>22</v>
      </c>
      <c r="E696" t="s">
        <v>23</v>
      </c>
      <c r="F696">
        <v>688</v>
      </c>
      <c r="G696">
        <v>24</v>
      </c>
      <c r="H696">
        <v>3</v>
      </c>
      <c r="I696">
        <v>709</v>
      </c>
      <c r="J696">
        <v>18</v>
      </c>
      <c r="K696">
        <v>5</v>
      </c>
    </row>
    <row r="697" spans="1:11" x14ac:dyDescent="0.35">
      <c r="A697" t="s">
        <v>64</v>
      </c>
      <c r="B697" t="s">
        <v>33</v>
      </c>
      <c r="C697" t="s">
        <v>34</v>
      </c>
      <c r="D697" t="s">
        <v>14</v>
      </c>
      <c r="E697" t="s">
        <v>15</v>
      </c>
      <c r="F697">
        <v>225</v>
      </c>
      <c r="G697">
        <v>33</v>
      </c>
      <c r="H697">
        <v>35</v>
      </c>
      <c r="I697">
        <v>223</v>
      </c>
      <c r="J697">
        <v>35</v>
      </c>
      <c r="K697">
        <v>4</v>
      </c>
    </row>
    <row r="698" spans="1:11" x14ac:dyDescent="0.35">
      <c r="A698" t="s">
        <v>64</v>
      </c>
      <c r="B698" t="s">
        <v>33</v>
      </c>
      <c r="C698" t="s">
        <v>34</v>
      </c>
      <c r="D698" t="s">
        <v>16</v>
      </c>
      <c r="E698" t="s">
        <v>17</v>
      </c>
      <c r="F698">
        <v>235</v>
      </c>
      <c r="G698">
        <v>4</v>
      </c>
      <c r="H698" t="s">
        <v>43</v>
      </c>
      <c r="I698">
        <v>219</v>
      </c>
      <c r="J698">
        <v>31</v>
      </c>
      <c r="K698">
        <v>3</v>
      </c>
    </row>
    <row r="699" spans="1:11" x14ac:dyDescent="0.35">
      <c r="A699" t="s">
        <v>64</v>
      </c>
      <c r="B699" t="s">
        <v>33</v>
      </c>
      <c r="C699" t="s">
        <v>34</v>
      </c>
      <c r="D699" t="s">
        <v>18</v>
      </c>
      <c r="E699" t="s">
        <v>19</v>
      </c>
      <c r="F699">
        <v>129</v>
      </c>
      <c r="G699">
        <v>6</v>
      </c>
      <c r="H699">
        <v>19</v>
      </c>
      <c r="I699">
        <v>116</v>
      </c>
      <c r="J699">
        <v>27</v>
      </c>
      <c r="K699">
        <v>4</v>
      </c>
    </row>
    <row r="700" spans="1:11" x14ac:dyDescent="0.35">
      <c r="A700" t="s">
        <v>64</v>
      </c>
      <c r="B700" t="s">
        <v>33</v>
      </c>
      <c r="C700" t="s">
        <v>34</v>
      </c>
      <c r="D700" t="s">
        <v>20</v>
      </c>
      <c r="E700" t="s">
        <v>21</v>
      </c>
      <c r="F700">
        <v>322</v>
      </c>
      <c r="G700">
        <v>43</v>
      </c>
      <c r="H700">
        <v>24</v>
      </c>
      <c r="I700">
        <v>341</v>
      </c>
      <c r="K700">
        <v>4</v>
      </c>
    </row>
    <row r="701" spans="1:11" x14ac:dyDescent="0.35">
      <c r="A701" t="s">
        <v>64</v>
      </c>
      <c r="B701" t="s">
        <v>33</v>
      </c>
      <c r="C701" t="s">
        <v>34</v>
      </c>
      <c r="D701" t="s">
        <v>22</v>
      </c>
      <c r="E701" t="s">
        <v>23</v>
      </c>
      <c r="F701">
        <v>466</v>
      </c>
      <c r="G701">
        <v>25</v>
      </c>
      <c r="H701">
        <v>17</v>
      </c>
      <c r="I701">
        <v>474</v>
      </c>
      <c r="J701">
        <v>25</v>
      </c>
      <c r="K701">
        <v>3</v>
      </c>
    </row>
    <row r="702" spans="1:11" x14ac:dyDescent="0.35">
      <c r="A702" t="s">
        <v>65</v>
      </c>
      <c r="B702" t="s">
        <v>12</v>
      </c>
      <c r="C702" t="s">
        <v>13</v>
      </c>
      <c r="D702" t="s">
        <v>14</v>
      </c>
      <c r="E702" t="s">
        <v>15</v>
      </c>
      <c r="F702">
        <v>474</v>
      </c>
      <c r="G702">
        <v>60</v>
      </c>
      <c r="H702">
        <v>10</v>
      </c>
      <c r="I702">
        <v>524</v>
      </c>
      <c r="J702">
        <v>13</v>
      </c>
      <c r="K702">
        <v>4</v>
      </c>
    </row>
    <row r="703" spans="1:11" x14ac:dyDescent="0.35">
      <c r="A703" t="s">
        <v>65</v>
      </c>
      <c r="B703" t="s">
        <v>12</v>
      </c>
      <c r="C703" t="s">
        <v>13</v>
      </c>
      <c r="D703" t="s">
        <v>16</v>
      </c>
      <c r="E703" t="s">
        <v>17</v>
      </c>
      <c r="F703">
        <v>328</v>
      </c>
      <c r="G703">
        <v>44</v>
      </c>
      <c r="H703">
        <v>31</v>
      </c>
      <c r="I703">
        <v>341</v>
      </c>
      <c r="J703">
        <v>44</v>
      </c>
      <c r="K703">
        <v>3</v>
      </c>
    </row>
    <row r="704" spans="1:11" x14ac:dyDescent="0.35">
      <c r="A704" t="s">
        <v>65</v>
      </c>
      <c r="B704" t="s">
        <v>12</v>
      </c>
      <c r="C704" t="s">
        <v>13</v>
      </c>
      <c r="D704" t="s">
        <v>18</v>
      </c>
      <c r="E704" t="s">
        <v>19</v>
      </c>
      <c r="F704">
        <v>151</v>
      </c>
      <c r="G704">
        <v>33</v>
      </c>
      <c r="H704">
        <v>32</v>
      </c>
      <c r="I704">
        <v>152</v>
      </c>
      <c r="J704">
        <v>34</v>
      </c>
      <c r="K704">
        <v>2</v>
      </c>
    </row>
    <row r="705" spans="1:11" x14ac:dyDescent="0.35">
      <c r="A705" t="s">
        <v>65</v>
      </c>
      <c r="B705" t="s">
        <v>12</v>
      </c>
      <c r="C705" t="s">
        <v>13</v>
      </c>
      <c r="D705" t="s">
        <v>20</v>
      </c>
      <c r="E705" t="s">
        <v>21</v>
      </c>
      <c r="F705">
        <v>43</v>
      </c>
      <c r="G705">
        <v>23</v>
      </c>
      <c r="H705">
        <v>25</v>
      </c>
      <c r="I705">
        <v>41</v>
      </c>
      <c r="J705">
        <v>33</v>
      </c>
      <c r="K705">
        <v>4</v>
      </c>
    </row>
    <row r="706" spans="1:11" x14ac:dyDescent="0.35">
      <c r="A706" t="s">
        <v>65</v>
      </c>
      <c r="B706" t="s">
        <v>12</v>
      </c>
      <c r="C706" t="s">
        <v>13</v>
      </c>
      <c r="D706" t="s">
        <v>22</v>
      </c>
      <c r="E706" t="s">
        <v>23</v>
      </c>
      <c r="F706">
        <v>413</v>
      </c>
      <c r="G706">
        <v>49</v>
      </c>
      <c r="H706">
        <v>13</v>
      </c>
      <c r="I706">
        <v>449</v>
      </c>
      <c r="J706">
        <v>28</v>
      </c>
      <c r="K706">
        <v>5</v>
      </c>
    </row>
    <row r="707" spans="1:11" x14ac:dyDescent="0.35">
      <c r="A707" t="s">
        <v>65</v>
      </c>
      <c r="B707" t="s">
        <v>12</v>
      </c>
      <c r="C707" t="s">
        <v>24</v>
      </c>
      <c r="D707" t="s">
        <v>14</v>
      </c>
      <c r="E707" t="s">
        <v>15</v>
      </c>
      <c r="F707">
        <v>267</v>
      </c>
      <c r="G707">
        <v>57</v>
      </c>
      <c r="H707">
        <v>24</v>
      </c>
      <c r="I707">
        <v>300</v>
      </c>
      <c r="J707">
        <v>27</v>
      </c>
      <c r="K707">
        <v>3</v>
      </c>
    </row>
    <row r="708" spans="1:11" x14ac:dyDescent="0.35">
      <c r="A708" t="s">
        <v>65</v>
      </c>
      <c r="B708" t="s">
        <v>12</v>
      </c>
      <c r="C708" t="s">
        <v>24</v>
      </c>
      <c r="D708" t="s">
        <v>16</v>
      </c>
      <c r="E708" t="s">
        <v>17</v>
      </c>
      <c r="F708">
        <v>213</v>
      </c>
      <c r="G708">
        <v>10</v>
      </c>
      <c r="H708">
        <v>34</v>
      </c>
      <c r="I708">
        <v>189</v>
      </c>
      <c r="J708">
        <v>42</v>
      </c>
      <c r="K708">
        <v>1</v>
      </c>
    </row>
    <row r="709" spans="1:11" x14ac:dyDescent="0.35">
      <c r="A709" t="s">
        <v>65</v>
      </c>
      <c r="B709" t="s">
        <v>12</v>
      </c>
      <c r="C709" t="s">
        <v>24</v>
      </c>
      <c r="D709" t="s">
        <v>18</v>
      </c>
      <c r="E709" t="s">
        <v>19</v>
      </c>
      <c r="F709">
        <v>180</v>
      </c>
      <c r="G709">
        <v>15</v>
      </c>
      <c r="H709">
        <v>18</v>
      </c>
      <c r="I709">
        <v>177</v>
      </c>
      <c r="J709">
        <v>23</v>
      </c>
      <c r="K709">
        <v>2</v>
      </c>
    </row>
    <row r="710" spans="1:11" x14ac:dyDescent="0.35">
      <c r="A710" t="s">
        <v>65</v>
      </c>
      <c r="B710" t="s">
        <v>12</v>
      </c>
      <c r="C710" t="s">
        <v>24</v>
      </c>
      <c r="D710" t="s">
        <v>20</v>
      </c>
      <c r="E710" t="s">
        <v>21</v>
      </c>
      <c r="F710">
        <v>0</v>
      </c>
      <c r="G710">
        <v>40</v>
      </c>
      <c r="H710">
        <v>21</v>
      </c>
      <c r="I710">
        <v>19</v>
      </c>
      <c r="J710">
        <v>22</v>
      </c>
      <c r="K710">
        <v>1</v>
      </c>
    </row>
    <row r="711" spans="1:11" x14ac:dyDescent="0.35">
      <c r="A711" t="s">
        <v>65</v>
      </c>
      <c r="B711" t="s">
        <v>12</v>
      </c>
      <c r="C711" t="s">
        <v>24</v>
      </c>
      <c r="D711" t="s">
        <v>22</v>
      </c>
      <c r="E711" t="s">
        <v>23</v>
      </c>
      <c r="F711">
        <v>455</v>
      </c>
      <c r="G711">
        <v>5</v>
      </c>
      <c r="H711">
        <v>13</v>
      </c>
      <c r="I711">
        <v>447</v>
      </c>
      <c r="J711">
        <v>16</v>
      </c>
      <c r="K711">
        <v>5</v>
      </c>
    </row>
    <row r="712" spans="1:11" x14ac:dyDescent="0.35">
      <c r="A712" t="s">
        <v>65</v>
      </c>
      <c r="B712" t="s">
        <v>12</v>
      </c>
      <c r="C712" t="s">
        <v>25</v>
      </c>
      <c r="D712" t="s">
        <v>14</v>
      </c>
      <c r="E712" t="s">
        <v>15</v>
      </c>
      <c r="F712">
        <v>253</v>
      </c>
      <c r="G712">
        <v>12</v>
      </c>
      <c r="H712">
        <v>29</v>
      </c>
      <c r="I712">
        <v>236</v>
      </c>
      <c r="J712">
        <v>38</v>
      </c>
      <c r="K712">
        <v>4</v>
      </c>
    </row>
    <row r="713" spans="1:11" x14ac:dyDescent="0.35">
      <c r="A713" t="s">
        <v>65</v>
      </c>
      <c r="B713" t="s">
        <v>12</v>
      </c>
      <c r="C713" t="s">
        <v>25</v>
      </c>
      <c r="D713" t="s">
        <v>16</v>
      </c>
      <c r="E713" t="s">
        <v>17</v>
      </c>
      <c r="F713">
        <v>292</v>
      </c>
      <c r="G713">
        <v>14</v>
      </c>
      <c r="H713">
        <v>8</v>
      </c>
      <c r="I713">
        <v>298</v>
      </c>
      <c r="J713">
        <v>13</v>
      </c>
      <c r="K713">
        <v>2</v>
      </c>
    </row>
    <row r="714" spans="1:11" x14ac:dyDescent="0.35">
      <c r="A714" t="s">
        <v>65</v>
      </c>
      <c r="B714" t="s">
        <v>12</v>
      </c>
      <c r="C714" t="s">
        <v>25</v>
      </c>
      <c r="D714" t="s">
        <v>18</v>
      </c>
      <c r="E714" t="s">
        <v>19</v>
      </c>
      <c r="F714">
        <v>73</v>
      </c>
      <c r="G714">
        <v>24</v>
      </c>
      <c r="H714">
        <v>25</v>
      </c>
      <c r="I714">
        <v>72</v>
      </c>
      <c r="J714">
        <v>38</v>
      </c>
      <c r="K714">
        <v>2</v>
      </c>
    </row>
    <row r="715" spans="1:11" x14ac:dyDescent="0.35">
      <c r="A715" t="s">
        <v>65</v>
      </c>
      <c r="B715" t="s">
        <v>12</v>
      </c>
      <c r="C715" t="s">
        <v>25</v>
      </c>
      <c r="D715" t="s">
        <v>20</v>
      </c>
      <c r="E715" t="s">
        <v>21</v>
      </c>
      <c r="F715">
        <v>184</v>
      </c>
      <c r="G715">
        <v>40</v>
      </c>
      <c r="H715">
        <v>48</v>
      </c>
      <c r="I715">
        <v>176</v>
      </c>
      <c r="J715">
        <v>59</v>
      </c>
      <c r="K715">
        <v>5</v>
      </c>
    </row>
    <row r="716" spans="1:11" x14ac:dyDescent="0.35">
      <c r="A716" t="s">
        <v>65</v>
      </c>
      <c r="B716" t="s">
        <v>12</v>
      </c>
      <c r="C716" t="s">
        <v>25</v>
      </c>
      <c r="D716" t="s">
        <v>22</v>
      </c>
      <c r="E716" t="s">
        <v>23</v>
      </c>
      <c r="F716">
        <v>595</v>
      </c>
      <c r="G716">
        <v>44</v>
      </c>
      <c r="H716">
        <v>16</v>
      </c>
      <c r="I716">
        <v>623</v>
      </c>
      <c r="J716">
        <v>21</v>
      </c>
      <c r="K716">
        <v>5</v>
      </c>
    </row>
    <row r="717" spans="1:11" x14ac:dyDescent="0.35">
      <c r="A717" t="s">
        <v>65</v>
      </c>
      <c r="B717" t="s">
        <v>26</v>
      </c>
      <c r="C717" t="s">
        <v>27</v>
      </c>
      <c r="D717" t="s">
        <v>14</v>
      </c>
      <c r="E717" t="s">
        <v>15</v>
      </c>
      <c r="F717">
        <v>527</v>
      </c>
      <c r="G717">
        <v>58</v>
      </c>
      <c r="H717">
        <v>14</v>
      </c>
      <c r="I717">
        <v>571</v>
      </c>
      <c r="J717">
        <v>20</v>
      </c>
      <c r="K717">
        <v>4</v>
      </c>
    </row>
    <row r="718" spans="1:11" x14ac:dyDescent="0.35">
      <c r="A718" t="s">
        <v>65</v>
      </c>
      <c r="B718" t="s">
        <v>26</v>
      </c>
      <c r="C718" t="s">
        <v>27</v>
      </c>
      <c r="D718" t="s">
        <v>16</v>
      </c>
      <c r="E718" t="s">
        <v>17</v>
      </c>
      <c r="F718">
        <v>353</v>
      </c>
      <c r="G718">
        <v>44</v>
      </c>
      <c r="H718">
        <v>34</v>
      </c>
      <c r="I718">
        <v>363</v>
      </c>
      <c r="J718">
        <v>42</v>
      </c>
      <c r="K718">
        <v>4</v>
      </c>
    </row>
    <row r="719" spans="1:11" x14ac:dyDescent="0.35">
      <c r="A719" t="s">
        <v>65</v>
      </c>
      <c r="B719" t="s">
        <v>26</v>
      </c>
      <c r="C719" t="s">
        <v>27</v>
      </c>
      <c r="D719" t="s">
        <v>18</v>
      </c>
      <c r="E719" t="s">
        <v>19</v>
      </c>
      <c r="F719">
        <v>154</v>
      </c>
      <c r="G719">
        <v>2</v>
      </c>
      <c r="H719">
        <v>48</v>
      </c>
      <c r="I719">
        <v>108</v>
      </c>
      <c r="J719">
        <v>49</v>
      </c>
      <c r="K719">
        <v>3</v>
      </c>
    </row>
    <row r="720" spans="1:11" x14ac:dyDescent="0.35">
      <c r="A720" t="s">
        <v>65</v>
      </c>
      <c r="B720" t="s">
        <v>45</v>
      </c>
      <c r="C720" t="s">
        <v>27</v>
      </c>
      <c r="D720" t="s">
        <v>20</v>
      </c>
      <c r="E720" t="s">
        <v>21</v>
      </c>
      <c r="F720">
        <v>296</v>
      </c>
      <c r="G720">
        <v>19</v>
      </c>
      <c r="H720">
        <v>24</v>
      </c>
      <c r="I720">
        <v>291</v>
      </c>
      <c r="J720">
        <v>37</v>
      </c>
      <c r="K720">
        <v>2</v>
      </c>
    </row>
    <row r="721" spans="1:11" x14ac:dyDescent="0.35">
      <c r="A721" t="s">
        <v>65</v>
      </c>
      <c r="B721" t="s">
        <v>26</v>
      </c>
      <c r="C721" t="s">
        <v>27</v>
      </c>
      <c r="D721" t="s">
        <v>22</v>
      </c>
      <c r="E721" t="s">
        <v>23</v>
      </c>
      <c r="F721">
        <v>370</v>
      </c>
      <c r="G721">
        <v>1</v>
      </c>
      <c r="H721">
        <v>18</v>
      </c>
      <c r="I721">
        <v>353</v>
      </c>
      <c r="J721">
        <v>19</v>
      </c>
      <c r="K721">
        <v>3</v>
      </c>
    </row>
    <row r="722" spans="1:11" x14ac:dyDescent="0.35">
      <c r="A722" t="s">
        <v>65</v>
      </c>
      <c r="B722" t="s">
        <v>28</v>
      </c>
      <c r="C722" t="s">
        <v>29</v>
      </c>
      <c r="D722" t="s">
        <v>14</v>
      </c>
      <c r="E722" t="s">
        <v>15</v>
      </c>
      <c r="F722">
        <v>344</v>
      </c>
      <c r="G722">
        <v>51</v>
      </c>
      <c r="H722">
        <v>17</v>
      </c>
      <c r="I722">
        <v>378</v>
      </c>
      <c r="J722">
        <v>22</v>
      </c>
      <c r="K722">
        <v>5</v>
      </c>
    </row>
    <row r="723" spans="1:11" x14ac:dyDescent="0.35">
      <c r="A723" t="s">
        <v>65</v>
      </c>
      <c r="B723" t="s">
        <v>28</v>
      </c>
      <c r="C723" t="s">
        <v>29</v>
      </c>
      <c r="D723" t="s">
        <v>16</v>
      </c>
      <c r="E723" t="s">
        <v>17</v>
      </c>
      <c r="F723">
        <v>355</v>
      </c>
      <c r="G723">
        <v>57</v>
      </c>
      <c r="H723">
        <v>10</v>
      </c>
      <c r="I723">
        <v>402</v>
      </c>
      <c r="J723">
        <v>23</v>
      </c>
      <c r="K723">
        <v>3</v>
      </c>
    </row>
    <row r="724" spans="1:11" x14ac:dyDescent="0.35">
      <c r="A724" t="s">
        <v>65</v>
      </c>
      <c r="B724" t="s">
        <v>28</v>
      </c>
      <c r="C724" t="s">
        <v>29</v>
      </c>
      <c r="D724" t="s">
        <v>18</v>
      </c>
      <c r="E724" t="s">
        <v>19</v>
      </c>
      <c r="F724">
        <v>96</v>
      </c>
      <c r="G724">
        <v>21</v>
      </c>
      <c r="H724">
        <v>16</v>
      </c>
      <c r="I724">
        <v>101</v>
      </c>
      <c r="J724">
        <v>17</v>
      </c>
      <c r="K724">
        <v>1</v>
      </c>
    </row>
    <row r="725" spans="1:11" x14ac:dyDescent="0.35">
      <c r="A725" t="s">
        <v>65</v>
      </c>
      <c r="B725" t="s">
        <v>28</v>
      </c>
      <c r="C725" t="s">
        <v>29</v>
      </c>
      <c r="D725" t="s">
        <v>20</v>
      </c>
      <c r="E725" t="s">
        <v>21</v>
      </c>
      <c r="F725">
        <v>65</v>
      </c>
      <c r="G725">
        <v>2</v>
      </c>
      <c r="H725">
        <v>30</v>
      </c>
      <c r="I725">
        <v>37</v>
      </c>
      <c r="J725">
        <v>33</v>
      </c>
      <c r="K725">
        <v>3</v>
      </c>
    </row>
    <row r="726" spans="1:11" x14ac:dyDescent="0.35">
      <c r="A726" t="s">
        <v>65</v>
      </c>
      <c r="B726" t="s">
        <v>45</v>
      </c>
      <c r="C726" t="s">
        <v>29</v>
      </c>
      <c r="D726" t="s">
        <v>22</v>
      </c>
      <c r="E726" t="s">
        <v>23</v>
      </c>
      <c r="F726">
        <v>681</v>
      </c>
      <c r="G726">
        <v>37</v>
      </c>
      <c r="H726">
        <v>15</v>
      </c>
      <c r="I726">
        <v>703</v>
      </c>
      <c r="J726">
        <v>25</v>
      </c>
      <c r="K726">
        <v>3</v>
      </c>
    </row>
    <row r="727" spans="1:11" x14ac:dyDescent="0.35">
      <c r="A727" t="s">
        <v>65</v>
      </c>
      <c r="B727" t="s">
        <v>31</v>
      </c>
      <c r="C727" t="s">
        <v>32</v>
      </c>
      <c r="D727" t="s">
        <v>14</v>
      </c>
      <c r="E727" t="s">
        <v>15</v>
      </c>
      <c r="F727">
        <v>356</v>
      </c>
      <c r="G727">
        <v>6</v>
      </c>
      <c r="H727">
        <v>35</v>
      </c>
      <c r="I727">
        <v>327</v>
      </c>
      <c r="J727">
        <v>35</v>
      </c>
      <c r="K727">
        <v>4</v>
      </c>
    </row>
    <row r="728" spans="1:11" x14ac:dyDescent="0.35">
      <c r="A728" t="s">
        <v>65</v>
      </c>
      <c r="B728" t="s">
        <v>31</v>
      </c>
      <c r="C728" t="s">
        <v>32</v>
      </c>
      <c r="D728" t="s">
        <v>16</v>
      </c>
      <c r="E728" t="s">
        <v>17</v>
      </c>
      <c r="F728">
        <v>364</v>
      </c>
      <c r="G728">
        <v>52</v>
      </c>
      <c r="H728">
        <v>32</v>
      </c>
      <c r="I728">
        <v>384</v>
      </c>
      <c r="J728">
        <v>37</v>
      </c>
      <c r="K728">
        <v>5</v>
      </c>
    </row>
    <row r="729" spans="1:11" x14ac:dyDescent="0.35">
      <c r="A729" t="s">
        <v>65</v>
      </c>
      <c r="B729" t="s">
        <v>31</v>
      </c>
      <c r="C729" t="s">
        <v>32</v>
      </c>
      <c r="D729" t="s">
        <v>18</v>
      </c>
      <c r="E729" t="s">
        <v>19</v>
      </c>
      <c r="F729">
        <v>128</v>
      </c>
      <c r="G729">
        <v>52</v>
      </c>
      <c r="H729">
        <v>31</v>
      </c>
      <c r="I729">
        <v>149</v>
      </c>
      <c r="J729">
        <v>32</v>
      </c>
      <c r="K729">
        <v>4</v>
      </c>
    </row>
    <row r="730" spans="1:11" x14ac:dyDescent="0.35">
      <c r="A730" t="s">
        <v>65</v>
      </c>
      <c r="B730" t="s">
        <v>31</v>
      </c>
      <c r="C730" t="s">
        <v>32</v>
      </c>
      <c r="D730" t="s">
        <v>20</v>
      </c>
      <c r="E730" t="s">
        <v>21</v>
      </c>
      <c r="F730">
        <v>93</v>
      </c>
      <c r="G730">
        <v>36</v>
      </c>
      <c r="H730">
        <v>39</v>
      </c>
      <c r="I730">
        <v>90</v>
      </c>
      <c r="J730">
        <v>52</v>
      </c>
      <c r="K730">
        <v>2</v>
      </c>
    </row>
    <row r="731" spans="1:11" x14ac:dyDescent="0.35">
      <c r="A731" t="s">
        <v>65</v>
      </c>
      <c r="B731" t="s">
        <v>31</v>
      </c>
      <c r="C731" t="s">
        <v>32</v>
      </c>
      <c r="D731" t="s">
        <v>22</v>
      </c>
      <c r="E731" t="s">
        <v>23</v>
      </c>
      <c r="F731">
        <v>709</v>
      </c>
      <c r="G731">
        <v>58</v>
      </c>
      <c r="H731">
        <v>18</v>
      </c>
      <c r="I731">
        <v>749</v>
      </c>
      <c r="J731">
        <v>23</v>
      </c>
      <c r="K731">
        <v>3</v>
      </c>
    </row>
    <row r="732" spans="1:11" x14ac:dyDescent="0.35">
      <c r="A732" t="s">
        <v>65</v>
      </c>
      <c r="B732" t="s">
        <v>33</v>
      </c>
      <c r="C732" t="s">
        <v>34</v>
      </c>
      <c r="D732" t="s">
        <v>14</v>
      </c>
      <c r="E732" t="s">
        <v>15</v>
      </c>
      <c r="F732">
        <v>223</v>
      </c>
      <c r="G732">
        <v>37</v>
      </c>
      <c r="H732">
        <v>11</v>
      </c>
      <c r="I732">
        <v>249</v>
      </c>
      <c r="J732">
        <v>22</v>
      </c>
      <c r="K732">
        <v>5</v>
      </c>
    </row>
    <row r="733" spans="1:11" x14ac:dyDescent="0.35">
      <c r="A733" t="s">
        <v>65</v>
      </c>
      <c r="B733" t="s">
        <v>33</v>
      </c>
      <c r="C733" t="s">
        <v>34</v>
      </c>
      <c r="D733" t="s">
        <v>16</v>
      </c>
      <c r="E733" t="s">
        <v>17</v>
      </c>
      <c r="F733">
        <v>219</v>
      </c>
      <c r="G733">
        <v>14</v>
      </c>
      <c r="H733">
        <v>18</v>
      </c>
      <c r="I733">
        <v>215</v>
      </c>
      <c r="J733">
        <v>25</v>
      </c>
      <c r="K733">
        <v>2</v>
      </c>
    </row>
    <row r="734" spans="1:11" x14ac:dyDescent="0.35">
      <c r="A734" t="s">
        <v>65</v>
      </c>
      <c r="B734" t="s">
        <v>33</v>
      </c>
      <c r="C734" t="s">
        <v>34</v>
      </c>
      <c r="D734" t="s">
        <v>18</v>
      </c>
      <c r="E734" t="s">
        <v>19</v>
      </c>
      <c r="F734">
        <v>116</v>
      </c>
      <c r="G734">
        <v>20</v>
      </c>
      <c r="H734">
        <v>24</v>
      </c>
      <c r="I734">
        <v>112</v>
      </c>
      <c r="J734">
        <v>33</v>
      </c>
      <c r="K734">
        <v>2</v>
      </c>
    </row>
    <row r="735" spans="1:11" x14ac:dyDescent="0.35">
      <c r="A735" t="s">
        <v>65</v>
      </c>
      <c r="B735" t="s">
        <v>33</v>
      </c>
      <c r="C735" t="s">
        <v>34</v>
      </c>
      <c r="D735" t="s">
        <v>20</v>
      </c>
      <c r="E735" t="s">
        <v>21</v>
      </c>
      <c r="F735">
        <v>341</v>
      </c>
      <c r="G735">
        <v>5</v>
      </c>
      <c r="H735">
        <v>48</v>
      </c>
      <c r="I735">
        <v>298</v>
      </c>
      <c r="J735">
        <v>57</v>
      </c>
      <c r="K735">
        <v>1</v>
      </c>
    </row>
    <row r="736" spans="1:11" x14ac:dyDescent="0.35">
      <c r="A736" t="s">
        <v>65</v>
      </c>
      <c r="B736" t="s">
        <v>33</v>
      </c>
      <c r="C736" t="s">
        <v>34</v>
      </c>
      <c r="D736" t="s">
        <v>22</v>
      </c>
      <c r="E736" t="s">
        <v>23</v>
      </c>
      <c r="F736">
        <v>474</v>
      </c>
      <c r="G736">
        <v>44</v>
      </c>
      <c r="H736">
        <v>17</v>
      </c>
      <c r="I736">
        <v>501</v>
      </c>
      <c r="J736">
        <v>20</v>
      </c>
      <c r="K736">
        <v>1</v>
      </c>
    </row>
    <row r="737" spans="1:11" x14ac:dyDescent="0.35">
      <c r="A737" t="s">
        <v>66</v>
      </c>
      <c r="B737" t="s">
        <v>12</v>
      </c>
      <c r="C737" t="s">
        <v>13</v>
      </c>
      <c r="D737" t="s">
        <v>14</v>
      </c>
      <c r="E737" t="s">
        <v>15</v>
      </c>
      <c r="F737">
        <v>524</v>
      </c>
      <c r="G737">
        <v>30</v>
      </c>
      <c r="H737">
        <v>18</v>
      </c>
      <c r="I737">
        <v>536</v>
      </c>
      <c r="J737">
        <v>22</v>
      </c>
      <c r="K737">
        <v>5</v>
      </c>
    </row>
    <row r="738" spans="1:11" x14ac:dyDescent="0.35">
      <c r="A738" t="s">
        <v>66</v>
      </c>
      <c r="B738" t="s">
        <v>12</v>
      </c>
      <c r="C738" t="s">
        <v>13</v>
      </c>
      <c r="D738" t="s">
        <v>16</v>
      </c>
      <c r="E738" t="s">
        <v>17</v>
      </c>
      <c r="F738">
        <v>341</v>
      </c>
      <c r="G738">
        <v>8</v>
      </c>
      <c r="H738">
        <v>10</v>
      </c>
      <c r="I738">
        <v>339</v>
      </c>
      <c r="J738">
        <v>23</v>
      </c>
      <c r="K738">
        <v>2</v>
      </c>
    </row>
    <row r="739" spans="1:11" x14ac:dyDescent="0.35">
      <c r="A739" t="s">
        <v>66</v>
      </c>
      <c r="B739" t="s">
        <v>12</v>
      </c>
      <c r="C739" t="s">
        <v>13</v>
      </c>
      <c r="D739" t="s">
        <v>18</v>
      </c>
      <c r="E739" t="s">
        <v>19</v>
      </c>
      <c r="F739">
        <v>152</v>
      </c>
      <c r="G739">
        <v>25</v>
      </c>
      <c r="H739">
        <v>18</v>
      </c>
      <c r="I739">
        <v>159</v>
      </c>
      <c r="J739">
        <v>19</v>
      </c>
      <c r="K739">
        <v>1</v>
      </c>
    </row>
    <row r="740" spans="1:11" x14ac:dyDescent="0.35">
      <c r="A740" t="s">
        <v>66</v>
      </c>
      <c r="B740" t="s">
        <v>12</v>
      </c>
      <c r="C740" t="s">
        <v>13</v>
      </c>
      <c r="D740" t="s">
        <v>20</v>
      </c>
      <c r="E740" t="s">
        <v>21</v>
      </c>
      <c r="F740">
        <v>41</v>
      </c>
      <c r="G740">
        <v>12</v>
      </c>
      <c r="H740">
        <v>47</v>
      </c>
      <c r="I740">
        <v>6</v>
      </c>
      <c r="J740">
        <v>52</v>
      </c>
      <c r="K740">
        <v>4</v>
      </c>
    </row>
    <row r="741" spans="1:11" x14ac:dyDescent="0.35">
      <c r="A741" t="s">
        <v>66</v>
      </c>
      <c r="B741" t="s">
        <v>12</v>
      </c>
      <c r="C741" t="s">
        <v>13</v>
      </c>
      <c r="D741" t="s">
        <v>22</v>
      </c>
      <c r="E741" t="s">
        <v>23</v>
      </c>
      <c r="F741">
        <v>449</v>
      </c>
      <c r="G741">
        <v>13</v>
      </c>
      <c r="H741">
        <v>15</v>
      </c>
      <c r="I741">
        <v>447</v>
      </c>
      <c r="J741">
        <v>18</v>
      </c>
      <c r="K741">
        <v>1</v>
      </c>
    </row>
    <row r="742" spans="1:11" x14ac:dyDescent="0.35">
      <c r="A742" t="s">
        <v>66</v>
      </c>
      <c r="B742" t="s">
        <v>12</v>
      </c>
      <c r="C742" t="s">
        <v>24</v>
      </c>
      <c r="D742" t="s">
        <v>14</v>
      </c>
      <c r="E742" t="s">
        <v>15</v>
      </c>
      <c r="F742">
        <v>300</v>
      </c>
      <c r="G742">
        <v>13</v>
      </c>
      <c r="H742">
        <v>20</v>
      </c>
      <c r="I742">
        <v>293</v>
      </c>
      <c r="J742">
        <v>21</v>
      </c>
      <c r="K742">
        <v>3</v>
      </c>
    </row>
    <row r="743" spans="1:11" x14ac:dyDescent="0.35">
      <c r="A743" t="s">
        <v>66</v>
      </c>
      <c r="B743" t="s">
        <v>12</v>
      </c>
      <c r="C743" t="s">
        <v>24</v>
      </c>
      <c r="D743" t="s">
        <v>16</v>
      </c>
      <c r="E743" t="s">
        <v>17</v>
      </c>
      <c r="F743">
        <v>189</v>
      </c>
      <c r="G743">
        <v>50</v>
      </c>
      <c r="H743">
        <v>20</v>
      </c>
      <c r="I743">
        <v>219</v>
      </c>
      <c r="J743">
        <v>28</v>
      </c>
      <c r="K743">
        <v>5</v>
      </c>
    </row>
    <row r="744" spans="1:11" x14ac:dyDescent="0.35">
      <c r="A744" t="s">
        <v>66</v>
      </c>
      <c r="B744" t="s">
        <v>12</v>
      </c>
      <c r="C744" t="s">
        <v>24</v>
      </c>
      <c r="D744" t="s">
        <v>18</v>
      </c>
      <c r="E744" t="s">
        <v>19</v>
      </c>
      <c r="F744">
        <v>177</v>
      </c>
      <c r="G744">
        <v>6</v>
      </c>
      <c r="H744">
        <v>16</v>
      </c>
      <c r="I744">
        <v>167</v>
      </c>
      <c r="J744">
        <v>30</v>
      </c>
      <c r="K744">
        <v>2</v>
      </c>
    </row>
    <row r="745" spans="1:11" x14ac:dyDescent="0.35">
      <c r="A745" t="s">
        <v>66</v>
      </c>
      <c r="B745" t="s">
        <v>12</v>
      </c>
      <c r="C745" t="s">
        <v>24</v>
      </c>
      <c r="D745" t="s">
        <v>20</v>
      </c>
      <c r="E745" t="s">
        <v>21</v>
      </c>
      <c r="F745">
        <v>19</v>
      </c>
      <c r="G745">
        <v>49</v>
      </c>
      <c r="H745">
        <v>39</v>
      </c>
      <c r="I745">
        <v>29</v>
      </c>
      <c r="J745">
        <v>47</v>
      </c>
      <c r="K745">
        <v>4</v>
      </c>
    </row>
    <row r="746" spans="1:11" x14ac:dyDescent="0.35">
      <c r="A746" t="s">
        <v>66</v>
      </c>
      <c r="B746" t="s">
        <v>12</v>
      </c>
      <c r="C746" t="s">
        <v>24</v>
      </c>
      <c r="D746" t="s">
        <v>22</v>
      </c>
      <c r="E746" t="s">
        <v>23</v>
      </c>
      <c r="F746">
        <v>447</v>
      </c>
      <c r="G746">
        <v>32</v>
      </c>
      <c r="H746">
        <v>4</v>
      </c>
      <c r="I746">
        <v>475</v>
      </c>
      <c r="J746">
        <v>7</v>
      </c>
      <c r="K746">
        <v>3</v>
      </c>
    </row>
    <row r="747" spans="1:11" x14ac:dyDescent="0.35">
      <c r="A747" t="s">
        <v>66</v>
      </c>
      <c r="B747" t="s">
        <v>12</v>
      </c>
      <c r="C747" t="s">
        <v>25</v>
      </c>
      <c r="D747" t="s">
        <v>14</v>
      </c>
      <c r="E747" t="s">
        <v>15</v>
      </c>
      <c r="F747">
        <v>236</v>
      </c>
      <c r="G747">
        <v>56</v>
      </c>
      <c r="H747">
        <v>24</v>
      </c>
      <c r="I747">
        <v>268</v>
      </c>
      <c r="J747">
        <v>28</v>
      </c>
      <c r="K747">
        <v>4</v>
      </c>
    </row>
    <row r="748" spans="1:11" x14ac:dyDescent="0.35">
      <c r="A748" t="s">
        <v>66</v>
      </c>
      <c r="B748" t="s">
        <v>12</v>
      </c>
      <c r="C748" t="s">
        <v>25</v>
      </c>
      <c r="D748" t="s">
        <v>16</v>
      </c>
      <c r="E748" t="s">
        <v>17</v>
      </c>
      <c r="F748">
        <v>298</v>
      </c>
      <c r="G748">
        <v>1</v>
      </c>
      <c r="H748">
        <v>28</v>
      </c>
      <c r="I748">
        <v>271</v>
      </c>
      <c r="J748">
        <v>35</v>
      </c>
      <c r="K748">
        <v>4</v>
      </c>
    </row>
    <row r="749" spans="1:11" x14ac:dyDescent="0.35">
      <c r="A749" t="s">
        <v>66</v>
      </c>
      <c r="B749" t="s">
        <v>12</v>
      </c>
      <c r="C749" t="s">
        <v>25</v>
      </c>
      <c r="D749" t="s">
        <v>18</v>
      </c>
      <c r="E749" t="s">
        <v>19</v>
      </c>
      <c r="F749">
        <v>72</v>
      </c>
      <c r="G749">
        <v>38</v>
      </c>
      <c r="H749">
        <v>21</v>
      </c>
      <c r="I749">
        <v>89</v>
      </c>
      <c r="J749">
        <v>26</v>
      </c>
      <c r="K749">
        <v>4</v>
      </c>
    </row>
    <row r="750" spans="1:11" x14ac:dyDescent="0.35">
      <c r="A750" t="s">
        <v>66</v>
      </c>
      <c r="B750" t="s">
        <v>12</v>
      </c>
      <c r="C750" t="s">
        <v>25</v>
      </c>
      <c r="D750" t="s">
        <v>20</v>
      </c>
      <c r="E750" t="s">
        <v>21</v>
      </c>
      <c r="F750">
        <v>176</v>
      </c>
      <c r="G750">
        <v>16</v>
      </c>
      <c r="H750">
        <v>37</v>
      </c>
      <c r="I750">
        <v>155</v>
      </c>
      <c r="J750">
        <v>45</v>
      </c>
      <c r="K750">
        <v>1</v>
      </c>
    </row>
    <row r="751" spans="1:11" x14ac:dyDescent="0.35">
      <c r="A751" t="s">
        <v>66</v>
      </c>
      <c r="B751" t="s">
        <v>12</v>
      </c>
      <c r="C751" t="s">
        <v>25</v>
      </c>
      <c r="D751" t="s">
        <v>22</v>
      </c>
      <c r="E751" t="s">
        <v>23</v>
      </c>
      <c r="F751">
        <v>623</v>
      </c>
      <c r="G751">
        <v>13</v>
      </c>
      <c r="H751">
        <v>17</v>
      </c>
      <c r="I751">
        <v>619</v>
      </c>
      <c r="J751">
        <v>27</v>
      </c>
      <c r="K751">
        <v>3</v>
      </c>
    </row>
    <row r="752" spans="1:11" x14ac:dyDescent="0.35">
      <c r="A752" t="s">
        <v>66</v>
      </c>
      <c r="B752" t="s">
        <v>26</v>
      </c>
      <c r="C752" t="s">
        <v>27</v>
      </c>
      <c r="D752" t="s">
        <v>14</v>
      </c>
      <c r="E752" t="s">
        <v>15</v>
      </c>
      <c r="F752">
        <v>571</v>
      </c>
      <c r="G752">
        <v>14</v>
      </c>
      <c r="H752">
        <v>28</v>
      </c>
      <c r="I752">
        <v>557</v>
      </c>
      <c r="J752">
        <v>30</v>
      </c>
      <c r="K752">
        <v>1</v>
      </c>
    </row>
    <row r="753" spans="1:11" x14ac:dyDescent="0.35">
      <c r="A753" t="s">
        <v>66</v>
      </c>
      <c r="B753" t="s">
        <v>26</v>
      </c>
      <c r="C753" t="s">
        <v>27</v>
      </c>
      <c r="D753" t="s">
        <v>16</v>
      </c>
      <c r="E753" t="s">
        <v>17</v>
      </c>
      <c r="F753">
        <v>363</v>
      </c>
      <c r="G753">
        <v>30</v>
      </c>
      <c r="H753">
        <v>14</v>
      </c>
      <c r="I753">
        <v>379</v>
      </c>
      <c r="J753">
        <v>14</v>
      </c>
      <c r="K753">
        <v>1</v>
      </c>
    </row>
    <row r="754" spans="1:11" x14ac:dyDescent="0.35">
      <c r="A754" t="s">
        <v>66</v>
      </c>
      <c r="B754" t="s">
        <v>26</v>
      </c>
      <c r="C754" t="s">
        <v>27</v>
      </c>
      <c r="D754" t="s">
        <v>18</v>
      </c>
      <c r="E754" t="s">
        <v>19</v>
      </c>
      <c r="F754">
        <v>108</v>
      </c>
      <c r="G754">
        <v>6</v>
      </c>
      <c r="H754">
        <v>50</v>
      </c>
      <c r="I754">
        <v>64</v>
      </c>
      <c r="J754">
        <v>54</v>
      </c>
      <c r="K754">
        <v>2</v>
      </c>
    </row>
    <row r="755" spans="1:11" x14ac:dyDescent="0.35">
      <c r="A755" t="s">
        <v>66</v>
      </c>
      <c r="B755" t="s">
        <v>26</v>
      </c>
      <c r="C755" t="s">
        <v>27</v>
      </c>
      <c r="D755" t="s">
        <v>20</v>
      </c>
      <c r="E755" t="s">
        <v>21</v>
      </c>
      <c r="F755">
        <v>291</v>
      </c>
      <c r="G755">
        <v>22</v>
      </c>
      <c r="H755">
        <v>31</v>
      </c>
      <c r="I755">
        <v>282</v>
      </c>
      <c r="J755">
        <v>36</v>
      </c>
      <c r="K755">
        <v>4</v>
      </c>
    </row>
    <row r="756" spans="1:11" x14ac:dyDescent="0.35">
      <c r="A756" t="s">
        <v>66</v>
      </c>
      <c r="B756" t="s">
        <v>26</v>
      </c>
      <c r="C756" t="s">
        <v>27</v>
      </c>
      <c r="D756" t="s">
        <v>22</v>
      </c>
      <c r="E756" t="s">
        <v>23</v>
      </c>
      <c r="F756">
        <v>353</v>
      </c>
      <c r="G756">
        <v>16</v>
      </c>
      <c r="H756">
        <v>12</v>
      </c>
      <c r="I756">
        <v>357</v>
      </c>
      <c r="J756">
        <v>26</v>
      </c>
      <c r="K756">
        <v>2</v>
      </c>
    </row>
    <row r="757" spans="1:11" x14ac:dyDescent="0.35">
      <c r="A757" t="s">
        <v>66</v>
      </c>
      <c r="B757" t="s">
        <v>28</v>
      </c>
      <c r="C757" t="s">
        <v>29</v>
      </c>
      <c r="D757" t="s">
        <v>14</v>
      </c>
      <c r="E757" t="s">
        <v>15</v>
      </c>
      <c r="F757">
        <v>378</v>
      </c>
      <c r="G757">
        <v>7</v>
      </c>
      <c r="H757">
        <v>29</v>
      </c>
      <c r="I757">
        <v>356</v>
      </c>
      <c r="J757">
        <v>42</v>
      </c>
      <c r="K757">
        <v>4</v>
      </c>
    </row>
    <row r="758" spans="1:11" x14ac:dyDescent="0.35">
      <c r="A758" t="s">
        <v>66</v>
      </c>
      <c r="B758" t="s">
        <v>28</v>
      </c>
      <c r="C758" t="s">
        <v>29</v>
      </c>
      <c r="D758" t="s">
        <v>16</v>
      </c>
      <c r="E758" t="s">
        <v>17</v>
      </c>
      <c r="F758">
        <v>402</v>
      </c>
      <c r="G758">
        <v>51</v>
      </c>
      <c r="H758">
        <v>34</v>
      </c>
      <c r="I758">
        <v>419</v>
      </c>
      <c r="J758">
        <v>39</v>
      </c>
      <c r="K758">
        <v>1</v>
      </c>
    </row>
    <row r="759" spans="1:11" x14ac:dyDescent="0.35">
      <c r="A759" t="s">
        <v>66</v>
      </c>
      <c r="B759" t="s">
        <v>28</v>
      </c>
      <c r="C759" t="s">
        <v>29</v>
      </c>
      <c r="D759" t="s">
        <v>18</v>
      </c>
      <c r="E759" t="s">
        <v>19</v>
      </c>
      <c r="F759">
        <v>101</v>
      </c>
      <c r="G759">
        <v>13</v>
      </c>
      <c r="H759">
        <v>17</v>
      </c>
      <c r="I759">
        <v>97</v>
      </c>
      <c r="J759">
        <v>17</v>
      </c>
      <c r="K759">
        <v>4</v>
      </c>
    </row>
    <row r="760" spans="1:11" x14ac:dyDescent="0.35">
      <c r="A760" t="s">
        <v>66</v>
      </c>
      <c r="B760" t="s">
        <v>28</v>
      </c>
      <c r="C760" t="s">
        <v>29</v>
      </c>
      <c r="D760" t="s">
        <v>20</v>
      </c>
      <c r="E760" t="s">
        <v>21</v>
      </c>
      <c r="F760">
        <v>37</v>
      </c>
      <c r="G760">
        <v>11</v>
      </c>
      <c r="H760">
        <v>43</v>
      </c>
      <c r="I760">
        <v>5</v>
      </c>
      <c r="J760">
        <v>56</v>
      </c>
      <c r="K760">
        <v>4</v>
      </c>
    </row>
    <row r="761" spans="1:11" x14ac:dyDescent="0.35">
      <c r="A761" t="s">
        <v>66</v>
      </c>
      <c r="B761" t="s">
        <v>28</v>
      </c>
      <c r="C761" t="s">
        <v>29</v>
      </c>
      <c r="D761" t="s">
        <v>22</v>
      </c>
      <c r="E761" t="s">
        <v>23</v>
      </c>
      <c r="F761">
        <v>703</v>
      </c>
      <c r="G761">
        <v>32</v>
      </c>
      <c r="H761">
        <v>16</v>
      </c>
      <c r="I761">
        <v>719</v>
      </c>
      <c r="J761">
        <v>16</v>
      </c>
      <c r="K761">
        <v>1</v>
      </c>
    </row>
    <row r="762" spans="1:11" x14ac:dyDescent="0.35">
      <c r="A762" t="s">
        <v>66</v>
      </c>
      <c r="B762" t="s">
        <v>31</v>
      </c>
      <c r="C762" t="s">
        <v>32</v>
      </c>
      <c r="D762" t="s">
        <v>14</v>
      </c>
      <c r="E762" t="s">
        <v>15</v>
      </c>
      <c r="F762">
        <v>327</v>
      </c>
      <c r="G762">
        <v>33</v>
      </c>
      <c r="H762">
        <v>31</v>
      </c>
      <c r="I762">
        <v>329</v>
      </c>
      <c r="J762">
        <v>34</v>
      </c>
      <c r="K762">
        <v>4</v>
      </c>
    </row>
    <row r="763" spans="1:11" x14ac:dyDescent="0.35">
      <c r="A763" t="s">
        <v>66</v>
      </c>
      <c r="B763" t="s">
        <v>31</v>
      </c>
      <c r="C763" t="s">
        <v>32</v>
      </c>
      <c r="D763" t="s">
        <v>16</v>
      </c>
      <c r="E763" t="s">
        <v>17</v>
      </c>
      <c r="F763">
        <v>384</v>
      </c>
      <c r="G763">
        <v>32</v>
      </c>
      <c r="H763">
        <v>15</v>
      </c>
      <c r="I763">
        <v>401</v>
      </c>
      <c r="J763">
        <v>30</v>
      </c>
      <c r="K763">
        <v>2</v>
      </c>
    </row>
    <row r="764" spans="1:11" x14ac:dyDescent="0.35">
      <c r="A764" t="s">
        <v>66</v>
      </c>
      <c r="B764" t="s">
        <v>31</v>
      </c>
      <c r="C764" t="s">
        <v>32</v>
      </c>
      <c r="D764" t="s">
        <v>18</v>
      </c>
      <c r="E764" t="s">
        <v>19</v>
      </c>
      <c r="F764">
        <v>149</v>
      </c>
      <c r="G764">
        <v>49</v>
      </c>
      <c r="H764">
        <v>42</v>
      </c>
      <c r="I764">
        <v>156</v>
      </c>
      <c r="J764">
        <v>45</v>
      </c>
      <c r="K764">
        <v>4</v>
      </c>
    </row>
    <row r="765" spans="1:11" x14ac:dyDescent="0.35">
      <c r="A765" t="s">
        <v>66</v>
      </c>
      <c r="B765" t="s">
        <v>31</v>
      </c>
      <c r="C765" t="s">
        <v>32</v>
      </c>
      <c r="D765" t="s">
        <v>20</v>
      </c>
      <c r="E765" t="s">
        <v>21</v>
      </c>
      <c r="F765">
        <v>90</v>
      </c>
      <c r="G765">
        <v>17</v>
      </c>
      <c r="H765">
        <v>38</v>
      </c>
      <c r="I765">
        <v>69</v>
      </c>
      <c r="J765">
        <v>50</v>
      </c>
      <c r="K765">
        <v>3</v>
      </c>
    </row>
    <row r="766" spans="1:11" x14ac:dyDescent="0.35">
      <c r="A766" t="s">
        <v>66</v>
      </c>
      <c r="B766" t="s">
        <v>31</v>
      </c>
      <c r="C766" t="s">
        <v>32</v>
      </c>
      <c r="D766" t="s">
        <v>22</v>
      </c>
      <c r="E766" t="s">
        <v>23</v>
      </c>
      <c r="F766">
        <v>749</v>
      </c>
      <c r="G766">
        <v>14</v>
      </c>
      <c r="H766">
        <v>4</v>
      </c>
      <c r="I766">
        <v>759</v>
      </c>
      <c r="J766">
        <v>9</v>
      </c>
      <c r="K766">
        <v>4</v>
      </c>
    </row>
    <row r="767" spans="1:11" x14ac:dyDescent="0.35">
      <c r="A767" t="s">
        <v>66</v>
      </c>
      <c r="B767" t="s">
        <v>33</v>
      </c>
      <c r="C767" t="s">
        <v>34</v>
      </c>
      <c r="D767" t="s">
        <v>14</v>
      </c>
      <c r="E767" t="s">
        <v>15</v>
      </c>
      <c r="F767">
        <v>249</v>
      </c>
      <c r="G767">
        <v>9</v>
      </c>
      <c r="H767">
        <v>32</v>
      </c>
      <c r="I767">
        <v>226</v>
      </c>
      <c r="J767">
        <v>36</v>
      </c>
      <c r="K767">
        <v>2</v>
      </c>
    </row>
    <row r="768" spans="1:11" x14ac:dyDescent="0.35">
      <c r="A768" t="s">
        <v>66</v>
      </c>
      <c r="B768" t="s">
        <v>33</v>
      </c>
      <c r="C768" t="s">
        <v>34</v>
      </c>
      <c r="D768" t="s">
        <v>16</v>
      </c>
      <c r="E768" t="s">
        <v>17</v>
      </c>
      <c r="F768">
        <v>215</v>
      </c>
      <c r="G768">
        <v>9</v>
      </c>
      <c r="H768">
        <v>24</v>
      </c>
      <c r="I768">
        <v>200</v>
      </c>
      <c r="J768">
        <v>37</v>
      </c>
      <c r="K768">
        <v>3</v>
      </c>
    </row>
    <row r="769" spans="1:11" x14ac:dyDescent="0.35">
      <c r="A769" t="s">
        <v>66</v>
      </c>
      <c r="B769" t="s">
        <v>33</v>
      </c>
      <c r="C769" t="s">
        <v>34</v>
      </c>
      <c r="D769" t="s">
        <v>18</v>
      </c>
      <c r="E769" t="s">
        <v>19</v>
      </c>
      <c r="F769">
        <v>112</v>
      </c>
      <c r="G769">
        <v>48</v>
      </c>
      <c r="H769">
        <v>34</v>
      </c>
      <c r="I769">
        <v>126</v>
      </c>
      <c r="J769">
        <v>49</v>
      </c>
      <c r="K769">
        <v>2</v>
      </c>
    </row>
    <row r="770" spans="1:11" x14ac:dyDescent="0.35">
      <c r="A770" t="s">
        <v>66</v>
      </c>
      <c r="B770" t="s">
        <v>33</v>
      </c>
      <c r="C770" t="s">
        <v>34</v>
      </c>
      <c r="D770" t="s">
        <v>20</v>
      </c>
      <c r="E770" t="s">
        <v>21</v>
      </c>
      <c r="F770">
        <v>298</v>
      </c>
      <c r="G770">
        <v>49</v>
      </c>
      <c r="H770">
        <v>38</v>
      </c>
      <c r="I770">
        <v>309</v>
      </c>
      <c r="J770">
        <v>40</v>
      </c>
      <c r="K770">
        <v>4</v>
      </c>
    </row>
    <row r="771" spans="1:11" x14ac:dyDescent="0.35">
      <c r="A771" t="s">
        <v>66</v>
      </c>
      <c r="B771" t="s">
        <v>33</v>
      </c>
      <c r="C771" t="s">
        <v>34</v>
      </c>
      <c r="D771" t="s">
        <v>22</v>
      </c>
      <c r="E771" t="s">
        <v>23</v>
      </c>
      <c r="F771">
        <v>501</v>
      </c>
      <c r="G771">
        <v>6</v>
      </c>
      <c r="H771">
        <v>5</v>
      </c>
      <c r="I771">
        <v>502</v>
      </c>
      <c r="J771">
        <v>19</v>
      </c>
      <c r="K771">
        <v>5</v>
      </c>
    </row>
    <row r="772" spans="1:11" x14ac:dyDescent="0.35">
      <c r="A772" t="s">
        <v>67</v>
      </c>
      <c r="B772" t="s">
        <v>12</v>
      </c>
      <c r="C772" t="s">
        <v>13</v>
      </c>
      <c r="D772" t="s">
        <v>14</v>
      </c>
      <c r="E772" t="s">
        <v>15</v>
      </c>
      <c r="F772">
        <v>536</v>
      </c>
      <c r="G772">
        <v>50</v>
      </c>
      <c r="H772">
        <v>18</v>
      </c>
      <c r="I772">
        <v>568</v>
      </c>
      <c r="J772">
        <v>28</v>
      </c>
      <c r="K772">
        <v>2</v>
      </c>
    </row>
    <row r="773" spans="1:11" x14ac:dyDescent="0.35">
      <c r="A773" t="s">
        <v>67</v>
      </c>
      <c r="B773" t="s">
        <v>12</v>
      </c>
      <c r="C773" t="s">
        <v>13</v>
      </c>
      <c r="D773" t="s">
        <v>16</v>
      </c>
      <c r="E773" t="s">
        <v>17</v>
      </c>
      <c r="F773">
        <v>339</v>
      </c>
      <c r="G773">
        <v>17</v>
      </c>
      <c r="H773">
        <v>28</v>
      </c>
      <c r="I773">
        <v>328</v>
      </c>
      <c r="J773">
        <v>41</v>
      </c>
      <c r="K773">
        <v>1</v>
      </c>
    </row>
    <row r="774" spans="1:11" x14ac:dyDescent="0.35">
      <c r="A774" t="s">
        <v>67</v>
      </c>
      <c r="B774" t="s">
        <v>12</v>
      </c>
      <c r="C774" t="s">
        <v>13</v>
      </c>
      <c r="D774" t="s">
        <v>18</v>
      </c>
      <c r="E774" t="s">
        <v>19</v>
      </c>
      <c r="F774">
        <v>159</v>
      </c>
      <c r="G774">
        <v>16</v>
      </c>
      <c r="H774">
        <v>43</v>
      </c>
      <c r="I774">
        <v>132</v>
      </c>
      <c r="J774">
        <v>48</v>
      </c>
      <c r="K774">
        <v>1</v>
      </c>
    </row>
    <row r="775" spans="1:11" x14ac:dyDescent="0.35">
      <c r="A775" t="s">
        <v>67</v>
      </c>
      <c r="B775" t="s">
        <v>12</v>
      </c>
      <c r="C775" t="s">
        <v>13</v>
      </c>
      <c r="D775" t="s">
        <v>20</v>
      </c>
      <c r="E775" t="s">
        <v>21</v>
      </c>
      <c r="F775">
        <v>6</v>
      </c>
      <c r="G775">
        <v>52</v>
      </c>
      <c r="H775">
        <v>26</v>
      </c>
      <c r="I775">
        <v>32</v>
      </c>
      <c r="J775">
        <v>32</v>
      </c>
      <c r="K775">
        <v>4</v>
      </c>
    </row>
    <row r="776" spans="1:11" x14ac:dyDescent="0.35">
      <c r="A776" t="s">
        <v>67</v>
      </c>
      <c r="B776" t="s">
        <v>12</v>
      </c>
      <c r="C776" t="s">
        <v>13</v>
      </c>
      <c r="D776" t="s">
        <v>22</v>
      </c>
      <c r="E776" t="s">
        <v>23</v>
      </c>
      <c r="F776">
        <v>447</v>
      </c>
      <c r="G776">
        <v>51</v>
      </c>
      <c r="H776">
        <v>6</v>
      </c>
      <c r="I776">
        <v>492</v>
      </c>
      <c r="K776">
        <v>4</v>
      </c>
    </row>
    <row r="777" spans="1:11" x14ac:dyDescent="0.35">
      <c r="A777" t="s">
        <v>67</v>
      </c>
      <c r="B777" t="s">
        <v>12</v>
      </c>
      <c r="C777" t="s">
        <v>24</v>
      </c>
      <c r="D777" t="s">
        <v>14</v>
      </c>
      <c r="E777" t="s">
        <v>15</v>
      </c>
      <c r="F777">
        <v>293</v>
      </c>
      <c r="G777">
        <v>21</v>
      </c>
      <c r="H777">
        <v>17</v>
      </c>
      <c r="I777">
        <v>297</v>
      </c>
      <c r="J777">
        <v>19</v>
      </c>
      <c r="K777">
        <v>1</v>
      </c>
    </row>
    <row r="778" spans="1:11" x14ac:dyDescent="0.35">
      <c r="A778" t="s">
        <v>67</v>
      </c>
      <c r="B778" t="s">
        <v>12</v>
      </c>
      <c r="C778" t="s">
        <v>24</v>
      </c>
      <c r="D778" t="s">
        <v>16</v>
      </c>
      <c r="E778" t="s">
        <v>17</v>
      </c>
      <c r="F778">
        <v>219</v>
      </c>
      <c r="G778">
        <v>9</v>
      </c>
      <c r="H778">
        <v>12</v>
      </c>
      <c r="I778">
        <v>216</v>
      </c>
      <c r="J778">
        <v>24</v>
      </c>
      <c r="K778">
        <v>3</v>
      </c>
    </row>
    <row r="779" spans="1:11" x14ac:dyDescent="0.35">
      <c r="A779" t="s">
        <v>67</v>
      </c>
      <c r="B779" t="s">
        <v>12</v>
      </c>
      <c r="C779" t="s">
        <v>24</v>
      </c>
      <c r="D779" t="s">
        <v>18</v>
      </c>
      <c r="E779" t="s">
        <v>19</v>
      </c>
      <c r="F779">
        <v>167</v>
      </c>
      <c r="G779">
        <v>8</v>
      </c>
      <c r="H779">
        <v>37</v>
      </c>
      <c r="I779">
        <v>138</v>
      </c>
      <c r="J779">
        <v>41</v>
      </c>
      <c r="K779">
        <v>1</v>
      </c>
    </row>
    <row r="780" spans="1:11" x14ac:dyDescent="0.35">
      <c r="A780" t="s">
        <v>67</v>
      </c>
      <c r="B780" t="s">
        <v>12</v>
      </c>
      <c r="C780" t="s">
        <v>24</v>
      </c>
      <c r="D780" t="s">
        <v>20</v>
      </c>
      <c r="E780" t="s">
        <v>21</v>
      </c>
      <c r="F780">
        <v>29</v>
      </c>
      <c r="G780">
        <v>30</v>
      </c>
      <c r="H780">
        <v>37</v>
      </c>
      <c r="I780">
        <v>22</v>
      </c>
      <c r="J780">
        <v>37</v>
      </c>
      <c r="K780">
        <v>2</v>
      </c>
    </row>
    <row r="781" spans="1:11" x14ac:dyDescent="0.35">
      <c r="A781" t="s">
        <v>67</v>
      </c>
      <c r="B781" t="s">
        <v>12</v>
      </c>
      <c r="C781" t="s">
        <v>24</v>
      </c>
      <c r="D781" t="s">
        <v>22</v>
      </c>
      <c r="E781" t="s">
        <v>23</v>
      </c>
      <c r="F781">
        <v>475</v>
      </c>
      <c r="G781">
        <v>43</v>
      </c>
      <c r="H781">
        <v>6</v>
      </c>
      <c r="I781">
        <v>512</v>
      </c>
      <c r="J781">
        <v>15</v>
      </c>
      <c r="K781">
        <v>4</v>
      </c>
    </row>
    <row r="782" spans="1:11" x14ac:dyDescent="0.35">
      <c r="A782" t="s">
        <v>67</v>
      </c>
      <c r="B782" t="s">
        <v>12</v>
      </c>
      <c r="C782" t="s">
        <v>25</v>
      </c>
      <c r="D782" t="s">
        <v>14</v>
      </c>
      <c r="E782" t="s">
        <v>15</v>
      </c>
      <c r="F782">
        <v>268</v>
      </c>
      <c r="G782">
        <v>36</v>
      </c>
      <c r="H782">
        <v>19</v>
      </c>
      <c r="I782">
        <v>285</v>
      </c>
      <c r="J782">
        <v>32</v>
      </c>
      <c r="K782">
        <v>4</v>
      </c>
    </row>
    <row r="783" spans="1:11" x14ac:dyDescent="0.35">
      <c r="A783" t="s">
        <v>67</v>
      </c>
      <c r="B783" t="s">
        <v>12</v>
      </c>
      <c r="C783" t="s">
        <v>25</v>
      </c>
      <c r="D783" t="s">
        <v>16</v>
      </c>
      <c r="E783" t="s">
        <v>17</v>
      </c>
      <c r="F783">
        <v>271</v>
      </c>
      <c r="G783">
        <v>5</v>
      </c>
      <c r="H783">
        <v>30</v>
      </c>
      <c r="I783">
        <v>246</v>
      </c>
      <c r="J783">
        <v>34</v>
      </c>
      <c r="K783">
        <v>2</v>
      </c>
    </row>
    <row r="784" spans="1:11" x14ac:dyDescent="0.35">
      <c r="A784" t="s">
        <v>67</v>
      </c>
      <c r="B784" t="s">
        <v>12</v>
      </c>
      <c r="C784" t="s">
        <v>25</v>
      </c>
      <c r="D784" t="s">
        <v>18</v>
      </c>
      <c r="E784" t="s">
        <v>19</v>
      </c>
      <c r="F784">
        <v>89</v>
      </c>
      <c r="G784">
        <v>11</v>
      </c>
      <c r="H784">
        <v>18</v>
      </c>
      <c r="I784">
        <v>82</v>
      </c>
      <c r="J784">
        <v>26</v>
      </c>
      <c r="K784">
        <v>3</v>
      </c>
    </row>
    <row r="785" spans="1:11" x14ac:dyDescent="0.35">
      <c r="A785" t="s">
        <v>67</v>
      </c>
      <c r="B785" t="s">
        <v>12</v>
      </c>
      <c r="C785" t="s">
        <v>25</v>
      </c>
      <c r="D785" t="s">
        <v>20</v>
      </c>
      <c r="E785" t="s">
        <v>21</v>
      </c>
      <c r="F785">
        <v>155</v>
      </c>
      <c r="G785">
        <v>32</v>
      </c>
      <c r="H785">
        <v>47</v>
      </c>
      <c r="I785">
        <v>140</v>
      </c>
      <c r="J785">
        <v>62</v>
      </c>
      <c r="K785">
        <v>1</v>
      </c>
    </row>
    <row r="786" spans="1:11" x14ac:dyDescent="0.35">
      <c r="A786" t="s">
        <v>67</v>
      </c>
      <c r="B786" t="s">
        <v>12</v>
      </c>
      <c r="C786" t="s">
        <v>25</v>
      </c>
      <c r="D786" t="s">
        <v>22</v>
      </c>
      <c r="E786" t="s">
        <v>23</v>
      </c>
      <c r="F786">
        <v>619</v>
      </c>
      <c r="G786">
        <v>9</v>
      </c>
      <c r="H786">
        <v>16</v>
      </c>
      <c r="I786">
        <v>612</v>
      </c>
      <c r="J786">
        <v>28</v>
      </c>
      <c r="K786">
        <v>4</v>
      </c>
    </row>
    <row r="787" spans="1:11" x14ac:dyDescent="0.35">
      <c r="A787" t="s">
        <v>67</v>
      </c>
      <c r="B787" t="s">
        <v>26</v>
      </c>
      <c r="C787" t="s">
        <v>27</v>
      </c>
      <c r="D787" t="s">
        <v>14</v>
      </c>
      <c r="E787" t="s">
        <v>15</v>
      </c>
      <c r="F787">
        <v>557</v>
      </c>
      <c r="G787">
        <v>40</v>
      </c>
      <c r="H787">
        <v>30</v>
      </c>
      <c r="I787">
        <v>567</v>
      </c>
      <c r="J787">
        <v>33</v>
      </c>
      <c r="K787">
        <v>2</v>
      </c>
    </row>
    <row r="788" spans="1:11" x14ac:dyDescent="0.35">
      <c r="A788" t="s">
        <v>67</v>
      </c>
      <c r="B788" t="s">
        <v>26</v>
      </c>
      <c r="C788" t="s">
        <v>27</v>
      </c>
      <c r="D788" t="s">
        <v>16</v>
      </c>
      <c r="E788" t="s">
        <v>17</v>
      </c>
      <c r="F788">
        <v>379</v>
      </c>
      <c r="G788">
        <v>49</v>
      </c>
      <c r="H788">
        <v>18</v>
      </c>
      <c r="I788">
        <v>410</v>
      </c>
      <c r="J788">
        <v>27</v>
      </c>
      <c r="K788">
        <v>3</v>
      </c>
    </row>
    <row r="789" spans="1:11" x14ac:dyDescent="0.35">
      <c r="A789" t="s">
        <v>67</v>
      </c>
      <c r="B789" t="s">
        <v>26</v>
      </c>
      <c r="C789" t="s">
        <v>27</v>
      </c>
      <c r="D789" t="s">
        <v>18</v>
      </c>
      <c r="E789" t="s">
        <v>19</v>
      </c>
      <c r="F789">
        <v>64</v>
      </c>
      <c r="G789">
        <v>60</v>
      </c>
      <c r="H789">
        <v>43</v>
      </c>
      <c r="I789">
        <v>81</v>
      </c>
      <c r="J789">
        <v>53</v>
      </c>
      <c r="K789">
        <v>2</v>
      </c>
    </row>
    <row r="790" spans="1:11" x14ac:dyDescent="0.35">
      <c r="A790" t="s">
        <v>67</v>
      </c>
      <c r="B790" t="s">
        <v>26</v>
      </c>
      <c r="C790" t="s">
        <v>27</v>
      </c>
      <c r="D790" t="s">
        <v>20</v>
      </c>
      <c r="E790" t="s">
        <v>21</v>
      </c>
      <c r="F790">
        <v>282</v>
      </c>
      <c r="G790">
        <v>44</v>
      </c>
      <c r="H790">
        <v>44</v>
      </c>
      <c r="I790">
        <v>282</v>
      </c>
      <c r="J790">
        <v>46</v>
      </c>
      <c r="K790">
        <v>4</v>
      </c>
    </row>
    <row r="791" spans="1:11" x14ac:dyDescent="0.35">
      <c r="A791" t="s">
        <v>67</v>
      </c>
      <c r="B791" t="s">
        <v>26</v>
      </c>
      <c r="C791" t="s">
        <v>27</v>
      </c>
      <c r="D791" t="s">
        <v>22</v>
      </c>
      <c r="E791" t="s">
        <v>23</v>
      </c>
      <c r="F791">
        <v>357</v>
      </c>
      <c r="G791">
        <v>59</v>
      </c>
      <c r="H791">
        <v>11</v>
      </c>
      <c r="I791">
        <v>405</v>
      </c>
      <c r="J791">
        <v>20</v>
      </c>
      <c r="K791">
        <v>4</v>
      </c>
    </row>
    <row r="792" spans="1:11" x14ac:dyDescent="0.35">
      <c r="A792" t="s">
        <v>67</v>
      </c>
      <c r="B792" t="s">
        <v>28</v>
      </c>
      <c r="C792" t="s">
        <v>29</v>
      </c>
      <c r="D792" t="s">
        <v>14</v>
      </c>
      <c r="E792" t="s">
        <v>15</v>
      </c>
      <c r="F792">
        <v>356</v>
      </c>
      <c r="G792">
        <v>23</v>
      </c>
      <c r="H792">
        <v>14</v>
      </c>
      <c r="I792">
        <v>365</v>
      </c>
      <c r="J792">
        <v>28</v>
      </c>
      <c r="K792">
        <v>2</v>
      </c>
    </row>
    <row r="793" spans="1:11" x14ac:dyDescent="0.35">
      <c r="A793" t="s">
        <v>67</v>
      </c>
      <c r="B793" t="s">
        <v>28</v>
      </c>
      <c r="C793" t="s">
        <v>29</v>
      </c>
      <c r="D793" t="s">
        <v>16</v>
      </c>
      <c r="E793" t="s">
        <v>17</v>
      </c>
      <c r="F793">
        <v>419</v>
      </c>
      <c r="G793">
        <v>49</v>
      </c>
      <c r="H793">
        <v>11</v>
      </c>
      <c r="I793">
        <v>457</v>
      </c>
      <c r="J793">
        <v>26</v>
      </c>
      <c r="K793">
        <v>1</v>
      </c>
    </row>
    <row r="794" spans="1:11" x14ac:dyDescent="0.35">
      <c r="A794" t="s">
        <v>67</v>
      </c>
      <c r="B794" t="s">
        <v>28</v>
      </c>
      <c r="C794" t="s">
        <v>29</v>
      </c>
      <c r="D794" t="s">
        <v>18</v>
      </c>
      <c r="E794" t="s">
        <v>19</v>
      </c>
      <c r="F794">
        <v>97</v>
      </c>
      <c r="G794">
        <v>38</v>
      </c>
      <c r="H794">
        <v>47</v>
      </c>
      <c r="I794">
        <v>88</v>
      </c>
      <c r="J794">
        <v>54</v>
      </c>
      <c r="K794">
        <v>5</v>
      </c>
    </row>
    <row r="795" spans="1:11" x14ac:dyDescent="0.35">
      <c r="A795" t="s">
        <v>67</v>
      </c>
      <c r="B795" t="s">
        <v>28</v>
      </c>
      <c r="C795" t="s">
        <v>36</v>
      </c>
      <c r="D795" t="s">
        <v>20</v>
      </c>
      <c r="E795" t="s">
        <v>21</v>
      </c>
      <c r="F795">
        <v>5</v>
      </c>
      <c r="G795">
        <v>25</v>
      </c>
      <c r="H795">
        <v>47</v>
      </c>
      <c r="I795">
        <v>15</v>
      </c>
      <c r="J795">
        <v>58</v>
      </c>
      <c r="K795">
        <v>4</v>
      </c>
    </row>
    <row r="796" spans="1:11" x14ac:dyDescent="0.35">
      <c r="A796" t="s">
        <v>67</v>
      </c>
      <c r="B796" t="s">
        <v>28</v>
      </c>
      <c r="C796" t="s">
        <v>29</v>
      </c>
      <c r="D796" t="s">
        <v>22</v>
      </c>
      <c r="E796" t="s">
        <v>23</v>
      </c>
      <c r="F796">
        <v>719</v>
      </c>
      <c r="G796">
        <v>13</v>
      </c>
      <c r="H796">
        <v>18</v>
      </c>
      <c r="I796">
        <v>714</v>
      </c>
      <c r="J796">
        <v>32</v>
      </c>
      <c r="K796">
        <v>5</v>
      </c>
    </row>
    <row r="797" spans="1:11" x14ac:dyDescent="0.35">
      <c r="A797" t="s">
        <v>67</v>
      </c>
      <c r="B797" t="s">
        <v>31</v>
      </c>
      <c r="C797" t="s">
        <v>32</v>
      </c>
      <c r="D797" t="s">
        <v>14</v>
      </c>
      <c r="E797" t="s">
        <v>15</v>
      </c>
      <c r="F797">
        <v>329</v>
      </c>
      <c r="G797">
        <v>38</v>
      </c>
      <c r="H797">
        <v>15</v>
      </c>
      <c r="I797">
        <v>352</v>
      </c>
      <c r="J797">
        <v>20</v>
      </c>
      <c r="K797">
        <v>4</v>
      </c>
    </row>
    <row r="798" spans="1:11" x14ac:dyDescent="0.35">
      <c r="A798" t="s">
        <v>67</v>
      </c>
      <c r="B798" t="s">
        <v>31</v>
      </c>
      <c r="C798" t="s">
        <v>32</v>
      </c>
      <c r="D798" t="s">
        <v>16</v>
      </c>
      <c r="E798" t="s">
        <v>17</v>
      </c>
      <c r="F798">
        <v>401</v>
      </c>
      <c r="G798">
        <v>13</v>
      </c>
      <c r="H798">
        <v>18</v>
      </c>
      <c r="I798">
        <v>396</v>
      </c>
      <c r="J798">
        <v>32</v>
      </c>
      <c r="K798">
        <v>3</v>
      </c>
    </row>
    <row r="799" spans="1:11" x14ac:dyDescent="0.35">
      <c r="A799" t="s">
        <v>67</v>
      </c>
      <c r="B799" t="s">
        <v>31</v>
      </c>
      <c r="C799" t="s">
        <v>32</v>
      </c>
      <c r="D799" t="s">
        <v>18</v>
      </c>
      <c r="E799" t="s">
        <v>19</v>
      </c>
      <c r="F799">
        <v>156</v>
      </c>
      <c r="G799">
        <v>49</v>
      </c>
      <c r="H799">
        <v>24</v>
      </c>
      <c r="I799">
        <v>181</v>
      </c>
      <c r="J799">
        <v>25</v>
      </c>
      <c r="K799">
        <v>1</v>
      </c>
    </row>
    <row r="800" spans="1:11" x14ac:dyDescent="0.35">
      <c r="A800" t="s">
        <v>67</v>
      </c>
      <c r="B800" t="s">
        <v>31</v>
      </c>
      <c r="C800" t="s">
        <v>32</v>
      </c>
      <c r="D800" t="s">
        <v>20</v>
      </c>
      <c r="E800" t="s">
        <v>21</v>
      </c>
      <c r="F800">
        <v>69</v>
      </c>
      <c r="G800">
        <v>54</v>
      </c>
      <c r="H800">
        <v>50</v>
      </c>
      <c r="I800">
        <v>73</v>
      </c>
      <c r="J800">
        <v>55</v>
      </c>
      <c r="K800">
        <v>1</v>
      </c>
    </row>
    <row r="801" spans="1:11" x14ac:dyDescent="0.35">
      <c r="A801" t="s">
        <v>67</v>
      </c>
      <c r="B801" t="s">
        <v>31</v>
      </c>
      <c r="C801" t="s">
        <v>32</v>
      </c>
      <c r="D801" t="s">
        <v>22</v>
      </c>
      <c r="E801" t="s">
        <v>23</v>
      </c>
      <c r="F801">
        <v>759</v>
      </c>
      <c r="G801">
        <v>15</v>
      </c>
      <c r="H801">
        <v>12</v>
      </c>
      <c r="I801">
        <v>-5</v>
      </c>
      <c r="J801">
        <v>15</v>
      </c>
      <c r="K801">
        <v>4</v>
      </c>
    </row>
    <row r="802" spans="1:11" x14ac:dyDescent="0.35">
      <c r="A802" t="s">
        <v>67</v>
      </c>
      <c r="B802" t="s">
        <v>33</v>
      </c>
      <c r="C802" t="s">
        <v>34</v>
      </c>
      <c r="D802" t="s">
        <v>14</v>
      </c>
      <c r="E802" t="s">
        <v>15</v>
      </c>
      <c r="F802">
        <v>226</v>
      </c>
      <c r="G802">
        <v>19</v>
      </c>
      <c r="H802">
        <v>13</v>
      </c>
      <c r="I802">
        <v>232</v>
      </c>
      <c r="J802">
        <v>13</v>
      </c>
      <c r="K802">
        <v>1</v>
      </c>
    </row>
    <row r="803" spans="1:11" x14ac:dyDescent="0.35">
      <c r="A803" t="s">
        <v>67</v>
      </c>
      <c r="B803" t="s">
        <v>33</v>
      </c>
      <c r="C803" t="s">
        <v>34</v>
      </c>
      <c r="D803" t="s">
        <v>16</v>
      </c>
      <c r="E803" t="s">
        <v>17</v>
      </c>
      <c r="F803">
        <v>200</v>
      </c>
      <c r="G803">
        <v>40</v>
      </c>
      <c r="H803">
        <v>33</v>
      </c>
      <c r="I803">
        <v>207</v>
      </c>
      <c r="J803">
        <v>36</v>
      </c>
      <c r="K803">
        <v>4</v>
      </c>
    </row>
    <row r="804" spans="1:11" x14ac:dyDescent="0.35">
      <c r="A804" t="s">
        <v>67</v>
      </c>
      <c r="B804" t="s">
        <v>33</v>
      </c>
      <c r="C804" t="s">
        <v>34</v>
      </c>
      <c r="D804" t="s">
        <v>18</v>
      </c>
      <c r="E804" t="s">
        <v>19</v>
      </c>
      <c r="F804">
        <v>126</v>
      </c>
      <c r="G804">
        <v>25</v>
      </c>
      <c r="H804">
        <v>34</v>
      </c>
      <c r="I804">
        <v>117</v>
      </c>
      <c r="K804">
        <v>3</v>
      </c>
    </row>
    <row r="805" spans="1:11" x14ac:dyDescent="0.35">
      <c r="A805" t="s">
        <v>67</v>
      </c>
      <c r="B805" t="s">
        <v>33</v>
      </c>
      <c r="C805" t="s">
        <v>34</v>
      </c>
      <c r="D805" t="s">
        <v>20</v>
      </c>
      <c r="E805" t="s">
        <v>21</v>
      </c>
      <c r="F805">
        <v>309</v>
      </c>
      <c r="G805">
        <v>27</v>
      </c>
      <c r="H805">
        <v>40</v>
      </c>
      <c r="I805">
        <v>296</v>
      </c>
      <c r="J805">
        <v>49</v>
      </c>
      <c r="K805">
        <v>4</v>
      </c>
    </row>
    <row r="806" spans="1:11" x14ac:dyDescent="0.35">
      <c r="A806" t="s">
        <v>67</v>
      </c>
      <c r="B806" t="s">
        <v>33</v>
      </c>
      <c r="C806" t="s">
        <v>34</v>
      </c>
      <c r="D806" t="s">
        <v>22</v>
      </c>
      <c r="E806" t="s">
        <v>23</v>
      </c>
      <c r="F806">
        <v>502</v>
      </c>
      <c r="G806">
        <v>39</v>
      </c>
      <c r="H806">
        <v>15</v>
      </c>
      <c r="I806">
        <v>526</v>
      </c>
      <c r="J806">
        <v>22</v>
      </c>
      <c r="K806">
        <v>1</v>
      </c>
    </row>
    <row r="807" spans="1:11" x14ac:dyDescent="0.35">
      <c r="A807" t="s">
        <v>68</v>
      </c>
      <c r="B807" t="s">
        <v>12</v>
      </c>
      <c r="C807" t="s">
        <v>13</v>
      </c>
      <c r="D807" t="s">
        <v>14</v>
      </c>
      <c r="E807" t="s">
        <v>15</v>
      </c>
      <c r="F807">
        <v>568</v>
      </c>
      <c r="G807">
        <v>7</v>
      </c>
      <c r="H807">
        <v>19</v>
      </c>
      <c r="I807">
        <v>556</v>
      </c>
      <c r="J807">
        <v>20</v>
      </c>
      <c r="K807">
        <v>5</v>
      </c>
    </row>
    <row r="808" spans="1:11" x14ac:dyDescent="0.35">
      <c r="A808" t="s">
        <v>68</v>
      </c>
      <c r="B808" t="s">
        <v>12</v>
      </c>
      <c r="C808" t="s">
        <v>13</v>
      </c>
      <c r="D808" t="s">
        <v>16</v>
      </c>
      <c r="E808" t="s">
        <v>17</v>
      </c>
      <c r="F808">
        <v>328</v>
      </c>
      <c r="G808">
        <v>7</v>
      </c>
      <c r="H808">
        <v>25</v>
      </c>
      <c r="I808">
        <v>310</v>
      </c>
      <c r="J808">
        <v>30</v>
      </c>
      <c r="K808">
        <v>5</v>
      </c>
    </row>
    <row r="809" spans="1:11" x14ac:dyDescent="0.35">
      <c r="A809" t="s">
        <v>68</v>
      </c>
      <c r="B809" t="s">
        <v>12</v>
      </c>
      <c r="C809" t="s">
        <v>13</v>
      </c>
      <c r="D809" t="s">
        <v>18</v>
      </c>
      <c r="E809" t="s">
        <v>19</v>
      </c>
      <c r="F809">
        <v>132</v>
      </c>
      <c r="G809">
        <v>26</v>
      </c>
      <c r="H809">
        <v>18</v>
      </c>
      <c r="I809">
        <v>140</v>
      </c>
      <c r="J809">
        <v>32</v>
      </c>
      <c r="K809">
        <v>3</v>
      </c>
    </row>
    <row r="810" spans="1:11" x14ac:dyDescent="0.35">
      <c r="A810" t="s">
        <v>68</v>
      </c>
      <c r="B810" t="s">
        <v>12</v>
      </c>
      <c r="C810" t="s">
        <v>13</v>
      </c>
      <c r="D810" t="s">
        <v>20</v>
      </c>
      <c r="E810" t="s">
        <v>21</v>
      </c>
      <c r="F810">
        <v>32</v>
      </c>
      <c r="G810">
        <v>2</v>
      </c>
      <c r="H810">
        <v>17</v>
      </c>
      <c r="I810">
        <v>17</v>
      </c>
      <c r="J810">
        <v>23</v>
      </c>
      <c r="K810">
        <v>2</v>
      </c>
    </row>
    <row r="811" spans="1:11" x14ac:dyDescent="0.35">
      <c r="A811" t="s">
        <v>68</v>
      </c>
      <c r="B811" t="s">
        <v>12</v>
      </c>
      <c r="C811" t="s">
        <v>13</v>
      </c>
      <c r="D811" t="s">
        <v>22</v>
      </c>
      <c r="E811" t="s">
        <v>23</v>
      </c>
      <c r="F811">
        <v>492</v>
      </c>
      <c r="G811">
        <v>35</v>
      </c>
      <c r="H811">
        <v>4</v>
      </c>
      <c r="I811">
        <v>523</v>
      </c>
      <c r="J811">
        <v>8</v>
      </c>
      <c r="K811">
        <v>3</v>
      </c>
    </row>
    <row r="812" spans="1:11" x14ac:dyDescent="0.35">
      <c r="A812" t="s">
        <v>68</v>
      </c>
      <c r="B812" t="s">
        <v>12</v>
      </c>
      <c r="C812" t="s">
        <v>24</v>
      </c>
      <c r="D812" t="s">
        <v>14</v>
      </c>
      <c r="E812" t="s">
        <v>15</v>
      </c>
      <c r="F812">
        <v>297</v>
      </c>
      <c r="G812">
        <v>40</v>
      </c>
      <c r="H812">
        <v>28</v>
      </c>
      <c r="I812">
        <v>309</v>
      </c>
      <c r="J812">
        <v>30</v>
      </c>
      <c r="K812">
        <v>2</v>
      </c>
    </row>
    <row r="813" spans="1:11" x14ac:dyDescent="0.35">
      <c r="A813" t="s">
        <v>68</v>
      </c>
      <c r="B813" t="s">
        <v>12</v>
      </c>
      <c r="C813" t="s">
        <v>24</v>
      </c>
      <c r="D813" t="s">
        <v>16</v>
      </c>
      <c r="E813" t="s">
        <v>17</v>
      </c>
      <c r="F813">
        <v>216</v>
      </c>
      <c r="G813">
        <v>35</v>
      </c>
      <c r="H813">
        <v>16</v>
      </c>
      <c r="I813">
        <v>235</v>
      </c>
      <c r="J813">
        <v>20</v>
      </c>
      <c r="K813">
        <v>4</v>
      </c>
    </row>
    <row r="814" spans="1:11" x14ac:dyDescent="0.35">
      <c r="A814" t="s">
        <v>68</v>
      </c>
      <c r="B814" t="s">
        <v>12</v>
      </c>
      <c r="C814" t="s">
        <v>24</v>
      </c>
      <c r="D814" t="s">
        <v>30</v>
      </c>
      <c r="E814" t="s">
        <v>19</v>
      </c>
      <c r="F814">
        <v>138</v>
      </c>
      <c r="G814">
        <v>47</v>
      </c>
      <c r="H814">
        <v>20</v>
      </c>
      <c r="I814">
        <v>165</v>
      </c>
      <c r="J814">
        <v>35</v>
      </c>
      <c r="K814">
        <v>1</v>
      </c>
    </row>
    <row r="815" spans="1:11" x14ac:dyDescent="0.35">
      <c r="A815" t="s">
        <v>68</v>
      </c>
      <c r="B815" t="s">
        <v>12</v>
      </c>
      <c r="C815" t="s">
        <v>24</v>
      </c>
      <c r="D815" t="s">
        <v>20</v>
      </c>
      <c r="E815" t="s">
        <v>21</v>
      </c>
      <c r="F815">
        <v>22</v>
      </c>
      <c r="G815">
        <v>36</v>
      </c>
      <c r="H815">
        <v>47</v>
      </c>
      <c r="I815">
        <v>11</v>
      </c>
      <c r="J815">
        <v>54</v>
      </c>
      <c r="K815">
        <v>1</v>
      </c>
    </row>
    <row r="816" spans="1:11" x14ac:dyDescent="0.35">
      <c r="A816" t="s">
        <v>68</v>
      </c>
      <c r="B816" t="s">
        <v>12</v>
      </c>
      <c r="C816" t="s">
        <v>24</v>
      </c>
      <c r="D816" t="s">
        <v>22</v>
      </c>
      <c r="E816" t="s">
        <v>23</v>
      </c>
      <c r="F816">
        <v>512</v>
      </c>
      <c r="G816">
        <v>32</v>
      </c>
      <c r="H816">
        <v>6</v>
      </c>
      <c r="I816">
        <v>538</v>
      </c>
      <c r="J816">
        <v>13</v>
      </c>
      <c r="K816">
        <v>1</v>
      </c>
    </row>
    <row r="817" spans="1:11" x14ac:dyDescent="0.35">
      <c r="A817" t="s">
        <v>68</v>
      </c>
      <c r="B817" t="s">
        <v>12</v>
      </c>
      <c r="C817" t="s">
        <v>25</v>
      </c>
      <c r="D817" t="s">
        <v>14</v>
      </c>
      <c r="E817" t="s">
        <v>15</v>
      </c>
      <c r="F817">
        <v>285</v>
      </c>
      <c r="G817">
        <v>13</v>
      </c>
      <c r="H817">
        <v>10</v>
      </c>
      <c r="I817">
        <v>288</v>
      </c>
      <c r="J817">
        <v>22</v>
      </c>
      <c r="K817">
        <v>4</v>
      </c>
    </row>
    <row r="818" spans="1:11" x14ac:dyDescent="0.35">
      <c r="A818" t="s">
        <v>68</v>
      </c>
      <c r="B818" t="s">
        <v>12</v>
      </c>
      <c r="C818" t="s">
        <v>25</v>
      </c>
      <c r="D818" t="s">
        <v>16</v>
      </c>
      <c r="E818" t="s">
        <v>17</v>
      </c>
      <c r="F818">
        <v>246</v>
      </c>
      <c r="G818">
        <v>21</v>
      </c>
      <c r="H818" t="s">
        <v>43</v>
      </c>
      <c r="I818">
        <v>253</v>
      </c>
      <c r="J818">
        <v>28</v>
      </c>
      <c r="K818">
        <v>3</v>
      </c>
    </row>
    <row r="819" spans="1:11" x14ac:dyDescent="0.35">
      <c r="A819" t="s">
        <v>68</v>
      </c>
      <c r="B819" t="s">
        <v>12</v>
      </c>
      <c r="C819" t="s">
        <v>25</v>
      </c>
      <c r="D819" t="s">
        <v>18</v>
      </c>
      <c r="E819" t="s">
        <v>19</v>
      </c>
      <c r="F819">
        <v>82</v>
      </c>
      <c r="G819">
        <v>33</v>
      </c>
      <c r="H819">
        <v>49</v>
      </c>
      <c r="I819">
        <v>66</v>
      </c>
      <c r="J819">
        <v>57</v>
      </c>
      <c r="K819">
        <v>1</v>
      </c>
    </row>
    <row r="820" spans="1:11" x14ac:dyDescent="0.35">
      <c r="A820" t="s">
        <v>68</v>
      </c>
      <c r="B820" t="s">
        <v>12</v>
      </c>
      <c r="C820" t="s">
        <v>25</v>
      </c>
      <c r="D820" t="s">
        <v>20</v>
      </c>
      <c r="E820" t="s">
        <v>21</v>
      </c>
      <c r="F820">
        <v>140</v>
      </c>
      <c r="G820">
        <v>21</v>
      </c>
      <c r="H820">
        <v>17</v>
      </c>
      <c r="I820">
        <v>144</v>
      </c>
      <c r="J820">
        <v>31</v>
      </c>
      <c r="K820">
        <v>5</v>
      </c>
    </row>
    <row r="821" spans="1:11" x14ac:dyDescent="0.35">
      <c r="A821" t="s">
        <v>68</v>
      </c>
      <c r="B821" t="s">
        <v>12</v>
      </c>
      <c r="C821" t="s">
        <v>25</v>
      </c>
      <c r="D821" t="s">
        <v>22</v>
      </c>
      <c r="E821" t="s">
        <v>23</v>
      </c>
      <c r="F821">
        <v>612</v>
      </c>
      <c r="G821">
        <v>36</v>
      </c>
      <c r="H821">
        <v>9</v>
      </c>
      <c r="I821">
        <v>639</v>
      </c>
      <c r="J821">
        <v>24</v>
      </c>
      <c r="K821">
        <v>4</v>
      </c>
    </row>
    <row r="822" spans="1:11" x14ac:dyDescent="0.35">
      <c r="A822" t="s">
        <v>68</v>
      </c>
      <c r="B822" t="s">
        <v>26</v>
      </c>
      <c r="C822" t="s">
        <v>27</v>
      </c>
      <c r="D822" t="s">
        <v>14</v>
      </c>
      <c r="E822" t="s">
        <v>15</v>
      </c>
      <c r="F822">
        <v>567</v>
      </c>
      <c r="G822">
        <v>26</v>
      </c>
      <c r="H822">
        <v>21</v>
      </c>
      <c r="I822">
        <v>572</v>
      </c>
      <c r="J822">
        <v>31</v>
      </c>
      <c r="K822">
        <v>4</v>
      </c>
    </row>
    <row r="823" spans="1:11" x14ac:dyDescent="0.35">
      <c r="A823" t="s">
        <v>68</v>
      </c>
      <c r="B823" t="s">
        <v>26</v>
      </c>
      <c r="C823" t="s">
        <v>27</v>
      </c>
      <c r="D823" t="s">
        <v>16</v>
      </c>
      <c r="E823" t="s">
        <v>17</v>
      </c>
      <c r="F823">
        <v>410</v>
      </c>
      <c r="G823">
        <v>20</v>
      </c>
      <c r="H823">
        <v>9</v>
      </c>
      <c r="I823">
        <v>421</v>
      </c>
      <c r="J823">
        <v>18</v>
      </c>
      <c r="K823">
        <v>1</v>
      </c>
    </row>
    <row r="824" spans="1:11" x14ac:dyDescent="0.35">
      <c r="A824" t="s">
        <v>68</v>
      </c>
      <c r="B824" t="s">
        <v>26</v>
      </c>
      <c r="C824" t="s">
        <v>27</v>
      </c>
      <c r="D824" t="s">
        <v>18</v>
      </c>
      <c r="E824" t="s">
        <v>19</v>
      </c>
      <c r="F824">
        <v>81</v>
      </c>
      <c r="G824">
        <v>4</v>
      </c>
      <c r="H824">
        <v>16</v>
      </c>
      <c r="I824">
        <v>69</v>
      </c>
      <c r="J824">
        <v>30</v>
      </c>
      <c r="K824">
        <v>5</v>
      </c>
    </row>
    <row r="825" spans="1:11" x14ac:dyDescent="0.35">
      <c r="A825" t="s">
        <v>68</v>
      </c>
      <c r="B825" t="s">
        <v>26</v>
      </c>
      <c r="C825" t="s">
        <v>27</v>
      </c>
      <c r="D825" t="s">
        <v>20</v>
      </c>
      <c r="E825" t="s">
        <v>21</v>
      </c>
      <c r="F825">
        <v>282</v>
      </c>
      <c r="G825">
        <v>6</v>
      </c>
      <c r="H825">
        <v>18</v>
      </c>
      <c r="I825">
        <v>270</v>
      </c>
      <c r="J825">
        <v>19</v>
      </c>
      <c r="K825">
        <v>4</v>
      </c>
    </row>
    <row r="826" spans="1:11" x14ac:dyDescent="0.35">
      <c r="A826" t="s">
        <v>68</v>
      </c>
      <c r="B826" t="s">
        <v>26</v>
      </c>
      <c r="C826" t="s">
        <v>27</v>
      </c>
      <c r="D826" t="s">
        <v>22</v>
      </c>
      <c r="E826" t="s">
        <v>23</v>
      </c>
      <c r="F826">
        <v>405</v>
      </c>
      <c r="G826">
        <v>28</v>
      </c>
      <c r="H826">
        <v>4</v>
      </c>
      <c r="I826">
        <v>429</v>
      </c>
      <c r="J826">
        <v>13</v>
      </c>
      <c r="K826">
        <v>3</v>
      </c>
    </row>
    <row r="827" spans="1:11" x14ac:dyDescent="0.35">
      <c r="A827" t="s">
        <v>68</v>
      </c>
      <c r="B827" t="s">
        <v>28</v>
      </c>
      <c r="C827" t="s">
        <v>29</v>
      </c>
      <c r="D827" t="s">
        <v>14</v>
      </c>
      <c r="E827" t="s">
        <v>15</v>
      </c>
      <c r="F827">
        <v>365</v>
      </c>
      <c r="G827">
        <v>52</v>
      </c>
      <c r="H827">
        <v>30</v>
      </c>
      <c r="I827">
        <v>387</v>
      </c>
      <c r="J827">
        <v>31</v>
      </c>
      <c r="K827">
        <v>2</v>
      </c>
    </row>
    <row r="828" spans="1:11" x14ac:dyDescent="0.35">
      <c r="A828" t="s">
        <v>68</v>
      </c>
      <c r="B828" t="s">
        <v>28</v>
      </c>
      <c r="C828" t="s">
        <v>29</v>
      </c>
      <c r="D828" t="s">
        <v>16</v>
      </c>
      <c r="E828" t="s">
        <v>17</v>
      </c>
      <c r="F828">
        <v>457</v>
      </c>
      <c r="G828">
        <v>12</v>
      </c>
      <c r="H828">
        <v>24</v>
      </c>
      <c r="I828">
        <v>445</v>
      </c>
      <c r="J828">
        <v>29</v>
      </c>
      <c r="K828">
        <v>1</v>
      </c>
    </row>
    <row r="829" spans="1:11" x14ac:dyDescent="0.35">
      <c r="A829" t="s">
        <v>68</v>
      </c>
      <c r="B829" t="s">
        <v>28</v>
      </c>
      <c r="C829" t="s">
        <v>29</v>
      </c>
      <c r="D829" t="s">
        <v>18</v>
      </c>
      <c r="E829" t="s">
        <v>19</v>
      </c>
      <c r="F829">
        <v>88</v>
      </c>
      <c r="G829">
        <v>5</v>
      </c>
      <c r="H829">
        <v>15</v>
      </c>
      <c r="I829">
        <v>78</v>
      </c>
      <c r="J829">
        <v>28</v>
      </c>
      <c r="K829">
        <v>1</v>
      </c>
    </row>
    <row r="830" spans="1:11" x14ac:dyDescent="0.35">
      <c r="A830" t="s">
        <v>68</v>
      </c>
      <c r="B830" t="s">
        <v>28</v>
      </c>
      <c r="C830" t="s">
        <v>29</v>
      </c>
      <c r="D830" t="s">
        <v>20</v>
      </c>
      <c r="E830" t="s">
        <v>21</v>
      </c>
      <c r="F830">
        <v>15</v>
      </c>
      <c r="G830">
        <v>53</v>
      </c>
      <c r="H830">
        <v>46</v>
      </c>
      <c r="I830">
        <v>22</v>
      </c>
      <c r="J830">
        <v>47</v>
      </c>
      <c r="K830">
        <v>5</v>
      </c>
    </row>
    <row r="831" spans="1:11" x14ac:dyDescent="0.35">
      <c r="A831" t="s">
        <v>68</v>
      </c>
      <c r="B831" t="s">
        <v>28</v>
      </c>
      <c r="C831" t="s">
        <v>29</v>
      </c>
      <c r="D831" t="s">
        <v>22</v>
      </c>
      <c r="E831" t="s">
        <v>23</v>
      </c>
      <c r="F831">
        <v>714</v>
      </c>
      <c r="G831">
        <v>53</v>
      </c>
      <c r="H831">
        <v>11</v>
      </c>
      <c r="I831">
        <v>756</v>
      </c>
      <c r="J831">
        <v>19</v>
      </c>
      <c r="K831">
        <v>3</v>
      </c>
    </row>
    <row r="832" spans="1:11" x14ac:dyDescent="0.35">
      <c r="A832" t="s">
        <v>68</v>
      </c>
      <c r="B832" t="s">
        <v>31</v>
      </c>
      <c r="C832" t="s">
        <v>32</v>
      </c>
      <c r="D832" t="s">
        <v>14</v>
      </c>
      <c r="E832" t="s">
        <v>15</v>
      </c>
      <c r="F832">
        <v>352</v>
      </c>
      <c r="G832">
        <v>41</v>
      </c>
      <c r="H832">
        <v>19</v>
      </c>
      <c r="I832">
        <v>374</v>
      </c>
      <c r="J832">
        <v>33</v>
      </c>
      <c r="K832">
        <v>2</v>
      </c>
    </row>
    <row r="833" spans="1:11" x14ac:dyDescent="0.35">
      <c r="A833" t="s">
        <v>68</v>
      </c>
      <c r="B833" t="s">
        <v>31</v>
      </c>
      <c r="C833" t="s">
        <v>32</v>
      </c>
      <c r="D833" t="s">
        <v>16</v>
      </c>
      <c r="E833" t="s">
        <v>17</v>
      </c>
      <c r="F833">
        <v>396</v>
      </c>
      <c r="G833">
        <v>34</v>
      </c>
      <c r="H833">
        <v>26</v>
      </c>
      <c r="I833">
        <v>404</v>
      </c>
      <c r="J833">
        <v>27</v>
      </c>
      <c r="K833">
        <v>1</v>
      </c>
    </row>
    <row r="834" spans="1:11" x14ac:dyDescent="0.35">
      <c r="A834" t="s">
        <v>68</v>
      </c>
      <c r="B834" t="s">
        <v>31</v>
      </c>
      <c r="C834" t="s">
        <v>32</v>
      </c>
      <c r="D834" t="s">
        <v>18</v>
      </c>
      <c r="E834" t="s">
        <v>19</v>
      </c>
      <c r="F834">
        <v>181</v>
      </c>
      <c r="G834">
        <v>23</v>
      </c>
      <c r="H834">
        <v>22</v>
      </c>
      <c r="I834">
        <v>182</v>
      </c>
      <c r="J834">
        <v>31</v>
      </c>
      <c r="K834">
        <v>4</v>
      </c>
    </row>
    <row r="835" spans="1:11" x14ac:dyDescent="0.35">
      <c r="A835" t="s">
        <v>68</v>
      </c>
      <c r="B835" t="s">
        <v>31</v>
      </c>
      <c r="C835" t="s">
        <v>32</v>
      </c>
      <c r="D835" t="s">
        <v>20</v>
      </c>
      <c r="E835" t="s">
        <v>21</v>
      </c>
      <c r="F835">
        <v>73</v>
      </c>
      <c r="G835">
        <v>57</v>
      </c>
      <c r="H835">
        <v>37</v>
      </c>
      <c r="I835">
        <v>93</v>
      </c>
      <c r="J835">
        <v>37</v>
      </c>
      <c r="K835">
        <v>5</v>
      </c>
    </row>
    <row r="836" spans="1:11" x14ac:dyDescent="0.35">
      <c r="A836" t="s">
        <v>68</v>
      </c>
      <c r="B836" t="s">
        <v>31</v>
      </c>
      <c r="C836" t="s">
        <v>32</v>
      </c>
      <c r="D836" t="s">
        <v>22</v>
      </c>
      <c r="E836" t="s">
        <v>23</v>
      </c>
      <c r="F836">
        <v>762</v>
      </c>
      <c r="G836">
        <v>24</v>
      </c>
      <c r="H836">
        <v>11</v>
      </c>
      <c r="I836">
        <v>775</v>
      </c>
      <c r="J836">
        <v>12</v>
      </c>
      <c r="K836">
        <v>1</v>
      </c>
    </row>
    <row r="837" spans="1:11" x14ac:dyDescent="0.35">
      <c r="A837" t="s">
        <v>68</v>
      </c>
      <c r="B837" t="s">
        <v>33</v>
      </c>
      <c r="C837" t="s">
        <v>34</v>
      </c>
      <c r="D837" t="s">
        <v>14</v>
      </c>
      <c r="E837" t="s">
        <v>15</v>
      </c>
      <c r="F837">
        <v>232</v>
      </c>
      <c r="G837">
        <v>28</v>
      </c>
      <c r="H837">
        <v>18</v>
      </c>
      <c r="I837">
        <v>242</v>
      </c>
      <c r="J837">
        <v>32</v>
      </c>
      <c r="K837">
        <v>5</v>
      </c>
    </row>
    <row r="838" spans="1:11" x14ac:dyDescent="0.35">
      <c r="A838" t="s">
        <v>68</v>
      </c>
      <c r="B838" t="s">
        <v>33</v>
      </c>
      <c r="C838" t="s">
        <v>34</v>
      </c>
      <c r="D838" t="s">
        <v>16</v>
      </c>
      <c r="E838" t="s">
        <v>17</v>
      </c>
      <c r="F838">
        <v>207</v>
      </c>
      <c r="G838">
        <v>40</v>
      </c>
      <c r="H838">
        <v>23</v>
      </c>
      <c r="I838">
        <v>224</v>
      </c>
      <c r="J838">
        <v>33</v>
      </c>
      <c r="K838">
        <v>5</v>
      </c>
    </row>
    <row r="839" spans="1:11" x14ac:dyDescent="0.35">
      <c r="A839" t="s">
        <v>68</v>
      </c>
      <c r="B839" t="s">
        <v>33</v>
      </c>
      <c r="C839" t="s">
        <v>34</v>
      </c>
      <c r="D839" t="s">
        <v>18</v>
      </c>
      <c r="E839" t="s">
        <v>19</v>
      </c>
      <c r="F839">
        <v>117</v>
      </c>
      <c r="G839">
        <v>29</v>
      </c>
      <c r="H839">
        <v>33</v>
      </c>
      <c r="I839">
        <v>113</v>
      </c>
      <c r="J839">
        <v>39</v>
      </c>
      <c r="K839">
        <v>3</v>
      </c>
    </row>
    <row r="840" spans="1:11" x14ac:dyDescent="0.35">
      <c r="A840" t="s">
        <v>68</v>
      </c>
      <c r="B840" t="s">
        <v>33</v>
      </c>
      <c r="C840" t="s">
        <v>34</v>
      </c>
      <c r="D840" t="s">
        <v>20</v>
      </c>
      <c r="E840" t="s">
        <v>21</v>
      </c>
      <c r="F840">
        <v>296</v>
      </c>
      <c r="G840">
        <v>47</v>
      </c>
      <c r="H840">
        <v>19</v>
      </c>
      <c r="I840">
        <v>324</v>
      </c>
      <c r="J840">
        <v>21</v>
      </c>
      <c r="K840">
        <v>4</v>
      </c>
    </row>
    <row r="841" spans="1:11" x14ac:dyDescent="0.35">
      <c r="A841" t="s">
        <v>68</v>
      </c>
      <c r="B841" t="s">
        <v>33</v>
      </c>
      <c r="C841" t="s">
        <v>34</v>
      </c>
      <c r="D841" t="s">
        <v>22</v>
      </c>
      <c r="E841" t="s">
        <v>23</v>
      </c>
      <c r="F841">
        <v>526</v>
      </c>
      <c r="G841">
        <v>28</v>
      </c>
      <c r="H841">
        <v>9</v>
      </c>
      <c r="I841">
        <v>545</v>
      </c>
      <c r="J841">
        <v>14</v>
      </c>
      <c r="K841">
        <v>4</v>
      </c>
    </row>
    <row r="842" spans="1:11" x14ac:dyDescent="0.35">
      <c r="A842" t="s">
        <v>69</v>
      </c>
      <c r="B842" t="s">
        <v>12</v>
      </c>
      <c r="C842" t="s">
        <v>13</v>
      </c>
      <c r="D842" t="s">
        <v>14</v>
      </c>
      <c r="E842" t="s">
        <v>15</v>
      </c>
      <c r="F842">
        <v>556</v>
      </c>
      <c r="G842">
        <v>39</v>
      </c>
      <c r="H842">
        <v>30</v>
      </c>
      <c r="I842">
        <v>565</v>
      </c>
      <c r="J842">
        <v>40</v>
      </c>
      <c r="K842">
        <v>2</v>
      </c>
    </row>
    <row r="843" spans="1:11" x14ac:dyDescent="0.35">
      <c r="A843" t="s">
        <v>69</v>
      </c>
      <c r="B843" t="s">
        <v>12</v>
      </c>
      <c r="C843" t="s">
        <v>13</v>
      </c>
      <c r="D843" t="s">
        <v>16</v>
      </c>
      <c r="E843" t="s">
        <v>17</v>
      </c>
      <c r="F843">
        <v>310</v>
      </c>
      <c r="G843">
        <v>51</v>
      </c>
      <c r="H843">
        <v>13</v>
      </c>
      <c r="I843">
        <v>348</v>
      </c>
      <c r="J843">
        <v>20</v>
      </c>
      <c r="K843">
        <v>2</v>
      </c>
    </row>
    <row r="844" spans="1:11" x14ac:dyDescent="0.35">
      <c r="A844" t="s">
        <v>69</v>
      </c>
      <c r="B844" t="s">
        <v>12</v>
      </c>
      <c r="C844" t="s">
        <v>13</v>
      </c>
      <c r="D844" t="s">
        <v>18</v>
      </c>
      <c r="E844" t="s">
        <v>19</v>
      </c>
      <c r="F844">
        <v>140</v>
      </c>
      <c r="G844">
        <v>47</v>
      </c>
      <c r="H844">
        <v>31</v>
      </c>
      <c r="I844">
        <v>156</v>
      </c>
      <c r="J844">
        <v>33</v>
      </c>
      <c r="K844">
        <v>5</v>
      </c>
    </row>
    <row r="845" spans="1:11" x14ac:dyDescent="0.35">
      <c r="A845" t="s">
        <v>69</v>
      </c>
      <c r="B845" t="s">
        <v>12</v>
      </c>
      <c r="C845" t="s">
        <v>13</v>
      </c>
      <c r="D845" t="s">
        <v>20</v>
      </c>
      <c r="E845" t="s">
        <v>21</v>
      </c>
      <c r="F845">
        <v>17</v>
      </c>
      <c r="G845">
        <v>53</v>
      </c>
      <c r="H845">
        <v>40</v>
      </c>
      <c r="I845">
        <v>30</v>
      </c>
      <c r="J845">
        <v>52</v>
      </c>
      <c r="K845">
        <v>2</v>
      </c>
    </row>
    <row r="846" spans="1:11" x14ac:dyDescent="0.35">
      <c r="A846" t="s">
        <v>69</v>
      </c>
      <c r="B846" t="s">
        <v>12</v>
      </c>
      <c r="C846" t="s">
        <v>13</v>
      </c>
      <c r="D846" t="s">
        <v>22</v>
      </c>
      <c r="E846" t="s">
        <v>23</v>
      </c>
      <c r="F846">
        <v>523</v>
      </c>
      <c r="G846">
        <v>47</v>
      </c>
      <c r="H846">
        <v>5</v>
      </c>
      <c r="I846">
        <v>565</v>
      </c>
      <c r="J846">
        <v>8</v>
      </c>
      <c r="K846">
        <v>2</v>
      </c>
    </row>
    <row r="847" spans="1:11" x14ac:dyDescent="0.35">
      <c r="A847" t="s">
        <v>69</v>
      </c>
      <c r="B847" t="s">
        <v>12</v>
      </c>
      <c r="C847" t="s">
        <v>24</v>
      </c>
      <c r="D847" t="s">
        <v>14</v>
      </c>
      <c r="E847" t="s">
        <v>15</v>
      </c>
      <c r="F847">
        <v>309</v>
      </c>
      <c r="G847">
        <v>53</v>
      </c>
      <c r="H847">
        <v>30</v>
      </c>
      <c r="I847">
        <v>332</v>
      </c>
      <c r="J847">
        <v>32</v>
      </c>
      <c r="K847">
        <v>3</v>
      </c>
    </row>
    <row r="848" spans="1:11" x14ac:dyDescent="0.35">
      <c r="A848" t="s">
        <v>69</v>
      </c>
      <c r="B848" t="s">
        <v>12</v>
      </c>
      <c r="C848" t="s">
        <v>24</v>
      </c>
      <c r="D848" t="s">
        <v>16</v>
      </c>
      <c r="E848" t="s">
        <v>17</v>
      </c>
      <c r="F848">
        <v>235</v>
      </c>
      <c r="G848">
        <v>1</v>
      </c>
      <c r="H848">
        <v>26</v>
      </c>
      <c r="I848">
        <v>210</v>
      </c>
      <c r="J848">
        <v>31</v>
      </c>
      <c r="K848">
        <v>3</v>
      </c>
    </row>
    <row r="849" spans="1:11" x14ac:dyDescent="0.35">
      <c r="A849" t="s">
        <v>69</v>
      </c>
      <c r="B849" t="s">
        <v>12</v>
      </c>
      <c r="C849" t="s">
        <v>24</v>
      </c>
      <c r="D849" t="s">
        <v>18</v>
      </c>
      <c r="E849" t="s">
        <v>19</v>
      </c>
      <c r="F849">
        <v>165</v>
      </c>
      <c r="G849">
        <v>7</v>
      </c>
      <c r="H849">
        <v>23</v>
      </c>
      <c r="I849">
        <v>149</v>
      </c>
      <c r="J849">
        <v>38</v>
      </c>
      <c r="K849">
        <v>3</v>
      </c>
    </row>
    <row r="850" spans="1:11" x14ac:dyDescent="0.35">
      <c r="A850" t="s">
        <v>69</v>
      </c>
      <c r="B850" t="s">
        <v>12</v>
      </c>
      <c r="C850" t="s">
        <v>24</v>
      </c>
      <c r="D850" t="s">
        <v>20</v>
      </c>
      <c r="E850" t="s">
        <v>21</v>
      </c>
      <c r="F850">
        <v>11</v>
      </c>
      <c r="G850">
        <v>31</v>
      </c>
      <c r="H850">
        <v>18</v>
      </c>
      <c r="I850">
        <v>24</v>
      </c>
      <c r="J850">
        <v>33</v>
      </c>
      <c r="K850">
        <v>3</v>
      </c>
    </row>
    <row r="851" spans="1:11" x14ac:dyDescent="0.35">
      <c r="A851" t="s">
        <v>69</v>
      </c>
      <c r="B851" t="s">
        <v>12</v>
      </c>
      <c r="C851" t="s">
        <v>24</v>
      </c>
      <c r="D851" t="s">
        <v>22</v>
      </c>
      <c r="E851" t="s">
        <v>23</v>
      </c>
      <c r="F851">
        <v>538</v>
      </c>
      <c r="G851">
        <v>26</v>
      </c>
      <c r="H851">
        <v>10</v>
      </c>
      <c r="I851">
        <v>554</v>
      </c>
      <c r="J851">
        <v>17</v>
      </c>
      <c r="K851">
        <v>2</v>
      </c>
    </row>
    <row r="852" spans="1:11" x14ac:dyDescent="0.35">
      <c r="A852" t="s">
        <v>69</v>
      </c>
      <c r="B852" t="s">
        <v>12</v>
      </c>
      <c r="C852" t="s">
        <v>25</v>
      </c>
      <c r="D852" t="s">
        <v>14</v>
      </c>
      <c r="E852" t="s">
        <v>15</v>
      </c>
      <c r="F852">
        <v>288</v>
      </c>
      <c r="G852">
        <v>30</v>
      </c>
      <c r="H852">
        <v>18</v>
      </c>
      <c r="I852">
        <v>300</v>
      </c>
      <c r="J852">
        <v>22</v>
      </c>
      <c r="K852">
        <v>4</v>
      </c>
    </row>
    <row r="853" spans="1:11" x14ac:dyDescent="0.35">
      <c r="A853" t="s">
        <v>69</v>
      </c>
      <c r="B853" t="s">
        <v>12</v>
      </c>
      <c r="C853" t="s">
        <v>25</v>
      </c>
      <c r="D853" t="s">
        <v>16</v>
      </c>
      <c r="E853" t="s">
        <v>17</v>
      </c>
      <c r="F853">
        <v>253</v>
      </c>
      <c r="G853">
        <v>26</v>
      </c>
      <c r="H853">
        <v>25</v>
      </c>
      <c r="I853">
        <v>254</v>
      </c>
      <c r="J853">
        <v>33</v>
      </c>
      <c r="K853">
        <v>2</v>
      </c>
    </row>
    <row r="854" spans="1:11" x14ac:dyDescent="0.35">
      <c r="A854" t="s">
        <v>69</v>
      </c>
      <c r="B854" t="s">
        <v>12</v>
      </c>
      <c r="C854" t="s">
        <v>25</v>
      </c>
      <c r="D854" t="s">
        <v>18</v>
      </c>
      <c r="E854" t="s">
        <v>19</v>
      </c>
      <c r="F854">
        <v>66</v>
      </c>
      <c r="G854">
        <v>52</v>
      </c>
      <c r="H854">
        <v>31</v>
      </c>
      <c r="I854">
        <v>87</v>
      </c>
      <c r="J854">
        <v>43</v>
      </c>
      <c r="K854">
        <v>2</v>
      </c>
    </row>
    <row r="855" spans="1:11" x14ac:dyDescent="0.35">
      <c r="A855" t="s">
        <v>69</v>
      </c>
      <c r="B855" t="s">
        <v>12</v>
      </c>
      <c r="C855" t="s">
        <v>25</v>
      </c>
      <c r="D855" t="s">
        <v>20</v>
      </c>
      <c r="E855" t="s">
        <v>21</v>
      </c>
      <c r="F855">
        <v>144</v>
      </c>
      <c r="G855">
        <v>23</v>
      </c>
      <c r="H855">
        <v>31</v>
      </c>
      <c r="I855">
        <v>136</v>
      </c>
      <c r="J855">
        <v>35</v>
      </c>
      <c r="K855">
        <v>3</v>
      </c>
    </row>
    <row r="856" spans="1:11" x14ac:dyDescent="0.35">
      <c r="A856" t="s">
        <v>69</v>
      </c>
      <c r="B856" t="s">
        <v>12</v>
      </c>
      <c r="C856" t="s">
        <v>25</v>
      </c>
      <c r="D856" t="s">
        <v>22</v>
      </c>
      <c r="E856" t="s">
        <v>23</v>
      </c>
      <c r="F856">
        <v>639</v>
      </c>
      <c r="G856">
        <v>41</v>
      </c>
      <c r="H856">
        <v>10</v>
      </c>
      <c r="I856">
        <v>670</v>
      </c>
      <c r="J856">
        <v>15</v>
      </c>
      <c r="K856">
        <v>5</v>
      </c>
    </row>
    <row r="857" spans="1:11" x14ac:dyDescent="0.35">
      <c r="A857" t="s">
        <v>69</v>
      </c>
      <c r="B857" t="s">
        <v>26</v>
      </c>
      <c r="C857" t="s">
        <v>27</v>
      </c>
      <c r="D857" t="s">
        <v>14</v>
      </c>
      <c r="E857" t="s">
        <v>15</v>
      </c>
      <c r="F857">
        <v>572</v>
      </c>
      <c r="G857">
        <v>33</v>
      </c>
      <c r="H857">
        <v>20</v>
      </c>
      <c r="I857">
        <v>585</v>
      </c>
      <c r="J857">
        <v>31</v>
      </c>
      <c r="K857">
        <v>4</v>
      </c>
    </row>
    <row r="858" spans="1:11" x14ac:dyDescent="0.35">
      <c r="A858" t="s">
        <v>69</v>
      </c>
      <c r="B858" t="s">
        <v>26</v>
      </c>
      <c r="C858" t="s">
        <v>27</v>
      </c>
      <c r="D858" t="s">
        <v>16</v>
      </c>
      <c r="E858" t="s">
        <v>17</v>
      </c>
      <c r="F858">
        <v>421</v>
      </c>
      <c r="G858">
        <v>11</v>
      </c>
      <c r="H858">
        <v>35</v>
      </c>
      <c r="I858">
        <v>397</v>
      </c>
      <c r="J858">
        <v>46</v>
      </c>
      <c r="K858">
        <v>3</v>
      </c>
    </row>
    <row r="859" spans="1:11" x14ac:dyDescent="0.35">
      <c r="A859" t="s">
        <v>69</v>
      </c>
      <c r="B859" t="s">
        <v>26</v>
      </c>
      <c r="C859" t="s">
        <v>27</v>
      </c>
      <c r="D859" t="s">
        <v>18</v>
      </c>
      <c r="E859" t="s">
        <v>19</v>
      </c>
      <c r="F859">
        <v>69</v>
      </c>
      <c r="G859">
        <v>2</v>
      </c>
      <c r="H859">
        <v>35</v>
      </c>
      <c r="I859">
        <v>36</v>
      </c>
      <c r="J859">
        <v>42</v>
      </c>
      <c r="K859">
        <v>2</v>
      </c>
    </row>
    <row r="860" spans="1:11" x14ac:dyDescent="0.35">
      <c r="A860" t="s">
        <v>69</v>
      </c>
      <c r="B860" t="s">
        <v>26</v>
      </c>
      <c r="C860" t="s">
        <v>27</v>
      </c>
      <c r="D860" t="s">
        <v>20</v>
      </c>
      <c r="E860" t="s">
        <v>21</v>
      </c>
      <c r="F860">
        <v>270</v>
      </c>
      <c r="G860">
        <v>55</v>
      </c>
      <c r="H860">
        <v>49</v>
      </c>
      <c r="I860">
        <v>276</v>
      </c>
      <c r="J860">
        <v>58</v>
      </c>
      <c r="K860">
        <v>1</v>
      </c>
    </row>
    <row r="861" spans="1:11" x14ac:dyDescent="0.35">
      <c r="A861" t="s">
        <v>69</v>
      </c>
      <c r="B861" t="s">
        <v>26</v>
      </c>
      <c r="C861" t="s">
        <v>27</v>
      </c>
      <c r="D861" t="s">
        <v>22</v>
      </c>
      <c r="E861" t="s">
        <v>23</v>
      </c>
      <c r="F861">
        <v>429</v>
      </c>
      <c r="G861">
        <v>16</v>
      </c>
      <c r="H861">
        <v>17</v>
      </c>
      <c r="I861">
        <v>428</v>
      </c>
      <c r="J861">
        <v>26</v>
      </c>
      <c r="K861">
        <v>1</v>
      </c>
    </row>
    <row r="862" spans="1:11" x14ac:dyDescent="0.35">
      <c r="A862" t="s">
        <v>69</v>
      </c>
      <c r="B862" t="s">
        <v>28</v>
      </c>
      <c r="C862" t="s">
        <v>29</v>
      </c>
      <c r="D862" t="s">
        <v>14</v>
      </c>
      <c r="E862" t="s">
        <v>15</v>
      </c>
      <c r="F862">
        <v>387</v>
      </c>
      <c r="G862">
        <v>39</v>
      </c>
      <c r="H862">
        <v>29</v>
      </c>
      <c r="I862">
        <v>397</v>
      </c>
      <c r="J862">
        <v>32</v>
      </c>
      <c r="K862">
        <v>3</v>
      </c>
    </row>
    <row r="863" spans="1:11" x14ac:dyDescent="0.35">
      <c r="A863" t="s">
        <v>69</v>
      </c>
      <c r="B863" t="s">
        <v>28</v>
      </c>
      <c r="C863" t="s">
        <v>29</v>
      </c>
      <c r="D863" t="s">
        <v>16</v>
      </c>
      <c r="E863" t="s">
        <v>17</v>
      </c>
      <c r="F863">
        <v>445</v>
      </c>
      <c r="G863">
        <v>8</v>
      </c>
      <c r="H863">
        <v>23</v>
      </c>
      <c r="I863">
        <v>430</v>
      </c>
      <c r="J863">
        <v>35</v>
      </c>
      <c r="K863">
        <v>1</v>
      </c>
    </row>
    <row r="864" spans="1:11" x14ac:dyDescent="0.35">
      <c r="A864" t="s">
        <v>69</v>
      </c>
      <c r="B864" t="s">
        <v>28</v>
      </c>
      <c r="C864" t="s">
        <v>29</v>
      </c>
      <c r="D864" t="s">
        <v>18</v>
      </c>
      <c r="E864" t="s">
        <v>19</v>
      </c>
      <c r="F864">
        <v>78</v>
      </c>
      <c r="G864">
        <v>51</v>
      </c>
      <c r="H864">
        <v>17</v>
      </c>
      <c r="I864">
        <v>112</v>
      </c>
      <c r="J864">
        <v>22</v>
      </c>
      <c r="K864">
        <v>2</v>
      </c>
    </row>
    <row r="865" spans="1:11" x14ac:dyDescent="0.35">
      <c r="A865" t="s">
        <v>69</v>
      </c>
      <c r="B865" t="s">
        <v>28</v>
      </c>
      <c r="C865" t="s">
        <v>29</v>
      </c>
      <c r="D865" t="s">
        <v>20</v>
      </c>
      <c r="E865" t="s">
        <v>21</v>
      </c>
      <c r="F865">
        <v>22</v>
      </c>
      <c r="G865">
        <v>23</v>
      </c>
      <c r="H865">
        <v>19</v>
      </c>
      <c r="I865">
        <v>26</v>
      </c>
      <c r="J865">
        <v>21</v>
      </c>
      <c r="K865">
        <v>4</v>
      </c>
    </row>
    <row r="866" spans="1:11" x14ac:dyDescent="0.35">
      <c r="A866" t="s">
        <v>69</v>
      </c>
      <c r="B866" t="s">
        <v>28</v>
      </c>
      <c r="C866" t="s">
        <v>29</v>
      </c>
      <c r="D866" t="s">
        <v>22</v>
      </c>
      <c r="E866" t="s">
        <v>23</v>
      </c>
      <c r="F866">
        <v>756</v>
      </c>
      <c r="G866">
        <v>53</v>
      </c>
      <c r="H866">
        <v>13</v>
      </c>
      <c r="I866">
        <v>796</v>
      </c>
      <c r="J866">
        <v>26</v>
      </c>
      <c r="K866">
        <v>3</v>
      </c>
    </row>
    <row r="867" spans="1:11" x14ac:dyDescent="0.35">
      <c r="A867" t="s">
        <v>69</v>
      </c>
      <c r="B867" t="s">
        <v>31</v>
      </c>
      <c r="C867" t="s">
        <v>32</v>
      </c>
      <c r="D867" t="s">
        <v>14</v>
      </c>
      <c r="E867" t="s">
        <v>15</v>
      </c>
      <c r="F867">
        <v>374</v>
      </c>
      <c r="G867">
        <v>57</v>
      </c>
      <c r="H867">
        <v>10</v>
      </c>
      <c r="I867">
        <v>421</v>
      </c>
      <c r="J867">
        <v>15</v>
      </c>
      <c r="K867">
        <v>4</v>
      </c>
    </row>
    <row r="868" spans="1:11" x14ac:dyDescent="0.35">
      <c r="A868" t="s">
        <v>69</v>
      </c>
      <c r="B868" t="s">
        <v>31</v>
      </c>
      <c r="C868" t="s">
        <v>32</v>
      </c>
      <c r="D868" t="s">
        <v>16</v>
      </c>
      <c r="E868" t="s">
        <v>17</v>
      </c>
      <c r="F868">
        <v>404</v>
      </c>
      <c r="G868">
        <v>25</v>
      </c>
      <c r="H868">
        <v>16</v>
      </c>
      <c r="I868">
        <v>413</v>
      </c>
      <c r="J868">
        <v>22</v>
      </c>
      <c r="K868">
        <v>5</v>
      </c>
    </row>
    <row r="869" spans="1:11" x14ac:dyDescent="0.35">
      <c r="A869" t="s">
        <v>69</v>
      </c>
      <c r="B869" t="s">
        <v>31</v>
      </c>
      <c r="C869" t="s">
        <v>32</v>
      </c>
      <c r="D869" t="s">
        <v>18</v>
      </c>
      <c r="E869" t="s">
        <v>19</v>
      </c>
      <c r="F869">
        <v>182</v>
      </c>
      <c r="G869">
        <v>11</v>
      </c>
      <c r="H869">
        <v>39</v>
      </c>
      <c r="I869">
        <v>154</v>
      </c>
      <c r="J869">
        <v>43</v>
      </c>
      <c r="K869">
        <v>4</v>
      </c>
    </row>
    <row r="870" spans="1:11" x14ac:dyDescent="0.35">
      <c r="A870" t="s">
        <v>69</v>
      </c>
      <c r="B870" t="s">
        <v>31</v>
      </c>
      <c r="C870" t="s">
        <v>38</v>
      </c>
      <c r="D870" t="s">
        <v>20</v>
      </c>
      <c r="E870" t="s">
        <v>21</v>
      </c>
      <c r="F870">
        <v>93</v>
      </c>
      <c r="G870">
        <v>33</v>
      </c>
      <c r="H870">
        <v>42</v>
      </c>
      <c r="I870">
        <v>84</v>
      </c>
      <c r="J870">
        <v>54</v>
      </c>
      <c r="K870">
        <v>4</v>
      </c>
    </row>
    <row r="871" spans="1:11" x14ac:dyDescent="0.35">
      <c r="A871" t="s">
        <v>69</v>
      </c>
      <c r="B871" t="s">
        <v>31</v>
      </c>
      <c r="C871" t="s">
        <v>32</v>
      </c>
      <c r="D871" t="s">
        <v>22</v>
      </c>
      <c r="E871" t="s">
        <v>23</v>
      </c>
      <c r="F871">
        <v>775</v>
      </c>
      <c r="G871">
        <v>4</v>
      </c>
      <c r="H871">
        <v>18</v>
      </c>
      <c r="I871">
        <v>761</v>
      </c>
      <c r="J871">
        <v>32</v>
      </c>
      <c r="K871">
        <v>2</v>
      </c>
    </row>
    <row r="872" spans="1:11" x14ac:dyDescent="0.35">
      <c r="A872" t="s">
        <v>69</v>
      </c>
      <c r="B872" t="s">
        <v>33</v>
      </c>
      <c r="C872" t="s">
        <v>34</v>
      </c>
      <c r="D872" t="s">
        <v>14</v>
      </c>
      <c r="E872" t="s">
        <v>15</v>
      </c>
      <c r="F872">
        <v>242</v>
      </c>
      <c r="G872">
        <v>44</v>
      </c>
      <c r="H872">
        <v>33</v>
      </c>
      <c r="I872">
        <v>253</v>
      </c>
      <c r="J872">
        <v>37</v>
      </c>
      <c r="K872">
        <v>4</v>
      </c>
    </row>
    <row r="873" spans="1:11" x14ac:dyDescent="0.35">
      <c r="A873" t="s">
        <v>69</v>
      </c>
      <c r="B873" t="s">
        <v>33</v>
      </c>
      <c r="C873" t="s">
        <v>34</v>
      </c>
      <c r="D873" t="s">
        <v>16</v>
      </c>
      <c r="E873" t="s">
        <v>17</v>
      </c>
      <c r="F873">
        <v>224</v>
      </c>
      <c r="G873">
        <v>51</v>
      </c>
      <c r="H873">
        <v>9</v>
      </c>
      <c r="I873">
        <v>266</v>
      </c>
      <c r="J873">
        <v>12</v>
      </c>
      <c r="K873">
        <v>3</v>
      </c>
    </row>
    <row r="874" spans="1:11" x14ac:dyDescent="0.35">
      <c r="A874" t="s">
        <v>69</v>
      </c>
      <c r="B874" t="s">
        <v>33</v>
      </c>
      <c r="C874" t="s">
        <v>34</v>
      </c>
      <c r="D874" t="s">
        <v>18</v>
      </c>
      <c r="E874" t="s">
        <v>19</v>
      </c>
      <c r="F874">
        <v>113</v>
      </c>
      <c r="G874">
        <v>6</v>
      </c>
      <c r="H874">
        <v>36</v>
      </c>
      <c r="I874">
        <v>83</v>
      </c>
      <c r="J874">
        <v>46</v>
      </c>
      <c r="K874">
        <v>4</v>
      </c>
    </row>
    <row r="875" spans="1:11" x14ac:dyDescent="0.35">
      <c r="A875" t="s">
        <v>69</v>
      </c>
      <c r="B875" t="s">
        <v>33</v>
      </c>
      <c r="C875" t="s">
        <v>34</v>
      </c>
      <c r="D875" t="s">
        <v>20</v>
      </c>
      <c r="E875" t="s">
        <v>21</v>
      </c>
      <c r="F875">
        <v>324</v>
      </c>
      <c r="G875">
        <v>45</v>
      </c>
      <c r="H875">
        <v>32</v>
      </c>
      <c r="I875">
        <v>337</v>
      </c>
      <c r="J875">
        <v>35</v>
      </c>
      <c r="K875">
        <v>2</v>
      </c>
    </row>
    <row r="876" spans="1:11" x14ac:dyDescent="0.35">
      <c r="A876" t="s">
        <v>69</v>
      </c>
      <c r="B876" t="s">
        <v>33</v>
      </c>
      <c r="C876" t="s">
        <v>34</v>
      </c>
      <c r="D876" t="s">
        <v>22</v>
      </c>
      <c r="E876" t="s">
        <v>23</v>
      </c>
      <c r="F876">
        <v>545</v>
      </c>
      <c r="G876">
        <v>52</v>
      </c>
      <c r="H876">
        <v>6</v>
      </c>
      <c r="I876">
        <v>591</v>
      </c>
      <c r="J876">
        <v>13</v>
      </c>
      <c r="K876">
        <v>3</v>
      </c>
    </row>
    <row r="877" spans="1:11" x14ac:dyDescent="0.35">
      <c r="A877" t="s">
        <v>70</v>
      </c>
      <c r="B877" t="s">
        <v>12</v>
      </c>
      <c r="C877" t="s">
        <v>13</v>
      </c>
      <c r="D877" t="s">
        <v>14</v>
      </c>
      <c r="E877" t="s">
        <v>15</v>
      </c>
      <c r="F877">
        <v>565</v>
      </c>
      <c r="G877">
        <v>3</v>
      </c>
      <c r="H877">
        <v>18</v>
      </c>
      <c r="I877">
        <v>550</v>
      </c>
      <c r="J877">
        <v>27</v>
      </c>
      <c r="K877">
        <v>3</v>
      </c>
    </row>
    <row r="878" spans="1:11" x14ac:dyDescent="0.35">
      <c r="A878" t="s">
        <v>70</v>
      </c>
      <c r="B878" t="s">
        <v>12</v>
      </c>
      <c r="C878" t="s">
        <v>13</v>
      </c>
      <c r="D878" t="s">
        <v>16</v>
      </c>
      <c r="E878" t="s">
        <v>17</v>
      </c>
      <c r="F878">
        <v>348</v>
      </c>
      <c r="G878">
        <v>3</v>
      </c>
      <c r="H878">
        <v>10</v>
      </c>
      <c r="I878">
        <v>341</v>
      </c>
      <c r="J878">
        <v>24</v>
      </c>
      <c r="K878">
        <v>4</v>
      </c>
    </row>
    <row r="879" spans="1:11" x14ac:dyDescent="0.35">
      <c r="A879" t="s">
        <v>70</v>
      </c>
      <c r="B879" t="s">
        <v>12</v>
      </c>
      <c r="C879" t="s">
        <v>13</v>
      </c>
      <c r="D879" t="s">
        <v>18</v>
      </c>
      <c r="E879" t="s">
        <v>19</v>
      </c>
      <c r="F879">
        <v>156</v>
      </c>
      <c r="G879">
        <v>48</v>
      </c>
      <c r="H879">
        <v>23</v>
      </c>
      <c r="I879">
        <v>181</v>
      </c>
      <c r="J879">
        <v>24</v>
      </c>
      <c r="K879">
        <v>4</v>
      </c>
    </row>
    <row r="880" spans="1:11" x14ac:dyDescent="0.35">
      <c r="A880" t="s">
        <v>70</v>
      </c>
      <c r="B880" t="s">
        <v>12</v>
      </c>
      <c r="C880" t="s">
        <v>13</v>
      </c>
      <c r="D880" t="s">
        <v>20</v>
      </c>
      <c r="E880" t="s">
        <v>21</v>
      </c>
      <c r="F880">
        <v>30</v>
      </c>
      <c r="G880">
        <v>25</v>
      </c>
      <c r="H880">
        <v>22</v>
      </c>
      <c r="I880">
        <v>33</v>
      </c>
      <c r="J880">
        <v>34</v>
      </c>
      <c r="K880">
        <v>5</v>
      </c>
    </row>
    <row r="881" spans="1:11" x14ac:dyDescent="0.35">
      <c r="A881" t="s">
        <v>70</v>
      </c>
      <c r="B881" t="s">
        <v>12</v>
      </c>
      <c r="C881" t="s">
        <v>13</v>
      </c>
      <c r="D881" t="s">
        <v>22</v>
      </c>
      <c r="E881" t="s">
        <v>23</v>
      </c>
      <c r="F881">
        <v>565</v>
      </c>
      <c r="G881">
        <v>18</v>
      </c>
      <c r="H881">
        <v>9</v>
      </c>
      <c r="I881">
        <v>574</v>
      </c>
      <c r="J881">
        <v>12</v>
      </c>
      <c r="K881">
        <v>3</v>
      </c>
    </row>
    <row r="882" spans="1:11" x14ac:dyDescent="0.35">
      <c r="A882" t="s">
        <v>70</v>
      </c>
      <c r="B882" t="s">
        <v>12</v>
      </c>
      <c r="C882" t="s">
        <v>24</v>
      </c>
      <c r="D882" t="s">
        <v>14</v>
      </c>
      <c r="E882" t="s">
        <v>15</v>
      </c>
      <c r="F882">
        <v>332</v>
      </c>
      <c r="G882">
        <v>45</v>
      </c>
      <c r="H882">
        <v>9</v>
      </c>
      <c r="I882">
        <v>368</v>
      </c>
      <c r="J882">
        <v>17</v>
      </c>
      <c r="K882">
        <v>5</v>
      </c>
    </row>
    <row r="883" spans="1:11" x14ac:dyDescent="0.35">
      <c r="A883" t="s">
        <v>70</v>
      </c>
      <c r="B883" t="s">
        <v>12</v>
      </c>
      <c r="C883" t="s">
        <v>24</v>
      </c>
      <c r="D883" t="s">
        <v>16</v>
      </c>
      <c r="E883" t="s">
        <v>17</v>
      </c>
      <c r="F883">
        <v>210</v>
      </c>
      <c r="G883">
        <v>42</v>
      </c>
      <c r="H883">
        <v>9</v>
      </c>
      <c r="I883">
        <v>243</v>
      </c>
      <c r="J883">
        <v>14</v>
      </c>
      <c r="K883">
        <v>5</v>
      </c>
    </row>
    <row r="884" spans="1:11" x14ac:dyDescent="0.35">
      <c r="A884" t="s">
        <v>70</v>
      </c>
      <c r="B884" t="s">
        <v>12</v>
      </c>
      <c r="C884" t="s">
        <v>24</v>
      </c>
      <c r="D884" t="s">
        <v>18</v>
      </c>
      <c r="E884" t="s">
        <v>19</v>
      </c>
      <c r="F884">
        <v>149</v>
      </c>
      <c r="G884">
        <v>9</v>
      </c>
      <c r="H884">
        <v>33</v>
      </c>
      <c r="I884">
        <v>125</v>
      </c>
      <c r="J884">
        <v>42</v>
      </c>
      <c r="K884">
        <v>5</v>
      </c>
    </row>
    <row r="885" spans="1:11" x14ac:dyDescent="0.35">
      <c r="A885" t="s">
        <v>70</v>
      </c>
      <c r="B885" t="s">
        <v>12</v>
      </c>
      <c r="C885" t="s">
        <v>24</v>
      </c>
      <c r="D885" t="s">
        <v>20</v>
      </c>
      <c r="E885" t="s">
        <v>21</v>
      </c>
      <c r="F885">
        <v>24</v>
      </c>
      <c r="G885">
        <v>20</v>
      </c>
      <c r="H885">
        <v>25</v>
      </c>
      <c r="I885">
        <v>19</v>
      </c>
      <c r="J885">
        <v>31</v>
      </c>
      <c r="K885">
        <v>3</v>
      </c>
    </row>
    <row r="886" spans="1:11" x14ac:dyDescent="0.35">
      <c r="A886" t="s">
        <v>70</v>
      </c>
      <c r="B886" t="s">
        <v>12</v>
      </c>
      <c r="C886" t="s">
        <v>24</v>
      </c>
      <c r="D886" t="s">
        <v>22</v>
      </c>
      <c r="E886" t="s">
        <v>23</v>
      </c>
      <c r="F886">
        <v>554</v>
      </c>
      <c r="G886">
        <v>54</v>
      </c>
      <c r="H886">
        <v>8</v>
      </c>
      <c r="I886">
        <v>600</v>
      </c>
      <c r="J886">
        <v>14</v>
      </c>
      <c r="K886">
        <v>1</v>
      </c>
    </row>
    <row r="887" spans="1:11" x14ac:dyDescent="0.35">
      <c r="A887" t="s">
        <v>70</v>
      </c>
      <c r="B887" t="s">
        <v>12</v>
      </c>
      <c r="C887" t="s">
        <v>25</v>
      </c>
      <c r="D887" t="s">
        <v>14</v>
      </c>
      <c r="E887" t="s">
        <v>15</v>
      </c>
      <c r="F887">
        <v>300</v>
      </c>
      <c r="G887">
        <v>37</v>
      </c>
      <c r="H887">
        <v>10</v>
      </c>
      <c r="I887">
        <v>327</v>
      </c>
      <c r="J887">
        <v>24</v>
      </c>
      <c r="K887">
        <v>3</v>
      </c>
    </row>
    <row r="888" spans="1:11" x14ac:dyDescent="0.35">
      <c r="A888" t="s">
        <v>70</v>
      </c>
      <c r="B888" t="s">
        <v>12</v>
      </c>
      <c r="C888" t="s">
        <v>25</v>
      </c>
      <c r="D888" t="s">
        <v>16</v>
      </c>
      <c r="E888" t="s">
        <v>17</v>
      </c>
      <c r="F888">
        <v>254</v>
      </c>
      <c r="G888">
        <v>20</v>
      </c>
      <c r="H888">
        <v>11</v>
      </c>
      <c r="I888">
        <v>263</v>
      </c>
      <c r="J888">
        <v>11</v>
      </c>
      <c r="K888">
        <v>3</v>
      </c>
    </row>
    <row r="889" spans="1:11" x14ac:dyDescent="0.35">
      <c r="A889" t="s">
        <v>70</v>
      </c>
      <c r="B889" t="s">
        <v>12</v>
      </c>
      <c r="C889" t="s">
        <v>25</v>
      </c>
      <c r="D889" t="s">
        <v>18</v>
      </c>
      <c r="E889" t="s">
        <v>19</v>
      </c>
      <c r="F889">
        <v>87</v>
      </c>
      <c r="G889">
        <v>11</v>
      </c>
      <c r="H889">
        <v>21</v>
      </c>
      <c r="I889">
        <v>77</v>
      </c>
      <c r="J889">
        <v>36</v>
      </c>
      <c r="K889">
        <v>1</v>
      </c>
    </row>
    <row r="890" spans="1:11" x14ac:dyDescent="0.35">
      <c r="A890" t="s">
        <v>70</v>
      </c>
      <c r="B890" t="s">
        <v>12</v>
      </c>
      <c r="C890" t="s">
        <v>25</v>
      </c>
      <c r="D890" t="s">
        <v>20</v>
      </c>
      <c r="E890" t="s">
        <v>21</v>
      </c>
      <c r="F890">
        <v>136</v>
      </c>
      <c r="G890">
        <v>45</v>
      </c>
      <c r="H890">
        <v>46</v>
      </c>
      <c r="I890">
        <v>135</v>
      </c>
      <c r="J890">
        <v>48</v>
      </c>
      <c r="K890">
        <v>3</v>
      </c>
    </row>
    <row r="891" spans="1:11" x14ac:dyDescent="0.35">
      <c r="A891" t="s">
        <v>70</v>
      </c>
      <c r="B891" t="s">
        <v>45</v>
      </c>
      <c r="C891" t="s">
        <v>25</v>
      </c>
      <c r="D891" t="s">
        <v>22</v>
      </c>
      <c r="E891" t="s">
        <v>23</v>
      </c>
      <c r="F891">
        <v>670</v>
      </c>
      <c r="G891">
        <v>27</v>
      </c>
      <c r="H891">
        <v>9</v>
      </c>
      <c r="I891">
        <v>688</v>
      </c>
      <c r="J891">
        <v>21</v>
      </c>
      <c r="K891">
        <v>2</v>
      </c>
    </row>
    <row r="892" spans="1:11" x14ac:dyDescent="0.35">
      <c r="A892" t="s">
        <v>70</v>
      </c>
      <c r="B892" t="s">
        <v>26</v>
      </c>
      <c r="C892" t="s">
        <v>27</v>
      </c>
      <c r="D892" t="s">
        <v>14</v>
      </c>
      <c r="E892" t="s">
        <v>15</v>
      </c>
      <c r="F892">
        <v>585</v>
      </c>
      <c r="G892">
        <v>18</v>
      </c>
      <c r="H892">
        <v>19</v>
      </c>
      <c r="I892">
        <v>584</v>
      </c>
      <c r="J892">
        <v>27</v>
      </c>
      <c r="K892">
        <v>1</v>
      </c>
    </row>
    <row r="893" spans="1:11" x14ac:dyDescent="0.35">
      <c r="A893" t="s">
        <v>70</v>
      </c>
      <c r="B893" t="s">
        <v>26</v>
      </c>
      <c r="C893" t="s">
        <v>27</v>
      </c>
      <c r="D893" t="s">
        <v>16</v>
      </c>
      <c r="E893" t="s">
        <v>17</v>
      </c>
      <c r="F893">
        <v>397</v>
      </c>
      <c r="G893">
        <v>30</v>
      </c>
      <c r="H893">
        <v>16</v>
      </c>
      <c r="I893">
        <v>411</v>
      </c>
      <c r="J893">
        <v>30</v>
      </c>
      <c r="K893">
        <v>3</v>
      </c>
    </row>
    <row r="894" spans="1:11" x14ac:dyDescent="0.35">
      <c r="A894" t="s">
        <v>70</v>
      </c>
      <c r="B894" t="s">
        <v>26</v>
      </c>
      <c r="C894" t="s">
        <v>27</v>
      </c>
      <c r="D894" t="s">
        <v>18</v>
      </c>
      <c r="E894" t="s">
        <v>19</v>
      </c>
      <c r="F894">
        <v>36</v>
      </c>
      <c r="G894">
        <v>35</v>
      </c>
      <c r="H894">
        <v>34</v>
      </c>
      <c r="I894">
        <v>37</v>
      </c>
      <c r="J894">
        <v>36</v>
      </c>
      <c r="K894">
        <v>3</v>
      </c>
    </row>
    <row r="895" spans="1:11" x14ac:dyDescent="0.35">
      <c r="A895" t="s">
        <v>70</v>
      </c>
      <c r="B895" t="s">
        <v>26</v>
      </c>
      <c r="C895" t="s">
        <v>27</v>
      </c>
      <c r="D895" t="s">
        <v>20</v>
      </c>
      <c r="E895" t="s">
        <v>21</v>
      </c>
      <c r="F895">
        <v>276</v>
      </c>
      <c r="G895">
        <v>28</v>
      </c>
      <c r="H895">
        <v>22</v>
      </c>
      <c r="I895">
        <v>282</v>
      </c>
      <c r="J895">
        <v>36</v>
      </c>
      <c r="K895">
        <v>4</v>
      </c>
    </row>
    <row r="896" spans="1:11" x14ac:dyDescent="0.35">
      <c r="A896" t="s">
        <v>70</v>
      </c>
      <c r="B896" t="s">
        <v>26</v>
      </c>
      <c r="C896" t="s">
        <v>27</v>
      </c>
      <c r="D896" t="s">
        <v>22</v>
      </c>
      <c r="E896" t="s">
        <v>23</v>
      </c>
      <c r="F896">
        <v>428</v>
      </c>
      <c r="G896">
        <v>41</v>
      </c>
      <c r="H896">
        <v>4</v>
      </c>
      <c r="I896">
        <v>465</v>
      </c>
      <c r="J896">
        <v>17</v>
      </c>
      <c r="K896">
        <v>4</v>
      </c>
    </row>
    <row r="897" spans="1:11" x14ac:dyDescent="0.35">
      <c r="A897" t="s">
        <v>70</v>
      </c>
      <c r="B897" t="s">
        <v>28</v>
      </c>
      <c r="C897" t="s">
        <v>29</v>
      </c>
      <c r="D897" t="s">
        <v>14</v>
      </c>
      <c r="E897" t="s">
        <v>15</v>
      </c>
      <c r="F897">
        <v>397</v>
      </c>
      <c r="G897">
        <v>45</v>
      </c>
      <c r="H897">
        <v>13</v>
      </c>
      <c r="I897">
        <v>429</v>
      </c>
      <c r="J897">
        <v>27</v>
      </c>
      <c r="K897">
        <v>5</v>
      </c>
    </row>
    <row r="898" spans="1:11" x14ac:dyDescent="0.35">
      <c r="A898" t="s">
        <v>70</v>
      </c>
      <c r="B898" t="s">
        <v>28</v>
      </c>
      <c r="C898" t="s">
        <v>29</v>
      </c>
      <c r="D898" t="s">
        <v>16</v>
      </c>
      <c r="E898" t="s">
        <v>17</v>
      </c>
      <c r="F898">
        <v>430</v>
      </c>
      <c r="G898">
        <v>32</v>
      </c>
      <c r="H898">
        <v>33</v>
      </c>
      <c r="I898">
        <v>429</v>
      </c>
      <c r="J898">
        <v>42</v>
      </c>
      <c r="K898">
        <v>4</v>
      </c>
    </row>
    <row r="899" spans="1:11" x14ac:dyDescent="0.35">
      <c r="A899" t="s">
        <v>70</v>
      </c>
      <c r="B899" t="s">
        <v>28</v>
      </c>
      <c r="C899" t="s">
        <v>29</v>
      </c>
      <c r="D899" t="s">
        <v>18</v>
      </c>
      <c r="E899" t="s">
        <v>19</v>
      </c>
      <c r="F899">
        <v>112</v>
      </c>
      <c r="G899">
        <v>39</v>
      </c>
      <c r="H899">
        <v>27</v>
      </c>
      <c r="I899">
        <v>124</v>
      </c>
      <c r="J899">
        <v>40</v>
      </c>
      <c r="K899">
        <v>2</v>
      </c>
    </row>
    <row r="900" spans="1:11" x14ac:dyDescent="0.35">
      <c r="A900" t="s">
        <v>70</v>
      </c>
      <c r="B900" t="s">
        <v>28</v>
      </c>
      <c r="C900" t="s">
        <v>29</v>
      </c>
      <c r="D900" t="s">
        <v>20</v>
      </c>
      <c r="E900" t="s">
        <v>21</v>
      </c>
      <c r="F900">
        <v>26</v>
      </c>
      <c r="G900">
        <v>46</v>
      </c>
      <c r="H900">
        <v>18</v>
      </c>
      <c r="I900">
        <v>54</v>
      </c>
      <c r="J900">
        <v>18</v>
      </c>
      <c r="K900">
        <v>1</v>
      </c>
    </row>
    <row r="901" spans="1:11" x14ac:dyDescent="0.35">
      <c r="A901" t="s">
        <v>70</v>
      </c>
      <c r="B901" t="s">
        <v>28</v>
      </c>
      <c r="C901" t="s">
        <v>29</v>
      </c>
      <c r="D901" t="s">
        <v>22</v>
      </c>
      <c r="E901" t="s">
        <v>23</v>
      </c>
      <c r="F901">
        <v>796</v>
      </c>
      <c r="G901">
        <v>1</v>
      </c>
      <c r="H901">
        <v>15</v>
      </c>
      <c r="I901">
        <v>782</v>
      </c>
      <c r="J901">
        <v>25</v>
      </c>
      <c r="K901">
        <v>4</v>
      </c>
    </row>
    <row r="902" spans="1:11" x14ac:dyDescent="0.35">
      <c r="A902" t="s">
        <v>70</v>
      </c>
      <c r="B902" t="s">
        <v>31</v>
      </c>
      <c r="C902" t="s">
        <v>32</v>
      </c>
      <c r="D902" t="s">
        <v>14</v>
      </c>
      <c r="E902" t="s">
        <v>15</v>
      </c>
      <c r="F902">
        <v>421</v>
      </c>
      <c r="G902">
        <v>3</v>
      </c>
      <c r="H902">
        <v>15</v>
      </c>
      <c r="I902">
        <v>409</v>
      </c>
      <c r="J902">
        <v>26</v>
      </c>
      <c r="K902">
        <v>2</v>
      </c>
    </row>
    <row r="903" spans="1:11" x14ac:dyDescent="0.35">
      <c r="A903" t="s">
        <v>70</v>
      </c>
      <c r="B903" t="s">
        <v>31</v>
      </c>
      <c r="C903" t="s">
        <v>32</v>
      </c>
      <c r="D903" t="s">
        <v>16</v>
      </c>
      <c r="E903" t="s">
        <v>17</v>
      </c>
      <c r="F903">
        <v>413</v>
      </c>
      <c r="G903">
        <v>17</v>
      </c>
      <c r="H903">
        <v>30</v>
      </c>
      <c r="I903">
        <v>400</v>
      </c>
      <c r="J903">
        <v>34</v>
      </c>
      <c r="K903">
        <v>3</v>
      </c>
    </row>
    <row r="904" spans="1:11" x14ac:dyDescent="0.35">
      <c r="A904" t="s">
        <v>70</v>
      </c>
      <c r="B904" t="s">
        <v>31</v>
      </c>
      <c r="C904" t="s">
        <v>32</v>
      </c>
      <c r="D904" t="s">
        <v>18</v>
      </c>
      <c r="E904" t="s">
        <v>19</v>
      </c>
      <c r="F904">
        <v>154</v>
      </c>
      <c r="G904">
        <v>51</v>
      </c>
      <c r="H904">
        <v>38</v>
      </c>
      <c r="I904">
        <v>167</v>
      </c>
      <c r="J904">
        <v>49</v>
      </c>
      <c r="K904">
        <v>5</v>
      </c>
    </row>
    <row r="905" spans="1:11" x14ac:dyDescent="0.35">
      <c r="A905" t="s">
        <v>70</v>
      </c>
      <c r="B905" t="s">
        <v>31</v>
      </c>
      <c r="C905" t="s">
        <v>32</v>
      </c>
      <c r="D905" t="s">
        <v>20</v>
      </c>
      <c r="E905" t="s">
        <v>21</v>
      </c>
      <c r="F905">
        <v>84</v>
      </c>
      <c r="G905">
        <v>6</v>
      </c>
      <c r="H905">
        <v>47</v>
      </c>
      <c r="I905">
        <v>43</v>
      </c>
      <c r="J905">
        <v>50</v>
      </c>
      <c r="K905">
        <v>4</v>
      </c>
    </row>
    <row r="906" spans="1:11" x14ac:dyDescent="0.35">
      <c r="A906" t="s">
        <v>70</v>
      </c>
      <c r="B906" t="s">
        <v>31</v>
      </c>
      <c r="C906" t="s">
        <v>32</v>
      </c>
      <c r="D906" t="s">
        <v>22</v>
      </c>
      <c r="E906" t="s">
        <v>23</v>
      </c>
      <c r="F906">
        <v>761</v>
      </c>
      <c r="G906">
        <v>49</v>
      </c>
      <c r="H906">
        <v>7</v>
      </c>
      <c r="I906">
        <v>803</v>
      </c>
      <c r="J906">
        <v>15</v>
      </c>
      <c r="K906">
        <v>4</v>
      </c>
    </row>
    <row r="907" spans="1:11" x14ac:dyDescent="0.35">
      <c r="A907" t="s">
        <v>70</v>
      </c>
      <c r="B907" t="s">
        <v>33</v>
      </c>
      <c r="C907" t="s">
        <v>34</v>
      </c>
      <c r="D907" t="s">
        <v>14</v>
      </c>
      <c r="E907" t="s">
        <v>15</v>
      </c>
      <c r="F907">
        <v>253</v>
      </c>
      <c r="G907">
        <v>8</v>
      </c>
      <c r="H907">
        <v>23</v>
      </c>
      <c r="I907">
        <v>238</v>
      </c>
      <c r="J907">
        <v>25</v>
      </c>
      <c r="K907">
        <v>5</v>
      </c>
    </row>
    <row r="908" spans="1:11" x14ac:dyDescent="0.35">
      <c r="A908" t="s">
        <v>70</v>
      </c>
      <c r="B908" t="s">
        <v>33</v>
      </c>
      <c r="C908" t="s">
        <v>34</v>
      </c>
      <c r="D908" t="s">
        <v>16</v>
      </c>
      <c r="E908" t="s">
        <v>17</v>
      </c>
      <c r="F908">
        <v>266</v>
      </c>
      <c r="G908">
        <v>19</v>
      </c>
      <c r="H908">
        <v>8</v>
      </c>
      <c r="I908">
        <v>277</v>
      </c>
      <c r="J908">
        <v>23</v>
      </c>
      <c r="K908">
        <v>2</v>
      </c>
    </row>
    <row r="909" spans="1:11" x14ac:dyDescent="0.35">
      <c r="A909" t="s">
        <v>70</v>
      </c>
      <c r="B909" t="s">
        <v>33</v>
      </c>
      <c r="C909" t="s">
        <v>34</v>
      </c>
      <c r="D909" t="s">
        <v>18</v>
      </c>
      <c r="E909" t="s">
        <v>19</v>
      </c>
      <c r="F909">
        <v>83</v>
      </c>
      <c r="G909">
        <v>42</v>
      </c>
      <c r="H909">
        <v>20</v>
      </c>
      <c r="I909">
        <v>105</v>
      </c>
      <c r="J909">
        <v>23</v>
      </c>
      <c r="K909">
        <v>2</v>
      </c>
    </row>
    <row r="910" spans="1:11" x14ac:dyDescent="0.35">
      <c r="A910" t="s">
        <v>70</v>
      </c>
      <c r="B910" t="s">
        <v>33</v>
      </c>
      <c r="C910" t="s">
        <v>34</v>
      </c>
      <c r="D910" t="s">
        <v>20</v>
      </c>
      <c r="E910" t="s">
        <v>21</v>
      </c>
      <c r="F910">
        <v>337</v>
      </c>
      <c r="G910">
        <v>36</v>
      </c>
      <c r="H910">
        <v>34</v>
      </c>
      <c r="I910">
        <v>339</v>
      </c>
      <c r="J910">
        <v>36</v>
      </c>
      <c r="K910">
        <v>1</v>
      </c>
    </row>
    <row r="911" spans="1:11" x14ac:dyDescent="0.35">
      <c r="A911" t="s">
        <v>70</v>
      </c>
      <c r="B911" t="s">
        <v>33</v>
      </c>
      <c r="C911" t="s">
        <v>34</v>
      </c>
      <c r="D911" t="s">
        <v>22</v>
      </c>
      <c r="E911" t="s">
        <v>23</v>
      </c>
      <c r="F911">
        <v>591</v>
      </c>
      <c r="G911">
        <v>30</v>
      </c>
      <c r="H911">
        <v>14</v>
      </c>
      <c r="I911">
        <v>607</v>
      </c>
      <c r="J911">
        <v>25</v>
      </c>
      <c r="K911">
        <v>1</v>
      </c>
    </row>
    <row r="912" spans="1:11" x14ac:dyDescent="0.35">
      <c r="A912" t="s">
        <v>71</v>
      </c>
      <c r="B912" t="s">
        <v>12</v>
      </c>
      <c r="C912" t="s">
        <v>13</v>
      </c>
      <c r="D912" t="s">
        <v>14</v>
      </c>
      <c r="E912" t="s">
        <v>15</v>
      </c>
      <c r="F912">
        <v>550</v>
      </c>
      <c r="G912">
        <v>23</v>
      </c>
      <c r="H912">
        <v>13</v>
      </c>
      <c r="I912">
        <v>560</v>
      </c>
      <c r="J912">
        <v>28</v>
      </c>
      <c r="K912">
        <v>5</v>
      </c>
    </row>
    <row r="913" spans="1:11" x14ac:dyDescent="0.35">
      <c r="A913" t="s">
        <v>71</v>
      </c>
      <c r="B913" t="s">
        <v>12</v>
      </c>
      <c r="C913" t="s">
        <v>13</v>
      </c>
      <c r="D913" t="s">
        <v>16</v>
      </c>
      <c r="E913" t="s">
        <v>17</v>
      </c>
      <c r="F913">
        <v>341</v>
      </c>
      <c r="G913">
        <v>12</v>
      </c>
      <c r="H913">
        <v>15</v>
      </c>
      <c r="I913">
        <v>338</v>
      </c>
      <c r="J913">
        <v>17</v>
      </c>
      <c r="K913">
        <v>5</v>
      </c>
    </row>
    <row r="914" spans="1:11" x14ac:dyDescent="0.35">
      <c r="A914" t="s">
        <v>71</v>
      </c>
      <c r="B914" t="s">
        <v>12</v>
      </c>
      <c r="C914" t="s">
        <v>36</v>
      </c>
      <c r="D914" t="s">
        <v>18</v>
      </c>
      <c r="E914" t="s">
        <v>19</v>
      </c>
      <c r="F914">
        <v>181</v>
      </c>
      <c r="G914">
        <v>10</v>
      </c>
      <c r="H914">
        <v>48</v>
      </c>
      <c r="I914">
        <v>143</v>
      </c>
      <c r="J914">
        <v>53</v>
      </c>
      <c r="K914">
        <v>4</v>
      </c>
    </row>
    <row r="915" spans="1:11" x14ac:dyDescent="0.35">
      <c r="A915" t="s">
        <v>71</v>
      </c>
      <c r="B915" t="s">
        <v>12</v>
      </c>
      <c r="C915" t="s">
        <v>13</v>
      </c>
      <c r="D915" t="s">
        <v>20</v>
      </c>
      <c r="E915" t="s">
        <v>21</v>
      </c>
      <c r="F915">
        <v>33</v>
      </c>
      <c r="G915">
        <v>8</v>
      </c>
      <c r="H915">
        <v>46</v>
      </c>
      <c r="I915">
        <v>16</v>
      </c>
      <c r="J915">
        <v>46</v>
      </c>
      <c r="K915">
        <v>1</v>
      </c>
    </row>
    <row r="916" spans="1:11" x14ac:dyDescent="0.35">
      <c r="A916" t="s">
        <v>71</v>
      </c>
      <c r="B916" t="s">
        <v>12</v>
      </c>
      <c r="C916" t="s">
        <v>13</v>
      </c>
      <c r="D916" t="s">
        <v>22</v>
      </c>
      <c r="E916" t="s">
        <v>23</v>
      </c>
      <c r="F916">
        <v>574</v>
      </c>
      <c r="G916">
        <v>10</v>
      </c>
      <c r="H916">
        <v>7</v>
      </c>
      <c r="I916">
        <v>577</v>
      </c>
      <c r="J916">
        <v>19</v>
      </c>
      <c r="K916">
        <v>4</v>
      </c>
    </row>
    <row r="917" spans="1:11" x14ac:dyDescent="0.35">
      <c r="A917" t="s">
        <v>71</v>
      </c>
      <c r="B917" t="s">
        <v>12</v>
      </c>
      <c r="C917" t="s">
        <v>24</v>
      </c>
      <c r="D917" t="s">
        <v>14</v>
      </c>
      <c r="E917" t="s">
        <v>15</v>
      </c>
      <c r="F917">
        <v>368</v>
      </c>
      <c r="G917">
        <v>25</v>
      </c>
      <c r="H917">
        <v>24</v>
      </c>
      <c r="I917">
        <v>369</v>
      </c>
      <c r="J917">
        <v>24</v>
      </c>
      <c r="K917">
        <v>1</v>
      </c>
    </row>
    <row r="918" spans="1:11" x14ac:dyDescent="0.35">
      <c r="A918" t="s">
        <v>71</v>
      </c>
      <c r="B918" t="s">
        <v>12</v>
      </c>
      <c r="C918" t="s">
        <v>24</v>
      </c>
      <c r="D918" t="s">
        <v>16</v>
      </c>
      <c r="E918" t="s">
        <v>17</v>
      </c>
      <c r="F918">
        <v>243</v>
      </c>
      <c r="G918">
        <v>33</v>
      </c>
      <c r="H918">
        <v>26</v>
      </c>
      <c r="I918">
        <v>250</v>
      </c>
      <c r="J918">
        <v>31</v>
      </c>
      <c r="K918">
        <v>5</v>
      </c>
    </row>
    <row r="919" spans="1:11" x14ac:dyDescent="0.35">
      <c r="A919" t="s">
        <v>71</v>
      </c>
      <c r="B919" t="s">
        <v>12</v>
      </c>
      <c r="C919" t="s">
        <v>24</v>
      </c>
      <c r="D919" t="s">
        <v>18</v>
      </c>
      <c r="E919" t="s">
        <v>19</v>
      </c>
      <c r="F919">
        <v>125</v>
      </c>
      <c r="G919">
        <v>41</v>
      </c>
      <c r="H919">
        <v>22</v>
      </c>
      <c r="I919">
        <v>144</v>
      </c>
      <c r="J919">
        <v>24</v>
      </c>
      <c r="K919">
        <v>5</v>
      </c>
    </row>
    <row r="920" spans="1:11" x14ac:dyDescent="0.35">
      <c r="A920" t="s">
        <v>71</v>
      </c>
      <c r="B920" t="s">
        <v>12</v>
      </c>
      <c r="C920" t="s">
        <v>24</v>
      </c>
      <c r="D920" t="s">
        <v>20</v>
      </c>
      <c r="E920" t="s">
        <v>21</v>
      </c>
      <c r="F920">
        <v>19</v>
      </c>
      <c r="G920">
        <v>23</v>
      </c>
      <c r="H920">
        <v>34</v>
      </c>
      <c r="I920">
        <v>8</v>
      </c>
      <c r="J920">
        <v>46</v>
      </c>
      <c r="K920">
        <v>2</v>
      </c>
    </row>
    <row r="921" spans="1:11" x14ac:dyDescent="0.35">
      <c r="A921" t="s">
        <v>71</v>
      </c>
      <c r="B921" t="s">
        <v>12</v>
      </c>
      <c r="C921" t="s">
        <v>24</v>
      </c>
      <c r="D921" t="s">
        <v>22</v>
      </c>
      <c r="E921" t="s">
        <v>23</v>
      </c>
      <c r="F921">
        <v>600</v>
      </c>
      <c r="G921">
        <v>24</v>
      </c>
      <c r="H921">
        <v>16</v>
      </c>
      <c r="I921">
        <v>608</v>
      </c>
      <c r="J921">
        <v>24</v>
      </c>
      <c r="K921">
        <v>2</v>
      </c>
    </row>
    <row r="922" spans="1:11" x14ac:dyDescent="0.35">
      <c r="A922" t="s">
        <v>71</v>
      </c>
      <c r="B922" t="s">
        <v>12</v>
      </c>
      <c r="C922" t="s">
        <v>25</v>
      </c>
      <c r="D922" t="s">
        <v>14</v>
      </c>
      <c r="E922" t="s">
        <v>15</v>
      </c>
      <c r="F922">
        <v>327</v>
      </c>
      <c r="G922">
        <v>7</v>
      </c>
      <c r="H922">
        <v>33</v>
      </c>
      <c r="I922">
        <v>301</v>
      </c>
      <c r="J922">
        <v>46</v>
      </c>
      <c r="K922">
        <v>3</v>
      </c>
    </row>
    <row r="923" spans="1:11" x14ac:dyDescent="0.35">
      <c r="A923" t="s">
        <v>71</v>
      </c>
      <c r="B923" t="s">
        <v>12</v>
      </c>
      <c r="C923" t="s">
        <v>25</v>
      </c>
      <c r="D923" t="s">
        <v>16</v>
      </c>
      <c r="E923" t="s">
        <v>17</v>
      </c>
      <c r="F923">
        <v>263</v>
      </c>
      <c r="G923">
        <v>14</v>
      </c>
      <c r="H923">
        <v>34</v>
      </c>
      <c r="I923">
        <v>243</v>
      </c>
      <c r="J923">
        <v>36</v>
      </c>
      <c r="K923">
        <v>1</v>
      </c>
    </row>
    <row r="924" spans="1:11" x14ac:dyDescent="0.35">
      <c r="A924" t="s">
        <v>71</v>
      </c>
      <c r="B924" t="s">
        <v>12</v>
      </c>
      <c r="C924" t="s">
        <v>25</v>
      </c>
      <c r="D924" t="s">
        <v>18</v>
      </c>
      <c r="E924" t="s">
        <v>19</v>
      </c>
      <c r="F924">
        <v>77</v>
      </c>
      <c r="G924">
        <v>21</v>
      </c>
      <c r="H924">
        <v>36</v>
      </c>
      <c r="I924">
        <v>62</v>
      </c>
      <c r="J924">
        <v>36</v>
      </c>
      <c r="K924">
        <v>4</v>
      </c>
    </row>
    <row r="925" spans="1:11" x14ac:dyDescent="0.35">
      <c r="A925" t="s">
        <v>71</v>
      </c>
      <c r="B925" t="s">
        <v>12</v>
      </c>
      <c r="C925" t="s">
        <v>36</v>
      </c>
      <c r="D925" t="s">
        <v>20</v>
      </c>
      <c r="E925" t="s">
        <v>21</v>
      </c>
      <c r="F925">
        <v>135</v>
      </c>
      <c r="G925">
        <v>53</v>
      </c>
      <c r="H925">
        <v>40</v>
      </c>
      <c r="I925">
        <v>148</v>
      </c>
      <c r="J925">
        <v>50</v>
      </c>
      <c r="K925">
        <v>3</v>
      </c>
    </row>
    <row r="926" spans="1:11" x14ac:dyDescent="0.35">
      <c r="A926" t="s">
        <v>71</v>
      </c>
      <c r="B926" t="s">
        <v>12</v>
      </c>
      <c r="C926" t="s">
        <v>25</v>
      </c>
      <c r="D926" t="s">
        <v>22</v>
      </c>
      <c r="E926" t="s">
        <v>23</v>
      </c>
      <c r="F926">
        <v>688</v>
      </c>
      <c r="G926">
        <v>53</v>
      </c>
      <c r="H926">
        <v>8</v>
      </c>
      <c r="I926">
        <v>733</v>
      </c>
      <c r="J926">
        <v>19</v>
      </c>
      <c r="K926">
        <v>1</v>
      </c>
    </row>
    <row r="927" spans="1:11" x14ac:dyDescent="0.35">
      <c r="A927" t="s">
        <v>71</v>
      </c>
      <c r="B927" t="s">
        <v>26</v>
      </c>
      <c r="C927" t="s">
        <v>27</v>
      </c>
      <c r="D927" t="s">
        <v>14</v>
      </c>
      <c r="E927" t="s">
        <v>15</v>
      </c>
      <c r="F927">
        <v>584</v>
      </c>
      <c r="G927">
        <v>30</v>
      </c>
      <c r="H927">
        <v>16</v>
      </c>
      <c r="I927">
        <v>598</v>
      </c>
      <c r="J927">
        <v>16</v>
      </c>
      <c r="K927">
        <v>4</v>
      </c>
    </row>
    <row r="928" spans="1:11" x14ac:dyDescent="0.35">
      <c r="A928" t="s">
        <v>71</v>
      </c>
      <c r="B928" t="s">
        <v>26</v>
      </c>
      <c r="C928" t="s">
        <v>27</v>
      </c>
      <c r="D928" t="s">
        <v>16</v>
      </c>
      <c r="E928" t="s">
        <v>17</v>
      </c>
      <c r="F928">
        <v>411</v>
      </c>
      <c r="G928">
        <v>33</v>
      </c>
      <c r="H928">
        <v>33</v>
      </c>
      <c r="I928">
        <v>411</v>
      </c>
      <c r="J928">
        <v>41</v>
      </c>
      <c r="K928">
        <v>1</v>
      </c>
    </row>
    <row r="929" spans="1:11" x14ac:dyDescent="0.35">
      <c r="A929" t="s">
        <v>71</v>
      </c>
      <c r="B929" t="s">
        <v>26</v>
      </c>
      <c r="C929" t="s">
        <v>27</v>
      </c>
      <c r="D929" t="s">
        <v>18</v>
      </c>
      <c r="E929" t="s">
        <v>19</v>
      </c>
      <c r="F929">
        <v>37</v>
      </c>
      <c r="G929">
        <v>43</v>
      </c>
      <c r="H929">
        <v>23</v>
      </c>
      <c r="I929">
        <v>57</v>
      </c>
      <c r="J929">
        <v>32</v>
      </c>
      <c r="K929">
        <v>1</v>
      </c>
    </row>
    <row r="930" spans="1:11" x14ac:dyDescent="0.35">
      <c r="A930" t="s">
        <v>71</v>
      </c>
      <c r="B930" t="s">
        <v>26</v>
      </c>
      <c r="C930" t="s">
        <v>27</v>
      </c>
      <c r="D930" t="s">
        <v>20</v>
      </c>
      <c r="E930" t="s">
        <v>21</v>
      </c>
      <c r="F930">
        <v>282</v>
      </c>
      <c r="G930">
        <v>50</v>
      </c>
      <c r="H930">
        <v>43</v>
      </c>
      <c r="I930">
        <v>289</v>
      </c>
      <c r="J930">
        <v>44</v>
      </c>
      <c r="K930">
        <v>4</v>
      </c>
    </row>
    <row r="931" spans="1:11" x14ac:dyDescent="0.35">
      <c r="A931" t="s">
        <v>71</v>
      </c>
      <c r="B931" t="s">
        <v>26</v>
      </c>
      <c r="C931" t="s">
        <v>27</v>
      </c>
      <c r="D931" t="s">
        <v>22</v>
      </c>
      <c r="E931" t="s">
        <v>23</v>
      </c>
      <c r="F931">
        <v>465</v>
      </c>
      <c r="G931">
        <v>21</v>
      </c>
      <c r="H931">
        <v>9</v>
      </c>
      <c r="I931">
        <v>477</v>
      </c>
      <c r="J931">
        <v>9</v>
      </c>
      <c r="K931">
        <v>2</v>
      </c>
    </row>
    <row r="932" spans="1:11" x14ac:dyDescent="0.35">
      <c r="A932" t="s">
        <v>71</v>
      </c>
      <c r="B932" t="s">
        <v>28</v>
      </c>
      <c r="C932" t="s">
        <v>29</v>
      </c>
      <c r="D932" t="s">
        <v>14</v>
      </c>
      <c r="E932" t="s">
        <v>15</v>
      </c>
      <c r="F932">
        <v>429</v>
      </c>
      <c r="G932">
        <v>23</v>
      </c>
      <c r="H932">
        <v>25</v>
      </c>
      <c r="I932">
        <v>427</v>
      </c>
      <c r="J932">
        <v>26</v>
      </c>
      <c r="K932">
        <v>4</v>
      </c>
    </row>
    <row r="933" spans="1:11" x14ac:dyDescent="0.35">
      <c r="A933" t="s">
        <v>71</v>
      </c>
      <c r="B933" t="s">
        <v>28</v>
      </c>
      <c r="C933" t="s">
        <v>29</v>
      </c>
      <c r="D933" t="s">
        <v>16</v>
      </c>
      <c r="E933" t="s">
        <v>17</v>
      </c>
      <c r="F933">
        <v>429</v>
      </c>
      <c r="G933">
        <v>31</v>
      </c>
      <c r="H933">
        <v>28</v>
      </c>
      <c r="I933">
        <v>432</v>
      </c>
      <c r="J933">
        <v>37</v>
      </c>
      <c r="K933">
        <v>3</v>
      </c>
    </row>
    <row r="934" spans="1:11" x14ac:dyDescent="0.35">
      <c r="A934" t="s">
        <v>71</v>
      </c>
      <c r="B934" t="s">
        <v>28</v>
      </c>
      <c r="C934" t="s">
        <v>29</v>
      </c>
      <c r="D934" t="s">
        <v>18</v>
      </c>
      <c r="E934" t="s">
        <v>19</v>
      </c>
      <c r="F934">
        <v>124</v>
      </c>
      <c r="G934">
        <v>28</v>
      </c>
      <c r="H934">
        <v>32</v>
      </c>
      <c r="I934">
        <v>120</v>
      </c>
      <c r="J934">
        <v>42</v>
      </c>
      <c r="K934">
        <v>3</v>
      </c>
    </row>
    <row r="935" spans="1:11" x14ac:dyDescent="0.35">
      <c r="A935" t="s">
        <v>71</v>
      </c>
      <c r="B935" t="s">
        <v>28</v>
      </c>
      <c r="C935" t="s">
        <v>29</v>
      </c>
      <c r="D935" t="s">
        <v>20</v>
      </c>
      <c r="E935" t="s">
        <v>21</v>
      </c>
      <c r="F935">
        <v>54</v>
      </c>
      <c r="G935">
        <v>21</v>
      </c>
      <c r="H935">
        <v>44</v>
      </c>
      <c r="I935">
        <v>31</v>
      </c>
      <c r="J935">
        <v>52</v>
      </c>
      <c r="K935">
        <v>4</v>
      </c>
    </row>
    <row r="936" spans="1:11" x14ac:dyDescent="0.35">
      <c r="A936" t="s">
        <v>71</v>
      </c>
      <c r="B936" t="s">
        <v>28</v>
      </c>
      <c r="C936" t="s">
        <v>29</v>
      </c>
      <c r="D936" t="s">
        <v>22</v>
      </c>
      <c r="E936" t="s">
        <v>23</v>
      </c>
      <c r="F936">
        <v>782</v>
      </c>
      <c r="G936">
        <v>45</v>
      </c>
      <c r="H936">
        <v>16</v>
      </c>
      <c r="I936">
        <v>811</v>
      </c>
      <c r="J936">
        <v>25</v>
      </c>
      <c r="K936">
        <v>2</v>
      </c>
    </row>
    <row r="937" spans="1:11" x14ac:dyDescent="0.35">
      <c r="A937" t="s">
        <v>71</v>
      </c>
      <c r="B937" t="s">
        <v>31</v>
      </c>
      <c r="C937" t="s">
        <v>32</v>
      </c>
      <c r="D937" t="s">
        <v>14</v>
      </c>
      <c r="E937" t="s">
        <v>15</v>
      </c>
      <c r="F937">
        <v>409</v>
      </c>
      <c r="G937">
        <v>39</v>
      </c>
      <c r="H937">
        <v>10</v>
      </c>
      <c r="I937">
        <v>438</v>
      </c>
      <c r="J937">
        <v>22</v>
      </c>
      <c r="K937">
        <v>3</v>
      </c>
    </row>
    <row r="938" spans="1:11" x14ac:dyDescent="0.35">
      <c r="A938" t="s">
        <v>71</v>
      </c>
      <c r="B938" t="s">
        <v>31</v>
      </c>
      <c r="C938" t="s">
        <v>32</v>
      </c>
      <c r="D938" t="s">
        <v>16</v>
      </c>
      <c r="E938" t="s">
        <v>17</v>
      </c>
      <c r="F938">
        <v>400</v>
      </c>
      <c r="G938">
        <v>26</v>
      </c>
      <c r="H938">
        <v>10</v>
      </c>
      <c r="I938">
        <v>416</v>
      </c>
      <c r="J938">
        <v>18</v>
      </c>
      <c r="K938">
        <v>2</v>
      </c>
    </row>
    <row r="939" spans="1:11" x14ac:dyDescent="0.35">
      <c r="A939" t="s">
        <v>72</v>
      </c>
      <c r="B939" t="s">
        <v>31</v>
      </c>
      <c r="C939" t="s">
        <v>32</v>
      </c>
      <c r="D939" t="s">
        <v>18</v>
      </c>
      <c r="E939" t="s">
        <v>19</v>
      </c>
      <c r="F939">
        <v>167</v>
      </c>
      <c r="G939">
        <v>8</v>
      </c>
      <c r="H939">
        <v>35</v>
      </c>
      <c r="I939">
        <v>140</v>
      </c>
      <c r="J939">
        <v>39</v>
      </c>
      <c r="K939">
        <v>4</v>
      </c>
    </row>
    <row r="940" spans="1:11" x14ac:dyDescent="0.35">
      <c r="A940" t="s">
        <v>71</v>
      </c>
      <c r="B940" t="s">
        <v>31</v>
      </c>
      <c r="C940" t="s">
        <v>32</v>
      </c>
      <c r="D940" t="s">
        <v>20</v>
      </c>
      <c r="E940" t="s">
        <v>21</v>
      </c>
      <c r="F940">
        <v>43</v>
      </c>
      <c r="G940">
        <v>37</v>
      </c>
      <c r="H940">
        <v>32</v>
      </c>
      <c r="I940">
        <v>48</v>
      </c>
      <c r="J940">
        <v>32</v>
      </c>
      <c r="K940">
        <v>4</v>
      </c>
    </row>
    <row r="941" spans="1:11" x14ac:dyDescent="0.35">
      <c r="A941" t="s">
        <v>71</v>
      </c>
      <c r="B941" t="s">
        <v>31</v>
      </c>
      <c r="C941" t="s">
        <v>32</v>
      </c>
      <c r="D941" t="s">
        <v>22</v>
      </c>
      <c r="E941" t="s">
        <v>23</v>
      </c>
      <c r="F941">
        <v>803</v>
      </c>
      <c r="G941">
        <v>11</v>
      </c>
      <c r="H941">
        <v>14</v>
      </c>
      <c r="I941">
        <v>800</v>
      </c>
      <c r="J941">
        <v>15</v>
      </c>
      <c r="K941">
        <v>3</v>
      </c>
    </row>
    <row r="942" spans="1:11" x14ac:dyDescent="0.35">
      <c r="A942" t="s">
        <v>71</v>
      </c>
      <c r="B942" t="s">
        <v>33</v>
      </c>
      <c r="C942" t="s">
        <v>34</v>
      </c>
      <c r="D942" t="s">
        <v>14</v>
      </c>
      <c r="E942" t="s">
        <v>15</v>
      </c>
      <c r="F942">
        <v>238</v>
      </c>
      <c r="G942">
        <v>14</v>
      </c>
      <c r="H942">
        <v>26</v>
      </c>
      <c r="I942">
        <v>226</v>
      </c>
      <c r="J942">
        <v>39</v>
      </c>
      <c r="K942">
        <v>5</v>
      </c>
    </row>
    <row r="943" spans="1:11" x14ac:dyDescent="0.35">
      <c r="A943" t="s">
        <v>71</v>
      </c>
      <c r="B943" t="s">
        <v>33</v>
      </c>
      <c r="C943" t="s">
        <v>34</v>
      </c>
      <c r="D943" t="s">
        <v>16</v>
      </c>
      <c r="E943" t="s">
        <v>17</v>
      </c>
      <c r="F943">
        <v>277</v>
      </c>
      <c r="G943">
        <v>37</v>
      </c>
      <c r="H943">
        <v>34</v>
      </c>
      <c r="I943">
        <v>280</v>
      </c>
      <c r="J943">
        <v>44</v>
      </c>
      <c r="K943">
        <v>5</v>
      </c>
    </row>
    <row r="944" spans="1:11" x14ac:dyDescent="0.35">
      <c r="A944" t="s">
        <v>71</v>
      </c>
      <c r="B944" t="s">
        <v>33</v>
      </c>
      <c r="C944" t="s">
        <v>34</v>
      </c>
      <c r="D944" t="s">
        <v>18</v>
      </c>
      <c r="E944" t="s">
        <v>19</v>
      </c>
      <c r="F944">
        <v>105</v>
      </c>
      <c r="G944">
        <v>30</v>
      </c>
      <c r="H944">
        <v>48</v>
      </c>
      <c r="I944">
        <v>87</v>
      </c>
      <c r="J944">
        <v>51</v>
      </c>
      <c r="K944">
        <v>1</v>
      </c>
    </row>
    <row r="945" spans="1:11" x14ac:dyDescent="0.35">
      <c r="A945" t="s">
        <v>71</v>
      </c>
      <c r="B945" t="s">
        <v>33</v>
      </c>
      <c r="C945" t="s">
        <v>34</v>
      </c>
      <c r="D945" t="s">
        <v>20</v>
      </c>
      <c r="E945" t="s">
        <v>21</v>
      </c>
      <c r="F945">
        <v>339</v>
      </c>
      <c r="G945">
        <v>59</v>
      </c>
      <c r="H945">
        <v>32</v>
      </c>
      <c r="I945">
        <v>366</v>
      </c>
      <c r="J945">
        <v>39</v>
      </c>
      <c r="K945">
        <v>1</v>
      </c>
    </row>
    <row r="946" spans="1:11" x14ac:dyDescent="0.35">
      <c r="A946" t="s">
        <v>71</v>
      </c>
      <c r="B946" t="s">
        <v>33</v>
      </c>
      <c r="C946" t="s">
        <v>34</v>
      </c>
      <c r="D946" t="s">
        <v>22</v>
      </c>
      <c r="E946" t="s">
        <v>23</v>
      </c>
      <c r="F946">
        <v>607</v>
      </c>
      <c r="G946">
        <v>44</v>
      </c>
      <c r="H946">
        <v>11</v>
      </c>
      <c r="I946">
        <v>640</v>
      </c>
      <c r="J946">
        <v>14</v>
      </c>
      <c r="K946">
        <v>4</v>
      </c>
    </row>
    <row r="947" spans="1:11" x14ac:dyDescent="0.35">
      <c r="A947" t="s">
        <v>73</v>
      </c>
      <c r="B947" t="s">
        <v>12</v>
      </c>
      <c r="C947" t="s">
        <v>13</v>
      </c>
      <c r="D947" t="s">
        <v>14</v>
      </c>
      <c r="E947" t="s">
        <v>15</v>
      </c>
      <c r="F947">
        <v>560</v>
      </c>
      <c r="G947">
        <v>44</v>
      </c>
      <c r="H947">
        <v>16</v>
      </c>
      <c r="I947">
        <v>588</v>
      </c>
      <c r="J947">
        <v>20</v>
      </c>
      <c r="K947">
        <v>5</v>
      </c>
    </row>
    <row r="948" spans="1:11" x14ac:dyDescent="0.35">
      <c r="A948" t="s">
        <v>73</v>
      </c>
      <c r="B948" t="s">
        <v>12</v>
      </c>
      <c r="C948" t="s">
        <v>13</v>
      </c>
      <c r="D948" t="s">
        <v>16</v>
      </c>
      <c r="E948" t="s">
        <v>17</v>
      </c>
      <c r="F948">
        <v>338</v>
      </c>
      <c r="G948">
        <v>22</v>
      </c>
      <c r="H948">
        <v>17</v>
      </c>
      <c r="I948">
        <v>343</v>
      </c>
      <c r="J948">
        <v>26</v>
      </c>
      <c r="K948">
        <v>4</v>
      </c>
    </row>
    <row r="949" spans="1:11" x14ac:dyDescent="0.35">
      <c r="A949" t="s">
        <v>73</v>
      </c>
      <c r="B949" t="s">
        <v>12</v>
      </c>
      <c r="C949" t="s">
        <v>13</v>
      </c>
      <c r="D949" t="s">
        <v>18</v>
      </c>
      <c r="E949" t="s">
        <v>19</v>
      </c>
      <c r="F949">
        <v>143</v>
      </c>
      <c r="G949">
        <v>44</v>
      </c>
      <c r="H949">
        <v>27</v>
      </c>
      <c r="I949">
        <v>160</v>
      </c>
      <c r="J949">
        <v>29</v>
      </c>
      <c r="K949">
        <v>2</v>
      </c>
    </row>
    <row r="950" spans="1:11" x14ac:dyDescent="0.35">
      <c r="A950" t="s">
        <v>73</v>
      </c>
      <c r="B950" t="s">
        <v>12</v>
      </c>
      <c r="C950" t="s">
        <v>13</v>
      </c>
      <c r="D950" t="s">
        <v>20</v>
      </c>
      <c r="E950" t="s">
        <v>21</v>
      </c>
      <c r="F950">
        <v>16</v>
      </c>
      <c r="G950">
        <v>12</v>
      </c>
      <c r="H950">
        <v>37</v>
      </c>
      <c r="I950">
        <v>16</v>
      </c>
      <c r="J950">
        <v>46</v>
      </c>
      <c r="K950">
        <v>2</v>
      </c>
    </row>
    <row r="951" spans="1:11" x14ac:dyDescent="0.35">
      <c r="A951" t="s">
        <v>73</v>
      </c>
      <c r="B951" t="s">
        <v>12</v>
      </c>
      <c r="C951" t="s">
        <v>13</v>
      </c>
      <c r="D951" t="s">
        <v>22</v>
      </c>
      <c r="E951" t="s">
        <v>23</v>
      </c>
      <c r="F951">
        <v>577</v>
      </c>
      <c r="G951">
        <v>54</v>
      </c>
      <c r="H951">
        <v>8</v>
      </c>
      <c r="I951">
        <v>623</v>
      </c>
      <c r="J951">
        <v>8</v>
      </c>
      <c r="K951">
        <v>5</v>
      </c>
    </row>
    <row r="952" spans="1:11" x14ac:dyDescent="0.35">
      <c r="A952" t="s">
        <v>73</v>
      </c>
      <c r="B952" t="s">
        <v>12</v>
      </c>
      <c r="C952" t="s">
        <v>24</v>
      </c>
      <c r="D952" t="s">
        <v>14</v>
      </c>
      <c r="E952" t="s">
        <v>15</v>
      </c>
      <c r="F952">
        <v>369</v>
      </c>
      <c r="G952">
        <v>10</v>
      </c>
      <c r="H952">
        <v>9</v>
      </c>
      <c r="I952">
        <v>370</v>
      </c>
      <c r="J952">
        <v>13</v>
      </c>
      <c r="K952">
        <v>4</v>
      </c>
    </row>
    <row r="953" spans="1:11" x14ac:dyDescent="0.35">
      <c r="A953" t="s">
        <v>73</v>
      </c>
      <c r="B953" t="s">
        <v>12</v>
      </c>
      <c r="C953" t="s">
        <v>24</v>
      </c>
      <c r="D953" t="s">
        <v>16</v>
      </c>
      <c r="E953" t="s">
        <v>17</v>
      </c>
      <c r="F953">
        <v>250</v>
      </c>
      <c r="G953">
        <v>3</v>
      </c>
      <c r="H953">
        <v>23</v>
      </c>
      <c r="I953">
        <v>230</v>
      </c>
      <c r="J953">
        <v>28</v>
      </c>
      <c r="K953">
        <v>4</v>
      </c>
    </row>
    <row r="954" spans="1:11" x14ac:dyDescent="0.35">
      <c r="A954" t="s">
        <v>73</v>
      </c>
      <c r="B954" t="s">
        <v>12</v>
      </c>
      <c r="C954" t="s">
        <v>24</v>
      </c>
      <c r="D954" t="s">
        <v>18</v>
      </c>
      <c r="E954" t="s">
        <v>19</v>
      </c>
      <c r="F954">
        <v>144</v>
      </c>
      <c r="G954">
        <v>10</v>
      </c>
      <c r="H954">
        <v>16</v>
      </c>
      <c r="I954">
        <v>138</v>
      </c>
      <c r="J954">
        <v>19</v>
      </c>
      <c r="K954">
        <v>3</v>
      </c>
    </row>
    <row r="955" spans="1:11" x14ac:dyDescent="0.35">
      <c r="A955" t="s">
        <v>73</v>
      </c>
      <c r="B955" t="s">
        <v>12</v>
      </c>
      <c r="C955" t="s">
        <v>24</v>
      </c>
      <c r="D955" t="s">
        <v>20</v>
      </c>
      <c r="E955" t="s">
        <v>21</v>
      </c>
      <c r="F955">
        <v>8</v>
      </c>
      <c r="G955">
        <v>2</v>
      </c>
      <c r="H955">
        <v>19</v>
      </c>
      <c r="I955">
        <v>10</v>
      </c>
      <c r="J955">
        <v>32</v>
      </c>
      <c r="K955">
        <v>4</v>
      </c>
    </row>
    <row r="956" spans="1:11" x14ac:dyDescent="0.35">
      <c r="A956" t="s">
        <v>73</v>
      </c>
      <c r="B956" t="s">
        <v>12</v>
      </c>
      <c r="C956" t="s">
        <v>24</v>
      </c>
      <c r="D956" t="s">
        <v>22</v>
      </c>
      <c r="E956" t="s">
        <v>23</v>
      </c>
      <c r="F956">
        <v>608</v>
      </c>
      <c r="G956">
        <v>30</v>
      </c>
      <c r="H956">
        <v>14</v>
      </c>
      <c r="I956">
        <v>624</v>
      </c>
      <c r="J956">
        <v>28</v>
      </c>
      <c r="K956">
        <v>2</v>
      </c>
    </row>
    <row r="957" spans="1:11" x14ac:dyDescent="0.35">
      <c r="A957" t="s">
        <v>73</v>
      </c>
      <c r="B957" t="s">
        <v>12</v>
      </c>
      <c r="C957" t="s">
        <v>25</v>
      </c>
      <c r="D957" t="s">
        <v>14</v>
      </c>
      <c r="E957" t="s">
        <v>15</v>
      </c>
      <c r="F957">
        <v>301</v>
      </c>
      <c r="G957">
        <v>51</v>
      </c>
      <c r="H957">
        <v>23</v>
      </c>
      <c r="I957">
        <v>329</v>
      </c>
      <c r="J957">
        <v>25</v>
      </c>
      <c r="K957">
        <v>5</v>
      </c>
    </row>
    <row r="958" spans="1:11" x14ac:dyDescent="0.35">
      <c r="A958" t="s">
        <v>73</v>
      </c>
      <c r="B958" t="s">
        <v>12</v>
      </c>
      <c r="C958" t="s">
        <v>25</v>
      </c>
      <c r="D958" t="s">
        <v>16</v>
      </c>
      <c r="E958" t="s">
        <v>17</v>
      </c>
      <c r="F958">
        <v>243</v>
      </c>
      <c r="G958">
        <v>40</v>
      </c>
      <c r="H958">
        <v>32</v>
      </c>
      <c r="I958">
        <v>251</v>
      </c>
      <c r="J958">
        <v>39</v>
      </c>
      <c r="K958">
        <v>4</v>
      </c>
    </row>
    <row r="959" spans="1:11" x14ac:dyDescent="0.35">
      <c r="A959" t="s">
        <v>73</v>
      </c>
      <c r="B959" t="s">
        <v>12</v>
      </c>
      <c r="C959" t="s">
        <v>25</v>
      </c>
      <c r="D959" t="s">
        <v>18</v>
      </c>
      <c r="E959" t="s">
        <v>19</v>
      </c>
      <c r="F959">
        <v>62</v>
      </c>
      <c r="G959">
        <v>31</v>
      </c>
      <c r="H959">
        <v>36</v>
      </c>
      <c r="I959">
        <v>57</v>
      </c>
      <c r="J959">
        <v>38</v>
      </c>
      <c r="K959">
        <v>3</v>
      </c>
    </row>
    <row r="960" spans="1:11" x14ac:dyDescent="0.35">
      <c r="A960" t="s">
        <v>73</v>
      </c>
      <c r="B960" t="s">
        <v>12</v>
      </c>
      <c r="C960" t="s">
        <v>25</v>
      </c>
      <c r="D960" t="s">
        <v>20</v>
      </c>
      <c r="E960" t="s">
        <v>21</v>
      </c>
      <c r="F960">
        <v>148</v>
      </c>
      <c r="G960">
        <v>22</v>
      </c>
      <c r="H960">
        <v>33</v>
      </c>
      <c r="I960">
        <v>137</v>
      </c>
      <c r="J960">
        <v>45</v>
      </c>
      <c r="K960">
        <v>4</v>
      </c>
    </row>
    <row r="961" spans="1:11" x14ac:dyDescent="0.35">
      <c r="A961" t="s">
        <v>73</v>
      </c>
      <c r="B961" t="s">
        <v>12</v>
      </c>
      <c r="C961" t="s">
        <v>25</v>
      </c>
      <c r="D961" t="s">
        <v>22</v>
      </c>
      <c r="E961" t="s">
        <v>23</v>
      </c>
      <c r="F961">
        <v>733</v>
      </c>
      <c r="G961">
        <v>35</v>
      </c>
      <c r="H961">
        <v>15</v>
      </c>
      <c r="I961">
        <v>753</v>
      </c>
      <c r="J961">
        <v>25</v>
      </c>
      <c r="K961">
        <v>4</v>
      </c>
    </row>
    <row r="962" spans="1:11" x14ac:dyDescent="0.35">
      <c r="A962" t="s">
        <v>73</v>
      </c>
      <c r="B962" t="s">
        <v>26</v>
      </c>
      <c r="C962" t="s">
        <v>27</v>
      </c>
      <c r="D962" t="s">
        <v>14</v>
      </c>
      <c r="E962" t="s">
        <v>15</v>
      </c>
      <c r="F962">
        <v>598</v>
      </c>
      <c r="G962">
        <v>41</v>
      </c>
      <c r="H962">
        <v>13</v>
      </c>
      <c r="I962">
        <v>626</v>
      </c>
      <c r="J962">
        <v>22</v>
      </c>
      <c r="K962">
        <v>3</v>
      </c>
    </row>
    <row r="963" spans="1:11" x14ac:dyDescent="0.35">
      <c r="A963" t="s">
        <v>73</v>
      </c>
      <c r="B963" t="s">
        <v>26</v>
      </c>
      <c r="C963" t="s">
        <v>27</v>
      </c>
      <c r="D963" t="s">
        <v>16</v>
      </c>
      <c r="E963" t="s">
        <v>17</v>
      </c>
      <c r="F963">
        <v>411</v>
      </c>
      <c r="G963">
        <v>47</v>
      </c>
      <c r="H963">
        <v>8</v>
      </c>
      <c r="I963">
        <v>450</v>
      </c>
      <c r="J963">
        <v>16</v>
      </c>
      <c r="K963">
        <v>2</v>
      </c>
    </row>
    <row r="964" spans="1:11" x14ac:dyDescent="0.35">
      <c r="A964" t="s">
        <v>73</v>
      </c>
      <c r="B964" t="s">
        <v>26</v>
      </c>
      <c r="C964" t="s">
        <v>27</v>
      </c>
      <c r="D964" t="s">
        <v>18</v>
      </c>
      <c r="E964" t="s">
        <v>19</v>
      </c>
      <c r="F964">
        <v>57</v>
      </c>
      <c r="G964">
        <v>22</v>
      </c>
      <c r="H964">
        <v>16</v>
      </c>
      <c r="I964">
        <v>63</v>
      </c>
      <c r="J964">
        <v>24</v>
      </c>
      <c r="K964">
        <v>2</v>
      </c>
    </row>
    <row r="965" spans="1:11" x14ac:dyDescent="0.35">
      <c r="A965" t="s">
        <v>73</v>
      </c>
      <c r="B965" t="s">
        <v>26</v>
      </c>
      <c r="C965" t="s">
        <v>27</v>
      </c>
      <c r="D965" t="s">
        <v>20</v>
      </c>
      <c r="E965" t="s">
        <v>21</v>
      </c>
      <c r="F965">
        <v>289</v>
      </c>
      <c r="G965">
        <v>60</v>
      </c>
      <c r="H965">
        <v>48</v>
      </c>
      <c r="I965">
        <v>301</v>
      </c>
      <c r="J965">
        <v>52</v>
      </c>
      <c r="K965">
        <v>2</v>
      </c>
    </row>
    <row r="966" spans="1:11" x14ac:dyDescent="0.35">
      <c r="A966" t="s">
        <v>73</v>
      </c>
      <c r="B966" t="s">
        <v>26</v>
      </c>
      <c r="C966" t="s">
        <v>27</v>
      </c>
      <c r="D966" t="s">
        <v>22</v>
      </c>
      <c r="E966" t="s">
        <v>23</v>
      </c>
      <c r="F966">
        <v>477</v>
      </c>
      <c r="G966">
        <v>56</v>
      </c>
      <c r="H966">
        <v>12</v>
      </c>
      <c r="I966">
        <v>521</v>
      </c>
      <c r="J966">
        <v>19</v>
      </c>
      <c r="K966">
        <v>1</v>
      </c>
    </row>
    <row r="967" spans="1:11" x14ac:dyDescent="0.35">
      <c r="A967" t="s">
        <v>73</v>
      </c>
      <c r="B967" t="s">
        <v>28</v>
      </c>
      <c r="C967" t="s">
        <v>29</v>
      </c>
      <c r="D967" t="s">
        <v>14</v>
      </c>
      <c r="E967" t="s">
        <v>15</v>
      </c>
      <c r="F967">
        <v>427</v>
      </c>
      <c r="G967">
        <v>22</v>
      </c>
      <c r="H967">
        <v>35</v>
      </c>
      <c r="I967">
        <v>414</v>
      </c>
      <c r="J967">
        <v>36</v>
      </c>
      <c r="K967">
        <v>5</v>
      </c>
    </row>
    <row r="968" spans="1:11" x14ac:dyDescent="0.35">
      <c r="A968" t="s">
        <v>73</v>
      </c>
      <c r="B968" t="s">
        <v>28</v>
      </c>
      <c r="C968" t="s">
        <v>29</v>
      </c>
      <c r="D968" t="s">
        <v>16</v>
      </c>
      <c r="E968" t="s">
        <v>17</v>
      </c>
      <c r="F968">
        <v>432</v>
      </c>
      <c r="G968">
        <v>47</v>
      </c>
      <c r="H968">
        <v>13</v>
      </c>
      <c r="I968">
        <v>466</v>
      </c>
      <c r="J968">
        <v>14</v>
      </c>
      <c r="K968">
        <v>4</v>
      </c>
    </row>
    <row r="969" spans="1:11" x14ac:dyDescent="0.35">
      <c r="A969" t="s">
        <v>73</v>
      </c>
      <c r="B969" t="s">
        <v>28</v>
      </c>
      <c r="C969" t="s">
        <v>29</v>
      </c>
      <c r="D969" t="s">
        <v>18</v>
      </c>
      <c r="E969" t="s">
        <v>19</v>
      </c>
      <c r="F969">
        <v>120</v>
      </c>
      <c r="G969">
        <v>24</v>
      </c>
      <c r="H969">
        <v>33</v>
      </c>
      <c r="I969">
        <v>111</v>
      </c>
      <c r="J969">
        <v>47</v>
      </c>
      <c r="K969">
        <v>2</v>
      </c>
    </row>
    <row r="970" spans="1:11" x14ac:dyDescent="0.35">
      <c r="A970" t="s">
        <v>73</v>
      </c>
      <c r="B970" t="s">
        <v>28</v>
      </c>
      <c r="C970" t="s">
        <v>29</v>
      </c>
      <c r="D970" t="s">
        <v>20</v>
      </c>
      <c r="E970" t="s">
        <v>21</v>
      </c>
      <c r="F970">
        <v>31</v>
      </c>
      <c r="G970">
        <v>0</v>
      </c>
      <c r="H970">
        <v>16</v>
      </c>
      <c r="I970">
        <v>15</v>
      </c>
      <c r="J970">
        <v>26</v>
      </c>
      <c r="K970">
        <v>5</v>
      </c>
    </row>
    <row r="971" spans="1:11" x14ac:dyDescent="0.35">
      <c r="A971" t="s">
        <v>73</v>
      </c>
      <c r="B971" t="s">
        <v>28</v>
      </c>
      <c r="C971" t="s">
        <v>29</v>
      </c>
      <c r="D971" t="s">
        <v>22</v>
      </c>
      <c r="E971" t="s">
        <v>23</v>
      </c>
      <c r="F971">
        <v>811</v>
      </c>
      <c r="G971">
        <v>36</v>
      </c>
      <c r="H971">
        <v>8</v>
      </c>
      <c r="I971">
        <v>839</v>
      </c>
      <c r="J971">
        <v>17</v>
      </c>
      <c r="K971">
        <v>5</v>
      </c>
    </row>
    <row r="972" spans="1:11" x14ac:dyDescent="0.35">
      <c r="A972" t="s">
        <v>73</v>
      </c>
      <c r="B972" t="s">
        <v>31</v>
      </c>
      <c r="C972" t="s">
        <v>32</v>
      </c>
      <c r="D972" t="s">
        <v>14</v>
      </c>
      <c r="E972" t="s">
        <v>15</v>
      </c>
      <c r="F972">
        <v>438</v>
      </c>
      <c r="G972">
        <v>20</v>
      </c>
      <c r="H972">
        <v>8</v>
      </c>
      <c r="I972">
        <v>450</v>
      </c>
      <c r="J972">
        <v>12</v>
      </c>
      <c r="K972">
        <v>5</v>
      </c>
    </row>
    <row r="973" spans="1:11" x14ac:dyDescent="0.35">
      <c r="A973" t="s">
        <v>73</v>
      </c>
      <c r="B973" t="s">
        <v>31</v>
      </c>
      <c r="C973" t="s">
        <v>32</v>
      </c>
      <c r="D973" t="s">
        <v>16</v>
      </c>
      <c r="E973" t="s">
        <v>17</v>
      </c>
      <c r="F973">
        <v>416</v>
      </c>
      <c r="G973">
        <v>21</v>
      </c>
      <c r="H973">
        <v>24</v>
      </c>
      <c r="I973">
        <v>413</v>
      </c>
      <c r="J973">
        <v>31</v>
      </c>
      <c r="K973">
        <v>1</v>
      </c>
    </row>
    <row r="974" spans="1:11" x14ac:dyDescent="0.35">
      <c r="A974" t="s">
        <v>73</v>
      </c>
      <c r="B974" t="s">
        <v>31</v>
      </c>
      <c r="C974" t="s">
        <v>32</v>
      </c>
      <c r="D974" t="s">
        <v>18</v>
      </c>
      <c r="E974" t="s">
        <v>19</v>
      </c>
      <c r="F974">
        <v>140</v>
      </c>
      <c r="G974">
        <v>11</v>
      </c>
      <c r="H974">
        <v>35</v>
      </c>
      <c r="I974">
        <v>116</v>
      </c>
      <c r="J974">
        <v>41</v>
      </c>
      <c r="K974">
        <v>4</v>
      </c>
    </row>
    <row r="975" spans="1:11" x14ac:dyDescent="0.35">
      <c r="A975" t="s">
        <v>73</v>
      </c>
      <c r="B975" t="s">
        <v>31</v>
      </c>
      <c r="C975" t="s">
        <v>32</v>
      </c>
      <c r="D975" t="s">
        <v>20</v>
      </c>
      <c r="E975" t="s">
        <v>21</v>
      </c>
      <c r="F975">
        <v>48</v>
      </c>
      <c r="G975">
        <v>31</v>
      </c>
      <c r="H975">
        <v>20</v>
      </c>
      <c r="I975">
        <v>59</v>
      </c>
      <c r="J975">
        <v>21</v>
      </c>
      <c r="K975">
        <v>1</v>
      </c>
    </row>
    <row r="976" spans="1:11" x14ac:dyDescent="0.35">
      <c r="A976" t="s">
        <v>73</v>
      </c>
      <c r="B976" t="s">
        <v>31</v>
      </c>
      <c r="C976" t="s">
        <v>32</v>
      </c>
      <c r="D976" t="s">
        <v>22</v>
      </c>
      <c r="E976" t="s">
        <v>23</v>
      </c>
      <c r="F976">
        <v>800</v>
      </c>
      <c r="G976">
        <v>30</v>
      </c>
      <c r="H976">
        <v>3</v>
      </c>
      <c r="I976">
        <v>827</v>
      </c>
      <c r="J976">
        <v>11</v>
      </c>
      <c r="K976">
        <v>4</v>
      </c>
    </row>
    <row r="977" spans="1:11" x14ac:dyDescent="0.35">
      <c r="A977" t="s">
        <v>73</v>
      </c>
      <c r="B977" t="s">
        <v>33</v>
      </c>
      <c r="C977" t="s">
        <v>34</v>
      </c>
      <c r="D977" t="s">
        <v>14</v>
      </c>
      <c r="E977" t="s">
        <v>15</v>
      </c>
      <c r="F977">
        <v>226</v>
      </c>
      <c r="G977">
        <v>57</v>
      </c>
      <c r="H977">
        <v>31</v>
      </c>
      <c r="I977">
        <v>252</v>
      </c>
      <c r="J977">
        <v>39</v>
      </c>
      <c r="K977">
        <v>5</v>
      </c>
    </row>
    <row r="978" spans="1:11" x14ac:dyDescent="0.35">
      <c r="A978" t="s">
        <v>73</v>
      </c>
      <c r="B978" t="s">
        <v>33</v>
      </c>
      <c r="C978" t="s">
        <v>34</v>
      </c>
      <c r="D978" t="s">
        <v>16</v>
      </c>
      <c r="E978" t="s">
        <v>17</v>
      </c>
      <c r="F978">
        <v>280</v>
      </c>
      <c r="G978">
        <v>32</v>
      </c>
      <c r="H978" t="s">
        <v>43</v>
      </c>
      <c r="I978">
        <v>298</v>
      </c>
      <c r="J978">
        <v>23</v>
      </c>
      <c r="K978">
        <v>3</v>
      </c>
    </row>
    <row r="979" spans="1:11" x14ac:dyDescent="0.35">
      <c r="A979" t="s">
        <v>73</v>
      </c>
      <c r="B979" t="s">
        <v>33</v>
      </c>
      <c r="C979" t="s">
        <v>34</v>
      </c>
      <c r="D979" t="s">
        <v>18</v>
      </c>
      <c r="E979" t="s">
        <v>19</v>
      </c>
      <c r="F979">
        <v>87</v>
      </c>
      <c r="G979">
        <v>11</v>
      </c>
      <c r="H979">
        <v>25</v>
      </c>
      <c r="I979">
        <v>73</v>
      </c>
      <c r="J979">
        <v>36</v>
      </c>
      <c r="K979">
        <v>3</v>
      </c>
    </row>
    <row r="980" spans="1:11" x14ac:dyDescent="0.35">
      <c r="A980" t="s">
        <v>73</v>
      </c>
      <c r="B980" t="s">
        <v>33</v>
      </c>
      <c r="C980" t="s">
        <v>34</v>
      </c>
      <c r="D980" t="s">
        <v>20</v>
      </c>
      <c r="E980" t="s">
        <v>21</v>
      </c>
      <c r="F980">
        <v>366</v>
      </c>
      <c r="G980">
        <v>32</v>
      </c>
      <c r="H980">
        <v>18</v>
      </c>
      <c r="I980">
        <v>380</v>
      </c>
      <c r="J980">
        <v>28</v>
      </c>
      <c r="K980">
        <v>2</v>
      </c>
    </row>
    <row r="981" spans="1:11" x14ac:dyDescent="0.35">
      <c r="A981" t="s">
        <v>73</v>
      </c>
      <c r="B981" t="s">
        <v>33</v>
      </c>
      <c r="C981" t="s">
        <v>34</v>
      </c>
      <c r="D981" t="s">
        <v>22</v>
      </c>
      <c r="E981" t="s">
        <v>23</v>
      </c>
      <c r="F981">
        <v>640</v>
      </c>
      <c r="G981">
        <v>29</v>
      </c>
      <c r="H981">
        <v>9</v>
      </c>
      <c r="I981">
        <v>660</v>
      </c>
      <c r="J981">
        <v>17</v>
      </c>
      <c r="K981">
        <v>3</v>
      </c>
    </row>
    <row r="982" spans="1:11" x14ac:dyDescent="0.35">
      <c r="A982" t="s">
        <v>74</v>
      </c>
      <c r="B982" t="s">
        <v>12</v>
      </c>
      <c r="C982" t="s">
        <v>13</v>
      </c>
      <c r="D982" t="s">
        <v>14</v>
      </c>
      <c r="E982" t="s">
        <v>15</v>
      </c>
      <c r="F982">
        <v>588</v>
      </c>
      <c r="G982">
        <v>25</v>
      </c>
      <c r="H982">
        <v>30</v>
      </c>
      <c r="I982">
        <v>583</v>
      </c>
      <c r="J982">
        <v>35</v>
      </c>
      <c r="K982">
        <v>3</v>
      </c>
    </row>
    <row r="983" spans="1:11" x14ac:dyDescent="0.35">
      <c r="A983" t="s">
        <v>74</v>
      </c>
      <c r="B983" t="s">
        <v>12</v>
      </c>
      <c r="C983" t="s">
        <v>13</v>
      </c>
      <c r="D983" t="s">
        <v>16</v>
      </c>
      <c r="E983" t="s">
        <v>17</v>
      </c>
      <c r="F983">
        <v>343</v>
      </c>
      <c r="G983">
        <v>24</v>
      </c>
      <c r="H983">
        <v>16</v>
      </c>
      <c r="I983">
        <v>351</v>
      </c>
      <c r="J983">
        <v>30</v>
      </c>
      <c r="K983">
        <v>3</v>
      </c>
    </row>
    <row r="984" spans="1:11" x14ac:dyDescent="0.35">
      <c r="A984" t="s">
        <v>74</v>
      </c>
      <c r="B984" t="s">
        <v>12</v>
      </c>
      <c r="C984" t="s">
        <v>13</v>
      </c>
      <c r="D984" t="s">
        <v>18</v>
      </c>
      <c r="E984" t="s">
        <v>19</v>
      </c>
      <c r="F984">
        <v>160</v>
      </c>
      <c r="G984">
        <v>29</v>
      </c>
      <c r="H984">
        <v>47</v>
      </c>
      <c r="I984">
        <v>142</v>
      </c>
      <c r="J984">
        <v>50</v>
      </c>
      <c r="K984">
        <v>2</v>
      </c>
    </row>
    <row r="985" spans="1:11" x14ac:dyDescent="0.35">
      <c r="A985" t="s">
        <v>74</v>
      </c>
      <c r="B985" t="s">
        <v>12</v>
      </c>
      <c r="C985" t="s">
        <v>13</v>
      </c>
      <c r="D985" t="s">
        <v>20</v>
      </c>
      <c r="E985" t="s">
        <v>21</v>
      </c>
      <c r="F985">
        <v>16</v>
      </c>
      <c r="G985">
        <v>11</v>
      </c>
      <c r="H985">
        <v>29</v>
      </c>
      <c r="I985">
        <v>15</v>
      </c>
      <c r="J985">
        <v>44</v>
      </c>
      <c r="K985">
        <v>5</v>
      </c>
    </row>
    <row r="986" spans="1:11" x14ac:dyDescent="0.35">
      <c r="A986" t="s">
        <v>74</v>
      </c>
      <c r="B986" t="s">
        <v>12</v>
      </c>
      <c r="C986" t="s">
        <v>13</v>
      </c>
      <c r="D986" t="s">
        <v>30</v>
      </c>
      <c r="E986" t="s">
        <v>23</v>
      </c>
      <c r="F986">
        <v>623</v>
      </c>
      <c r="G986">
        <v>55</v>
      </c>
      <c r="H986">
        <v>16</v>
      </c>
      <c r="I986">
        <v>662</v>
      </c>
      <c r="J986">
        <v>26</v>
      </c>
      <c r="K986">
        <v>4</v>
      </c>
    </row>
    <row r="987" spans="1:11" x14ac:dyDescent="0.35">
      <c r="A987" t="s">
        <v>74</v>
      </c>
      <c r="B987" t="s">
        <v>12</v>
      </c>
      <c r="C987" t="s">
        <v>24</v>
      </c>
      <c r="D987" t="s">
        <v>14</v>
      </c>
      <c r="E987" t="s">
        <v>15</v>
      </c>
      <c r="F987">
        <v>370</v>
      </c>
      <c r="G987">
        <v>18</v>
      </c>
      <c r="H987">
        <v>9</v>
      </c>
      <c r="I987">
        <v>379</v>
      </c>
      <c r="J987">
        <v>17</v>
      </c>
      <c r="K987">
        <v>3</v>
      </c>
    </row>
    <row r="988" spans="1:11" x14ac:dyDescent="0.35">
      <c r="A988" t="s">
        <v>74</v>
      </c>
      <c r="B988" t="s">
        <v>12</v>
      </c>
      <c r="C988" t="s">
        <v>24</v>
      </c>
      <c r="D988" t="s">
        <v>16</v>
      </c>
      <c r="E988" t="s">
        <v>17</v>
      </c>
      <c r="F988">
        <v>230</v>
      </c>
      <c r="G988">
        <v>16</v>
      </c>
      <c r="H988">
        <v>26</v>
      </c>
      <c r="I988">
        <v>220</v>
      </c>
      <c r="J988">
        <v>30</v>
      </c>
      <c r="K988">
        <v>2</v>
      </c>
    </row>
    <row r="989" spans="1:11" x14ac:dyDescent="0.35">
      <c r="A989" t="s">
        <v>75</v>
      </c>
      <c r="B989" t="s">
        <v>12</v>
      </c>
      <c r="C989" t="s">
        <v>24</v>
      </c>
      <c r="D989" t="s">
        <v>18</v>
      </c>
      <c r="E989" t="s">
        <v>19</v>
      </c>
      <c r="F989">
        <v>138</v>
      </c>
      <c r="G989">
        <v>22</v>
      </c>
      <c r="H989">
        <v>45</v>
      </c>
      <c r="I989">
        <v>115</v>
      </c>
      <c r="J989">
        <v>48</v>
      </c>
      <c r="K989">
        <v>5</v>
      </c>
    </row>
    <row r="990" spans="1:11" x14ac:dyDescent="0.35">
      <c r="A990" t="s">
        <v>74</v>
      </c>
      <c r="B990" t="s">
        <v>12</v>
      </c>
      <c r="C990" t="s">
        <v>24</v>
      </c>
      <c r="D990" t="s">
        <v>20</v>
      </c>
      <c r="E990" t="s">
        <v>21</v>
      </c>
      <c r="F990">
        <v>10</v>
      </c>
      <c r="G990">
        <v>24</v>
      </c>
      <c r="H990">
        <v>24</v>
      </c>
      <c r="I990">
        <v>10</v>
      </c>
      <c r="J990">
        <v>29</v>
      </c>
      <c r="K990">
        <v>5</v>
      </c>
    </row>
    <row r="991" spans="1:11" x14ac:dyDescent="0.35">
      <c r="A991" t="s">
        <v>74</v>
      </c>
      <c r="B991" t="s">
        <v>45</v>
      </c>
      <c r="C991" t="s">
        <v>24</v>
      </c>
      <c r="D991" t="s">
        <v>22</v>
      </c>
      <c r="E991" t="s">
        <v>23</v>
      </c>
      <c r="F991">
        <v>624</v>
      </c>
      <c r="G991">
        <v>44</v>
      </c>
      <c r="H991">
        <v>11</v>
      </c>
      <c r="I991">
        <v>657</v>
      </c>
      <c r="J991">
        <v>20</v>
      </c>
      <c r="K991">
        <v>4</v>
      </c>
    </row>
    <row r="992" spans="1:11" x14ac:dyDescent="0.35">
      <c r="A992" t="s">
        <v>74</v>
      </c>
      <c r="B992" t="s">
        <v>12</v>
      </c>
      <c r="C992" t="s">
        <v>25</v>
      </c>
      <c r="D992" t="s">
        <v>14</v>
      </c>
      <c r="E992" t="s">
        <v>15</v>
      </c>
      <c r="F992">
        <v>329</v>
      </c>
      <c r="G992">
        <v>44</v>
      </c>
      <c r="H992">
        <v>9</v>
      </c>
      <c r="I992">
        <v>364</v>
      </c>
      <c r="J992">
        <v>23</v>
      </c>
      <c r="K992">
        <v>2</v>
      </c>
    </row>
    <row r="993" spans="1:11" x14ac:dyDescent="0.35">
      <c r="A993" t="s">
        <v>74</v>
      </c>
      <c r="B993" t="s">
        <v>12</v>
      </c>
      <c r="C993" t="s">
        <v>25</v>
      </c>
      <c r="D993" t="s">
        <v>16</v>
      </c>
      <c r="E993" t="s">
        <v>17</v>
      </c>
      <c r="F993">
        <v>251</v>
      </c>
      <c r="G993">
        <v>59</v>
      </c>
      <c r="H993">
        <v>30</v>
      </c>
      <c r="I993">
        <v>280</v>
      </c>
      <c r="J993">
        <v>39</v>
      </c>
      <c r="K993">
        <v>3</v>
      </c>
    </row>
    <row r="994" spans="1:11" x14ac:dyDescent="0.35">
      <c r="A994" t="s">
        <v>74</v>
      </c>
      <c r="B994" t="s">
        <v>12</v>
      </c>
      <c r="C994" t="s">
        <v>25</v>
      </c>
      <c r="D994" t="s">
        <v>18</v>
      </c>
      <c r="E994" t="s">
        <v>19</v>
      </c>
      <c r="F994">
        <v>57</v>
      </c>
      <c r="G994">
        <v>55</v>
      </c>
      <c r="H994">
        <v>17</v>
      </c>
      <c r="I994">
        <v>95</v>
      </c>
      <c r="J994">
        <v>21</v>
      </c>
      <c r="K994">
        <v>2</v>
      </c>
    </row>
    <row r="995" spans="1:11" x14ac:dyDescent="0.35">
      <c r="A995" t="s">
        <v>74</v>
      </c>
      <c r="B995" t="s">
        <v>12</v>
      </c>
      <c r="C995" t="s">
        <v>25</v>
      </c>
      <c r="D995" t="s">
        <v>20</v>
      </c>
      <c r="E995" t="s">
        <v>21</v>
      </c>
      <c r="F995">
        <v>137</v>
      </c>
      <c r="G995">
        <v>24</v>
      </c>
      <c r="H995">
        <v>42</v>
      </c>
      <c r="I995">
        <v>119</v>
      </c>
      <c r="J995">
        <v>48</v>
      </c>
      <c r="K995">
        <v>2</v>
      </c>
    </row>
    <row r="996" spans="1:11" x14ac:dyDescent="0.35">
      <c r="A996" t="s">
        <v>74</v>
      </c>
      <c r="B996" t="s">
        <v>12</v>
      </c>
      <c r="C996" t="s">
        <v>25</v>
      </c>
      <c r="D996" t="s">
        <v>22</v>
      </c>
      <c r="E996" t="s">
        <v>23</v>
      </c>
      <c r="F996">
        <v>753</v>
      </c>
      <c r="G996">
        <v>20</v>
      </c>
      <c r="H996">
        <v>10</v>
      </c>
      <c r="I996">
        <v>763</v>
      </c>
      <c r="J996">
        <v>22</v>
      </c>
      <c r="K996">
        <v>2</v>
      </c>
    </row>
    <row r="997" spans="1:11" x14ac:dyDescent="0.35">
      <c r="A997" t="s">
        <v>74</v>
      </c>
      <c r="B997" t="s">
        <v>26</v>
      </c>
      <c r="C997" t="s">
        <v>27</v>
      </c>
      <c r="D997" t="s">
        <v>14</v>
      </c>
      <c r="E997" t="s">
        <v>15</v>
      </c>
      <c r="F997">
        <v>626</v>
      </c>
      <c r="G997">
        <v>40</v>
      </c>
      <c r="H997">
        <v>19</v>
      </c>
      <c r="I997">
        <v>647</v>
      </c>
      <c r="J997">
        <v>27</v>
      </c>
      <c r="K997">
        <v>1</v>
      </c>
    </row>
    <row r="998" spans="1:11" x14ac:dyDescent="0.35">
      <c r="A998" t="s">
        <v>74</v>
      </c>
      <c r="B998" t="s">
        <v>26</v>
      </c>
      <c r="C998" t="s">
        <v>27</v>
      </c>
      <c r="D998" t="s">
        <v>16</v>
      </c>
      <c r="E998" t="s">
        <v>17</v>
      </c>
      <c r="F998">
        <v>450</v>
      </c>
      <c r="G998">
        <v>23</v>
      </c>
      <c r="H998">
        <v>32</v>
      </c>
      <c r="I998">
        <v>441</v>
      </c>
      <c r="J998">
        <v>45</v>
      </c>
      <c r="K998">
        <v>4</v>
      </c>
    </row>
    <row r="999" spans="1:11" x14ac:dyDescent="0.35">
      <c r="A999" t="s">
        <v>74</v>
      </c>
      <c r="B999" t="s">
        <v>26</v>
      </c>
      <c r="C999" t="s">
        <v>27</v>
      </c>
      <c r="D999" t="s">
        <v>18</v>
      </c>
      <c r="E999" t="s">
        <v>19</v>
      </c>
      <c r="F999">
        <v>63</v>
      </c>
      <c r="G999">
        <v>59</v>
      </c>
      <c r="H999">
        <v>16</v>
      </c>
      <c r="I999">
        <v>106</v>
      </c>
      <c r="J999">
        <v>28</v>
      </c>
      <c r="K999">
        <v>4</v>
      </c>
    </row>
    <row r="1000" spans="1:11" x14ac:dyDescent="0.35">
      <c r="A1000" t="s">
        <v>74</v>
      </c>
      <c r="B1000" t="s">
        <v>26</v>
      </c>
      <c r="C1000" t="s">
        <v>27</v>
      </c>
      <c r="D1000" t="s">
        <v>20</v>
      </c>
      <c r="E1000" t="s">
        <v>21</v>
      </c>
      <c r="F1000">
        <v>301</v>
      </c>
      <c r="G1000">
        <v>30</v>
      </c>
      <c r="H1000">
        <v>27</v>
      </c>
      <c r="I1000">
        <v>304</v>
      </c>
      <c r="J1000">
        <v>31</v>
      </c>
      <c r="K1000">
        <v>1</v>
      </c>
    </row>
    <row r="1001" spans="1:11" x14ac:dyDescent="0.35">
      <c r="A1001" t="s">
        <v>74</v>
      </c>
      <c r="B1001" t="s">
        <v>26</v>
      </c>
      <c r="C1001" t="s">
        <v>27</v>
      </c>
      <c r="D1001" t="s">
        <v>22</v>
      </c>
      <c r="E1001" t="s">
        <v>23</v>
      </c>
      <c r="F1001">
        <v>521</v>
      </c>
      <c r="G1001">
        <v>32</v>
      </c>
      <c r="H1001">
        <v>7</v>
      </c>
      <c r="I1001">
        <v>546</v>
      </c>
      <c r="J1001">
        <v>11</v>
      </c>
      <c r="K1001">
        <v>4</v>
      </c>
    </row>
    <row r="1002" spans="1:11" x14ac:dyDescent="0.35">
      <c r="A1002" t="s">
        <v>74</v>
      </c>
      <c r="B1002" t="s">
        <v>28</v>
      </c>
      <c r="C1002" t="s">
        <v>29</v>
      </c>
      <c r="D1002" t="s">
        <v>14</v>
      </c>
      <c r="E1002" t="s">
        <v>15</v>
      </c>
      <c r="F1002">
        <v>414</v>
      </c>
      <c r="G1002">
        <v>12</v>
      </c>
      <c r="H1002">
        <v>12</v>
      </c>
      <c r="I1002">
        <v>414</v>
      </c>
      <c r="J1002">
        <v>18</v>
      </c>
      <c r="K1002">
        <v>4</v>
      </c>
    </row>
    <row r="1003" spans="1:11" x14ac:dyDescent="0.35">
      <c r="A1003" t="s">
        <v>74</v>
      </c>
      <c r="B1003" t="s">
        <v>28</v>
      </c>
      <c r="C1003" t="s">
        <v>29</v>
      </c>
      <c r="D1003" t="s">
        <v>16</v>
      </c>
      <c r="E1003" t="s">
        <v>17</v>
      </c>
      <c r="F1003">
        <v>466</v>
      </c>
      <c r="G1003">
        <v>16</v>
      </c>
      <c r="H1003">
        <v>10</v>
      </c>
      <c r="I1003">
        <v>472</v>
      </c>
      <c r="J1003">
        <v>15</v>
      </c>
      <c r="K1003">
        <v>1</v>
      </c>
    </row>
    <row r="1004" spans="1:11" x14ac:dyDescent="0.35">
      <c r="A1004" t="s">
        <v>74</v>
      </c>
      <c r="B1004" t="s">
        <v>28</v>
      </c>
      <c r="C1004" t="s">
        <v>29</v>
      </c>
      <c r="D1004" t="s">
        <v>18</v>
      </c>
      <c r="E1004" t="s">
        <v>19</v>
      </c>
      <c r="F1004">
        <v>111</v>
      </c>
      <c r="G1004">
        <v>4</v>
      </c>
      <c r="H1004">
        <v>23</v>
      </c>
      <c r="I1004">
        <v>92</v>
      </c>
      <c r="J1004">
        <v>37</v>
      </c>
      <c r="K1004">
        <v>3</v>
      </c>
    </row>
    <row r="1005" spans="1:11" x14ac:dyDescent="0.35">
      <c r="A1005" t="s">
        <v>74</v>
      </c>
      <c r="B1005" t="s">
        <v>28</v>
      </c>
      <c r="C1005" t="s">
        <v>29</v>
      </c>
      <c r="D1005" t="s">
        <v>20</v>
      </c>
      <c r="E1005" t="s">
        <v>21</v>
      </c>
      <c r="F1005">
        <v>15</v>
      </c>
      <c r="G1005">
        <v>40</v>
      </c>
      <c r="H1005">
        <v>40</v>
      </c>
      <c r="I1005">
        <v>15</v>
      </c>
      <c r="J1005">
        <v>49</v>
      </c>
      <c r="K1005">
        <v>5</v>
      </c>
    </row>
    <row r="1006" spans="1:11" x14ac:dyDescent="0.35">
      <c r="A1006" t="s">
        <v>74</v>
      </c>
      <c r="B1006" t="s">
        <v>28</v>
      </c>
      <c r="C1006" t="s">
        <v>29</v>
      </c>
      <c r="D1006" t="s">
        <v>22</v>
      </c>
      <c r="E1006" t="s">
        <v>23</v>
      </c>
      <c r="F1006">
        <v>839</v>
      </c>
      <c r="G1006">
        <v>30</v>
      </c>
      <c r="H1006">
        <v>11</v>
      </c>
      <c r="I1006">
        <v>858</v>
      </c>
      <c r="J1006">
        <v>13</v>
      </c>
      <c r="K1006">
        <v>3</v>
      </c>
    </row>
    <row r="1007" spans="1:11" x14ac:dyDescent="0.35">
      <c r="A1007" t="s">
        <v>74</v>
      </c>
      <c r="B1007" t="s">
        <v>31</v>
      </c>
      <c r="C1007" t="s">
        <v>32</v>
      </c>
      <c r="D1007" t="s">
        <v>14</v>
      </c>
      <c r="E1007" t="s">
        <v>15</v>
      </c>
      <c r="F1007">
        <v>450</v>
      </c>
      <c r="G1007">
        <v>11</v>
      </c>
      <c r="H1007">
        <v>20</v>
      </c>
      <c r="I1007">
        <v>441</v>
      </c>
      <c r="J1007">
        <v>26</v>
      </c>
      <c r="K1007">
        <v>2</v>
      </c>
    </row>
    <row r="1008" spans="1:11" x14ac:dyDescent="0.35">
      <c r="A1008" t="s">
        <v>74</v>
      </c>
      <c r="B1008" t="s">
        <v>31</v>
      </c>
      <c r="C1008" t="s">
        <v>32</v>
      </c>
      <c r="D1008" t="s">
        <v>16</v>
      </c>
      <c r="E1008" t="s">
        <v>17</v>
      </c>
      <c r="F1008">
        <v>413</v>
      </c>
      <c r="G1008">
        <v>57</v>
      </c>
      <c r="H1008">
        <v>15</v>
      </c>
      <c r="I1008">
        <v>455</v>
      </c>
      <c r="J1008">
        <v>24</v>
      </c>
      <c r="K1008">
        <v>1</v>
      </c>
    </row>
    <row r="1009" spans="1:11" x14ac:dyDescent="0.35">
      <c r="A1009" t="s">
        <v>74</v>
      </c>
      <c r="B1009" t="s">
        <v>31</v>
      </c>
      <c r="C1009" t="s">
        <v>32</v>
      </c>
      <c r="D1009" t="s">
        <v>18</v>
      </c>
      <c r="E1009" t="s">
        <v>19</v>
      </c>
      <c r="F1009">
        <v>116</v>
      </c>
      <c r="G1009">
        <v>27</v>
      </c>
      <c r="H1009">
        <v>39</v>
      </c>
      <c r="I1009">
        <v>104</v>
      </c>
      <c r="J1009">
        <v>50</v>
      </c>
      <c r="K1009">
        <v>5</v>
      </c>
    </row>
    <row r="1010" spans="1:11" x14ac:dyDescent="0.35">
      <c r="A1010" t="s">
        <v>74</v>
      </c>
      <c r="B1010" t="s">
        <v>31</v>
      </c>
      <c r="C1010" t="s">
        <v>32</v>
      </c>
      <c r="D1010" t="s">
        <v>20</v>
      </c>
      <c r="E1010" t="s">
        <v>21</v>
      </c>
      <c r="F1010">
        <v>59</v>
      </c>
      <c r="G1010">
        <v>42</v>
      </c>
      <c r="H1010">
        <v>33</v>
      </c>
      <c r="I1010">
        <v>68</v>
      </c>
      <c r="J1010">
        <v>41</v>
      </c>
      <c r="K1010">
        <v>5</v>
      </c>
    </row>
    <row r="1011" spans="1:11" x14ac:dyDescent="0.35">
      <c r="A1011" t="s">
        <v>74</v>
      </c>
      <c r="B1011" t="s">
        <v>31</v>
      </c>
      <c r="C1011" t="s">
        <v>36</v>
      </c>
      <c r="D1011" t="s">
        <v>22</v>
      </c>
      <c r="E1011" t="s">
        <v>23</v>
      </c>
      <c r="F1011">
        <v>827</v>
      </c>
      <c r="G1011">
        <v>43</v>
      </c>
      <c r="H1011">
        <v>14</v>
      </c>
      <c r="I1011">
        <v>856</v>
      </c>
      <c r="J1011">
        <v>16</v>
      </c>
      <c r="K1011">
        <v>5</v>
      </c>
    </row>
    <row r="1012" spans="1:11" x14ac:dyDescent="0.35">
      <c r="A1012" t="s">
        <v>74</v>
      </c>
      <c r="B1012" t="s">
        <v>33</v>
      </c>
      <c r="C1012" t="s">
        <v>34</v>
      </c>
      <c r="D1012" t="s">
        <v>14</v>
      </c>
      <c r="E1012" t="s">
        <v>15</v>
      </c>
      <c r="F1012">
        <v>252</v>
      </c>
      <c r="G1012">
        <v>49</v>
      </c>
      <c r="H1012">
        <v>15</v>
      </c>
      <c r="I1012">
        <v>286</v>
      </c>
      <c r="J1012">
        <v>16</v>
      </c>
      <c r="K1012">
        <v>3</v>
      </c>
    </row>
    <row r="1013" spans="1:11" x14ac:dyDescent="0.35">
      <c r="A1013" t="s">
        <v>74</v>
      </c>
      <c r="B1013" t="s">
        <v>33</v>
      </c>
      <c r="C1013" t="s">
        <v>34</v>
      </c>
      <c r="D1013" t="s">
        <v>16</v>
      </c>
      <c r="E1013" t="s">
        <v>17</v>
      </c>
      <c r="F1013">
        <v>298</v>
      </c>
      <c r="G1013">
        <v>28</v>
      </c>
      <c r="H1013">
        <v>16</v>
      </c>
      <c r="I1013">
        <v>310</v>
      </c>
      <c r="J1013">
        <v>26</v>
      </c>
      <c r="K1013">
        <v>2</v>
      </c>
    </row>
    <row r="1014" spans="1:11" x14ac:dyDescent="0.35">
      <c r="A1014" t="s">
        <v>74</v>
      </c>
      <c r="B1014" t="s">
        <v>33</v>
      </c>
      <c r="C1014" t="s">
        <v>34</v>
      </c>
      <c r="D1014" t="s">
        <v>18</v>
      </c>
      <c r="E1014" t="s">
        <v>19</v>
      </c>
      <c r="F1014">
        <v>73</v>
      </c>
      <c r="G1014">
        <v>15</v>
      </c>
      <c r="H1014">
        <v>17</v>
      </c>
      <c r="I1014">
        <v>71</v>
      </c>
      <c r="J1014">
        <v>22</v>
      </c>
      <c r="K1014">
        <v>5</v>
      </c>
    </row>
    <row r="1015" spans="1:11" x14ac:dyDescent="0.35">
      <c r="A1015" t="s">
        <v>74</v>
      </c>
      <c r="B1015" t="s">
        <v>33</v>
      </c>
      <c r="C1015" t="s">
        <v>34</v>
      </c>
      <c r="D1015" t="s">
        <v>20</v>
      </c>
      <c r="E1015" t="s">
        <v>21</v>
      </c>
      <c r="F1015">
        <v>380</v>
      </c>
      <c r="G1015">
        <v>0</v>
      </c>
      <c r="H1015">
        <v>49</v>
      </c>
      <c r="I1015">
        <v>331</v>
      </c>
      <c r="J1015">
        <v>57</v>
      </c>
      <c r="K1015">
        <v>3</v>
      </c>
    </row>
    <row r="1016" spans="1:11" x14ac:dyDescent="0.35">
      <c r="A1016" t="s">
        <v>74</v>
      </c>
      <c r="B1016" t="s">
        <v>33</v>
      </c>
      <c r="C1016" t="s">
        <v>34</v>
      </c>
      <c r="D1016" t="s">
        <v>22</v>
      </c>
      <c r="E1016" t="s">
        <v>23</v>
      </c>
      <c r="F1016">
        <v>660</v>
      </c>
      <c r="G1016">
        <v>12</v>
      </c>
      <c r="H1016">
        <v>10</v>
      </c>
      <c r="I1016">
        <v>662</v>
      </c>
      <c r="J1016">
        <v>20</v>
      </c>
      <c r="K1016">
        <v>2</v>
      </c>
    </row>
    <row r="1017" spans="1:11" x14ac:dyDescent="0.35">
      <c r="A1017" t="s">
        <v>76</v>
      </c>
      <c r="B1017" t="s">
        <v>12</v>
      </c>
      <c r="C1017" t="s">
        <v>13</v>
      </c>
      <c r="D1017" t="s">
        <v>14</v>
      </c>
      <c r="E1017" t="s">
        <v>15</v>
      </c>
      <c r="F1017">
        <v>583</v>
      </c>
      <c r="G1017">
        <v>27</v>
      </c>
      <c r="H1017">
        <v>35</v>
      </c>
      <c r="I1017">
        <v>575</v>
      </c>
      <c r="J1017">
        <v>38</v>
      </c>
      <c r="K1017">
        <v>4</v>
      </c>
    </row>
    <row r="1018" spans="1:11" x14ac:dyDescent="0.35">
      <c r="A1018" t="s">
        <v>76</v>
      </c>
      <c r="B1018" t="s">
        <v>12</v>
      </c>
      <c r="C1018" t="s">
        <v>13</v>
      </c>
      <c r="D1018" t="s">
        <v>16</v>
      </c>
      <c r="E1018" t="s">
        <v>17</v>
      </c>
      <c r="F1018">
        <v>351</v>
      </c>
      <c r="G1018">
        <v>60</v>
      </c>
      <c r="H1018">
        <v>19</v>
      </c>
      <c r="I1018">
        <v>392</v>
      </c>
      <c r="J1018">
        <v>29</v>
      </c>
      <c r="K1018">
        <v>5</v>
      </c>
    </row>
    <row r="1019" spans="1:11" x14ac:dyDescent="0.35">
      <c r="A1019" t="s">
        <v>76</v>
      </c>
      <c r="B1019" t="s">
        <v>12</v>
      </c>
      <c r="C1019" t="s">
        <v>13</v>
      </c>
      <c r="D1019" t="s">
        <v>18</v>
      </c>
      <c r="E1019" t="s">
        <v>19</v>
      </c>
      <c r="F1019">
        <v>142</v>
      </c>
      <c r="G1019">
        <v>27</v>
      </c>
      <c r="H1019">
        <v>27</v>
      </c>
      <c r="I1019">
        <v>142</v>
      </c>
      <c r="J1019">
        <v>34</v>
      </c>
      <c r="K1019">
        <v>5</v>
      </c>
    </row>
    <row r="1020" spans="1:11" x14ac:dyDescent="0.35">
      <c r="A1020" t="s">
        <v>76</v>
      </c>
      <c r="B1020" t="s">
        <v>12</v>
      </c>
      <c r="C1020" t="s">
        <v>13</v>
      </c>
      <c r="D1020" t="s">
        <v>20</v>
      </c>
      <c r="E1020" t="s">
        <v>21</v>
      </c>
      <c r="F1020">
        <v>15</v>
      </c>
      <c r="G1020">
        <v>17</v>
      </c>
      <c r="H1020">
        <v>34</v>
      </c>
      <c r="I1020">
        <v>7</v>
      </c>
      <c r="J1020">
        <v>42</v>
      </c>
      <c r="K1020">
        <v>4</v>
      </c>
    </row>
    <row r="1021" spans="1:11" x14ac:dyDescent="0.35">
      <c r="A1021" t="s">
        <v>76</v>
      </c>
      <c r="B1021" t="s">
        <v>12</v>
      </c>
      <c r="C1021" t="s">
        <v>13</v>
      </c>
      <c r="D1021" t="s">
        <v>22</v>
      </c>
      <c r="E1021" t="s">
        <v>23</v>
      </c>
      <c r="F1021">
        <v>662</v>
      </c>
      <c r="G1021">
        <v>9</v>
      </c>
      <c r="H1021">
        <v>7</v>
      </c>
      <c r="I1021">
        <v>664</v>
      </c>
      <c r="J1021">
        <v>21</v>
      </c>
      <c r="K1021">
        <v>5</v>
      </c>
    </row>
    <row r="1022" spans="1:11" x14ac:dyDescent="0.35">
      <c r="A1022" t="s">
        <v>76</v>
      </c>
      <c r="B1022" t="s">
        <v>12</v>
      </c>
      <c r="C1022" t="s">
        <v>24</v>
      </c>
      <c r="D1022" t="s">
        <v>14</v>
      </c>
      <c r="E1022" t="s">
        <v>15</v>
      </c>
      <c r="F1022">
        <v>379</v>
      </c>
      <c r="G1022">
        <v>51</v>
      </c>
      <c r="H1022">
        <v>10</v>
      </c>
      <c r="I1022">
        <v>420</v>
      </c>
      <c r="J1022">
        <v>10</v>
      </c>
      <c r="K1022">
        <v>1</v>
      </c>
    </row>
    <row r="1023" spans="1:11" x14ac:dyDescent="0.35">
      <c r="A1023" t="s">
        <v>76</v>
      </c>
      <c r="B1023" t="s">
        <v>12</v>
      </c>
      <c r="C1023" t="s">
        <v>24</v>
      </c>
      <c r="D1023" t="s">
        <v>16</v>
      </c>
      <c r="E1023" t="s">
        <v>17</v>
      </c>
      <c r="F1023">
        <v>220</v>
      </c>
      <c r="G1023">
        <v>9</v>
      </c>
      <c r="H1023">
        <v>25</v>
      </c>
      <c r="I1023">
        <v>204</v>
      </c>
      <c r="J1023">
        <v>33</v>
      </c>
      <c r="K1023">
        <v>5</v>
      </c>
    </row>
    <row r="1024" spans="1:11" x14ac:dyDescent="0.35">
      <c r="A1024" t="s">
        <v>76</v>
      </c>
      <c r="B1024" t="s">
        <v>12</v>
      </c>
      <c r="C1024" t="s">
        <v>24</v>
      </c>
      <c r="D1024" t="s">
        <v>18</v>
      </c>
      <c r="E1024" t="s">
        <v>19</v>
      </c>
      <c r="F1024">
        <v>115</v>
      </c>
      <c r="G1024">
        <v>6</v>
      </c>
      <c r="H1024">
        <v>26</v>
      </c>
      <c r="I1024">
        <v>95</v>
      </c>
      <c r="J1024">
        <v>29</v>
      </c>
      <c r="K1024">
        <v>4</v>
      </c>
    </row>
    <row r="1025" spans="1:11" x14ac:dyDescent="0.35">
      <c r="A1025" t="s">
        <v>76</v>
      </c>
      <c r="B1025" t="s">
        <v>12</v>
      </c>
      <c r="C1025" t="s">
        <v>24</v>
      </c>
      <c r="D1025" t="s">
        <v>20</v>
      </c>
      <c r="E1025" t="s">
        <v>21</v>
      </c>
      <c r="F1025">
        <v>10</v>
      </c>
      <c r="G1025">
        <v>39</v>
      </c>
      <c r="H1025">
        <v>43</v>
      </c>
      <c r="I1025">
        <v>6</v>
      </c>
      <c r="J1025">
        <v>49</v>
      </c>
      <c r="K1025">
        <v>5</v>
      </c>
    </row>
    <row r="1026" spans="1:11" x14ac:dyDescent="0.35">
      <c r="A1026" t="s">
        <v>76</v>
      </c>
      <c r="B1026" t="s">
        <v>12</v>
      </c>
      <c r="C1026" t="s">
        <v>24</v>
      </c>
      <c r="D1026" t="s">
        <v>22</v>
      </c>
      <c r="E1026" t="s">
        <v>23</v>
      </c>
      <c r="F1026">
        <v>657</v>
      </c>
      <c r="G1026">
        <v>9</v>
      </c>
      <c r="H1026">
        <v>18</v>
      </c>
      <c r="I1026">
        <v>648</v>
      </c>
      <c r="J1026">
        <v>24</v>
      </c>
      <c r="K1026">
        <v>3</v>
      </c>
    </row>
    <row r="1027" spans="1:11" x14ac:dyDescent="0.35">
      <c r="A1027" t="s">
        <v>76</v>
      </c>
      <c r="B1027" t="s">
        <v>12</v>
      </c>
      <c r="C1027" t="s">
        <v>25</v>
      </c>
      <c r="D1027" t="s">
        <v>14</v>
      </c>
      <c r="E1027" t="s">
        <v>15</v>
      </c>
      <c r="F1027">
        <v>364</v>
      </c>
      <c r="G1027">
        <v>3</v>
      </c>
      <c r="H1027">
        <v>13</v>
      </c>
      <c r="I1027">
        <v>354</v>
      </c>
      <c r="J1027">
        <v>24</v>
      </c>
      <c r="K1027">
        <v>4</v>
      </c>
    </row>
    <row r="1028" spans="1:11" x14ac:dyDescent="0.35">
      <c r="A1028" t="s">
        <v>76</v>
      </c>
      <c r="B1028" t="s">
        <v>12</v>
      </c>
      <c r="C1028" t="s">
        <v>25</v>
      </c>
      <c r="D1028" t="s">
        <v>16</v>
      </c>
      <c r="E1028" t="s">
        <v>17</v>
      </c>
      <c r="F1028">
        <v>280</v>
      </c>
      <c r="G1028">
        <v>51</v>
      </c>
      <c r="H1028">
        <v>19</v>
      </c>
      <c r="I1028">
        <v>312</v>
      </c>
      <c r="J1028">
        <v>23</v>
      </c>
      <c r="K1028">
        <v>2</v>
      </c>
    </row>
    <row r="1029" spans="1:11" x14ac:dyDescent="0.35">
      <c r="A1029" t="s">
        <v>76</v>
      </c>
      <c r="B1029" t="s">
        <v>12</v>
      </c>
      <c r="C1029" t="s">
        <v>25</v>
      </c>
      <c r="D1029" t="s">
        <v>18</v>
      </c>
      <c r="E1029" t="s">
        <v>19</v>
      </c>
      <c r="F1029">
        <v>95</v>
      </c>
      <c r="G1029">
        <v>41</v>
      </c>
      <c r="H1029">
        <v>32</v>
      </c>
      <c r="I1029">
        <v>104</v>
      </c>
      <c r="J1029">
        <v>38</v>
      </c>
      <c r="K1029">
        <v>2</v>
      </c>
    </row>
    <row r="1030" spans="1:11" x14ac:dyDescent="0.35">
      <c r="A1030" t="s">
        <v>76</v>
      </c>
      <c r="B1030" t="s">
        <v>12</v>
      </c>
      <c r="C1030" t="s">
        <v>25</v>
      </c>
      <c r="D1030" t="s">
        <v>20</v>
      </c>
      <c r="E1030" t="s">
        <v>21</v>
      </c>
      <c r="F1030">
        <v>119</v>
      </c>
      <c r="G1030">
        <v>50</v>
      </c>
      <c r="H1030">
        <v>24</v>
      </c>
      <c r="I1030">
        <v>145</v>
      </c>
      <c r="J1030">
        <v>39</v>
      </c>
      <c r="K1030">
        <v>1</v>
      </c>
    </row>
    <row r="1031" spans="1:11" x14ac:dyDescent="0.35">
      <c r="A1031" t="s">
        <v>76</v>
      </c>
      <c r="B1031" t="s">
        <v>12</v>
      </c>
      <c r="C1031" t="s">
        <v>25</v>
      </c>
      <c r="D1031" t="s">
        <v>22</v>
      </c>
      <c r="E1031" t="s">
        <v>23</v>
      </c>
      <c r="F1031">
        <v>763</v>
      </c>
      <c r="G1031">
        <v>13</v>
      </c>
      <c r="H1031">
        <v>8</v>
      </c>
      <c r="I1031">
        <v>768</v>
      </c>
      <c r="J1031">
        <v>12</v>
      </c>
      <c r="K1031">
        <v>1</v>
      </c>
    </row>
    <row r="1032" spans="1:11" x14ac:dyDescent="0.35">
      <c r="A1032" t="s">
        <v>76</v>
      </c>
      <c r="B1032" t="s">
        <v>26</v>
      </c>
      <c r="C1032" t="s">
        <v>27</v>
      </c>
      <c r="D1032" t="s">
        <v>14</v>
      </c>
      <c r="E1032" t="s">
        <v>15</v>
      </c>
      <c r="F1032">
        <v>647</v>
      </c>
      <c r="G1032">
        <v>10</v>
      </c>
      <c r="H1032">
        <v>33</v>
      </c>
      <c r="I1032">
        <v>624</v>
      </c>
      <c r="J1032">
        <v>41</v>
      </c>
      <c r="K1032">
        <v>4</v>
      </c>
    </row>
    <row r="1033" spans="1:11" x14ac:dyDescent="0.35">
      <c r="A1033" t="s">
        <v>76</v>
      </c>
      <c r="B1033" t="s">
        <v>26</v>
      </c>
      <c r="C1033" t="s">
        <v>27</v>
      </c>
      <c r="D1033" t="s">
        <v>16</v>
      </c>
      <c r="E1033" t="s">
        <v>17</v>
      </c>
      <c r="F1033">
        <v>441</v>
      </c>
      <c r="G1033">
        <v>2</v>
      </c>
      <c r="H1033">
        <v>20</v>
      </c>
      <c r="I1033">
        <v>423</v>
      </c>
      <c r="J1033">
        <v>30</v>
      </c>
      <c r="K1033">
        <v>5</v>
      </c>
    </row>
    <row r="1034" spans="1:11" x14ac:dyDescent="0.35">
      <c r="A1034" t="s">
        <v>76</v>
      </c>
      <c r="B1034" t="s">
        <v>26</v>
      </c>
      <c r="C1034" t="s">
        <v>27</v>
      </c>
      <c r="D1034" t="s">
        <v>18</v>
      </c>
      <c r="E1034" t="s">
        <v>19</v>
      </c>
      <c r="F1034">
        <v>106</v>
      </c>
      <c r="G1034">
        <v>27</v>
      </c>
      <c r="H1034">
        <v>22</v>
      </c>
      <c r="I1034">
        <v>111</v>
      </c>
      <c r="J1034">
        <v>31</v>
      </c>
      <c r="K1034">
        <v>2</v>
      </c>
    </row>
    <row r="1035" spans="1:11" x14ac:dyDescent="0.35">
      <c r="A1035" t="s">
        <v>76</v>
      </c>
      <c r="B1035" t="s">
        <v>26</v>
      </c>
      <c r="C1035" t="s">
        <v>27</v>
      </c>
      <c r="D1035" t="s">
        <v>20</v>
      </c>
      <c r="E1035" t="s">
        <v>21</v>
      </c>
      <c r="F1035">
        <v>304</v>
      </c>
      <c r="G1035">
        <v>45</v>
      </c>
      <c r="H1035">
        <v>22</v>
      </c>
      <c r="I1035">
        <v>327</v>
      </c>
      <c r="J1035">
        <v>27</v>
      </c>
      <c r="K1035">
        <v>2</v>
      </c>
    </row>
    <row r="1036" spans="1:11" x14ac:dyDescent="0.35">
      <c r="A1036" t="s">
        <v>76</v>
      </c>
      <c r="B1036" t="s">
        <v>26</v>
      </c>
      <c r="C1036" t="s">
        <v>27</v>
      </c>
      <c r="D1036" t="s">
        <v>22</v>
      </c>
      <c r="E1036" t="s">
        <v>23</v>
      </c>
      <c r="F1036">
        <v>546</v>
      </c>
      <c r="G1036">
        <v>52</v>
      </c>
      <c r="H1036">
        <v>18</v>
      </c>
      <c r="I1036">
        <v>580</v>
      </c>
      <c r="J1036">
        <v>29</v>
      </c>
      <c r="K1036">
        <v>5</v>
      </c>
    </row>
    <row r="1037" spans="1:11" x14ac:dyDescent="0.35">
      <c r="A1037" t="s">
        <v>76</v>
      </c>
      <c r="B1037" t="s">
        <v>28</v>
      </c>
      <c r="C1037" t="s">
        <v>29</v>
      </c>
      <c r="D1037" t="s">
        <v>14</v>
      </c>
      <c r="E1037" t="s">
        <v>15</v>
      </c>
      <c r="F1037">
        <v>414</v>
      </c>
      <c r="G1037">
        <v>52</v>
      </c>
      <c r="H1037">
        <v>10</v>
      </c>
      <c r="I1037">
        <v>456</v>
      </c>
      <c r="J1037">
        <v>25</v>
      </c>
      <c r="K1037">
        <v>5</v>
      </c>
    </row>
    <row r="1038" spans="1:11" x14ac:dyDescent="0.35">
      <c r="A1038" t="s">
        <v>76</v>
      </c>
      <c r="B1038" t="s">
        <v>28</v>
      </c>
      <c r="C1038" t="s">
        <v>29</v>
      </c>
      <c r="D1038" t="s">
        <v>16</v>
      </c>
      <c r="E1038" t="s">
        <v>17</v>
      </c>
      <c r="F1038">
        <v>472</v>
      </c>
      <c r="G1038">
        <v>50</v>
      </c>
      <c r="H1038">
        <v>29</v>
      </c>
      <c r="I1038">
        <v>493</v>
      </c>
      <c r="J1038">
        <v>41</v>
      </c>
      <c r="K1038">
        <v>3</v>
      </c>
    </row>
    <row r="1039" spans="1:11" x14ac:dyDescent="0.35">
      <c r="A1039" t="s">
        <v>76</v>
      </c>
      <c r="B1039" t="s">
        <v>28</v>
      </c>
      <c r="C1039" t="s">
        <v>29</v>
      </c>
      <c r="D1039" t="s">
        <v>18</v>
      </c>
      <c r="E1039" t="s">
        <v>19</v>
      </c>
      <c r="F1039">
        <v>92</v>
      </c>
      <c r="G1039">
        <v>46</v>
      </c>
      <c r="H1039">
        <v>43</v>
      </c>
      <c r="I1039">
        <v>95</v>
      </c>
      <c r="J1039">
        <v>47</v>
      </c>
      <c r="K1039">
        <v>1</v>
      </c>
    </row>
    <row r="1040" spans="1:11" x14ac:dyDescent="0.35">
      <c r="A1040" t="s">
        <v>76</v>
      </c>
      <c r="B1040" t="s">
        <v>28</v>
      </c>
      <c r="C1040" t="s">
        <v>29</v>
      </c>
      <c r="D1040" t="s">
        <v>20</v>
      </c>
      <c r="E1040" t="s">
        <v>21</v>
      </c>
      <c r="F1040">
        <v>15</v>
      </c>
      <c r="G1040">
        <v>58</v>
      </c>
      <c r="H1040">
        <v>41</v>
      </c>
      <c r="I1040">
        <v>32</v>
      </c>
      <c r="J1040">
        <v>54</v>
      </c>
      <c r="K1040">
        <v>3</v>
      </c>
    </row>
    <row r="1041" spans="1:11" x14ac:dyDescent="0.35">
      <c r="A1041" t="s">
        <v>76</v>
      </c>
      <c r="B1041" t="s">
        <v>28</v>
      </c>
      <c r="C1041" t="s">
        <v>29</v>
      </c>
      <c r="D1041" t="s">
        <v>22</v>
      </c>
      <c r="E1041" t="s">
        <v>23</v>
      </c>
      <c r="F1041">
        <v>858</v>
      </c>
      <c r="G1041">
        <v>35</v>
      </c>
      <c r="H1041">
        <v>14</v>
      </c>
      <c r="I1041">
        <v>879</v>
      </c>
      <c r="J1041">
        <v>23</v>
      </c>
      <c r="K1041">
        <v>4</v>
      </c>
    </row>
    <row r="1042" spans="1:11" x14ac:dyDescent="0.35">
      <c r="A1042" t="s">
        <v>76</v>
      </c>
      <c r="B1042" t="s">
        <v>31</v>
      </c>
      <c r="C1042" t="s">
        <v>32</v>
      </c>
      <c r="D1042" t="s">
        <v>14</v>
      </c>
      <c r="E1042" t="s">
        <v>15</v>
      </c>
      <c r="F1042">
        <v>441</v>
      </c>
      <c r="G1042">
        <v>43</v>
      </c>
      <c r="H1042">
        <v>16</v>
      </c>
      <c r="I1042">
        <v>468</v>
      </c>
      <c r="J1042">
        <v>23</v>
      </c>
      <c r="K1042">
        <v>2</v>
      </c>
    </row>
    <row r="1043" spans="1:11" x14ac:dyDescent="0.35">
      <c r="A1043" t="s">
        <v>76</v>
      </c>
      <c r="B1043" t="s">
        <v>31</v>
      </c>
      <c r="C1043" t="s">
        <v>32</v>
      </c>
      <c r="D1043" t="s">
        <v>16</v>
      </c>
      <c r="E1043" t="s">
        <v>17</v>
      </c>
      <c r="F1043">
        <v>455</v>
      </c>
      <c r="G1043">
        <v>38</v>
      </c>
      <c r="H1043">
        <v>23</v>
      </c>
      <c r="I1043">
        <v>470</v>
      </c>
      <c r="J1043">
        <v>32</v>
      </c>
      <c r="K1043">
        <v>1</v>
      </c>
    </row>
    <row r="1044" spans="1:11" x14ac:dyDescent="0.35">
      <c r="A1044" t="s">
        <v>76</v>
      </c>
      <c r="B1044" t="s">
        <v>31</v>
      </c>
      <c r="C1044" t="s">
        <v>32</v>
      </c>
      <c r="D1044" t="s">
        <v>18</v>
      </c>
      <c r="E1044" t="s">
        <v>19</v>
      </c>
      <c r="F1044">
        <v>104</v>
      </c>
      <c r="G1044">
        <v>29</v>
      </c>
      <c r="H1044">
        <v>46</v>
      </c>
      <c r="I1044">
        <v>87</v>
      </c>
      <c r="J1044">
        <v>51</v>
      </c>
      <c r="K1044">
        <v>5</v>
      </c>
    </row>
    <row r="1045" spans="1:11" x14ac:dyDescent="0.35">
      <c r="A1045" t="s">
        <v>76</v>
      </c>
      <c r="B1045" t="s">
        <v>31</v>
      </c>
      <c r="C1045" t="s">
        <v>32</v>
      </c>
      <c r="D1045" t="s">
        <v>20</v>
      </c>
      <c r="E1045" t="s">
        <v>21</v>
      </c>
      <c r="F1045">
        <v>68</v>
      </c>
      <c r="G1045">
        <v>44</v>
      </c>
      <c r="H1045">
        <v>39</v>
      </c>
      <c r="I1045">
        <v>73</v>
      </c>
      <c r="J1045">
        <v>48</v>
      </c>
      <c r="K1045">
        <v>4</v>
      </c>
    </row>
    <row r="1046" spans="1:11" x14ac:dyDescent="0.35">
      <c r="A1046" t="s">
        <v>76</v>
      </c>
      <c r="B1046" t="s">
        <v>31</v>
      </c>
      <c r="C1046" t="s">
        <v>32</v>
      </c>
      <c r="D1046" t="s">
        <v>22</v>
      </c>
      <c r="E1046" t="s">
        <v>23</v>
      </c>
      <c r="F1046">
        <v>856</v>
      </c>
      <c r="G1046">
        <v>13</v>
      </c>
      <c r="H1046">
        <v>5</v>
      </c>
      <c r="I1046">
        <v>864</v>
      </c>
      <c r="J1046">
        <v>5</v>
      </c>
      <c r="K1046">
        <v>3</v>
      </c>
    </row>
    <row r="1047" spans="1:11" x14ac:dyDescent="0.35">
      <c r="A1047" t="s">
        <v>76</v>
      </c>
      <c r="B1047" t="s">
        <v>33</v>
      </c>
      <c r="C1047" t="s">
        <v>34</v>
      </c>
      <c r="D1047" t="s">
        <v>14</v>
      </c>
      <c r="E1047" t="s">
        <v>15</v>
      </c>
      <c r="F1047">
        <v>286</v>
      </c>
      <c r="G1047">
        <v>37</v>
      </c>
      <c r="H1047">
        <v>34</v>
      </c>
      <c r="I1047">
        <v>289</v>
      </c>
      <c r="J1047">
        <v>44</v>
      </c>
      <c r="K1047">
        <v>1</v>
      </c>
    </row>
    <row r="1048" spans="1:11" x14ac:dyDescent="0.35">
      <c r="A1048" t="s">
        <v>76</v>
      </c>
      <c r="B1048" t="s">
        <v>33</v>
      </c>
      <c r="C1048" t="s">
        <v>34</v>
      </c>
      <c r="D1048" t="s">
        <v>16</v>
      </c>
      <c r="E1048" t="s">
        <v>17</v>
      </c>
      <c r="F1048">
        <v>310</v>
      </c>
      <c r="G1048">
        <v>20</v>
      </c>
      <c r="H1048">
        <v>10</v>
      </c>
      <c r="I1048">
        <v>320</v>
      </c>
      <c r="J1048">
        <v>14</v>
      </c>
      <c r="K1048">
        <v>5</v>
      </c>
    </row>
    <row r="1049" spans="1:11" x14ac:dyDescent="0.35">
      <c r="A1049" t="s">
        <v>76</v>
      </c>
      <c r="B1049" t="s">
        <v>33</v>
      </c>
      <c r="C1049" t="s">
        <v>34</v>
      </c>
      <c r="D1049" t="s">
        <v>18</v>
      </c>
      <c r="E1049" t="s">
        <v>19</v>
      </c>
      <c r="F1049">
        <v>71</v>
      </c>
      <c r="G1049">
        <v>40</v>
      </c>
      <c r="H1049">
        <v>25</v>
      </c>
      <c r="I1049">
        <v>86</v>
      </c>
      <c r="J1049">
        <v>37</v>
      </c>
      <c r="K1049">
        <v>1</v>
      </c>
    </row>
    <row r="1050" spans="1:11" x14ac:dyDescent="0.35">
      <c r="A1050" t="s">
        <v>76</v>
      </c>
      <c r="B1050" t="s">
        <v>33</v>
      </c>
      <c r="C1050" t="s">
        <v>34</v>
      </c>
      <c r="D1050" t="s">
        <v>20</v>
      </c>
      <c r="E1050" t="s">
        <v>21</v>
      </c>
      <c r="F1050">
        <v>331</v>
      </c>
      <c r="G1050">
        <v>19</v>
      </c>
      <c r="H1050">
        <v>24</v>
      </c>
      <c r="I1050">
        <v>326</v>
      </c>
      <c r="J1050">
        <v>37</v>
      </c>
      <c r="K1050">
        <v>1</v>
      </c>
    </row>
    <row r="1051" spans="1:11" x14ac:dyDescent="0.35">
      <c r="A1051" t="s">
        <v>76</v>
      </c>
      <c r="B1051" t="s">
        <v>33</v>
      </c>
      <c r="C1051" t="s">
        <v>34</v>
      </c>
      <c r="D1051" t="s">
        <v>22</v>
      </c>
      <c r="E1051" t="s">
        <v>23</v>
      </c>
      <c r="F1051">
        <v>662</v>
      </c>
      <c r="G1051">
        <v>16</v>
      </c>
      <c r="H1051">
        <v>12</v>
      </c>
      <c r="I1051">
        <v>666</v>
      </c>
      <c r="J1051">
        <v>27</v>
      </c>
      <c r="K1051">
        <v>5</v>
      </c>
    </row>
    <row r="1052" spans="1:11" x14ac:dyDescent="0.35">
      <c r="A1052" t="s">
        <v>67</v>
      </c>
      <c r="B1052" t="s">
        <v>12</v>
      </c>
      <c r="C1052" t="s">
        <v>24</v>
      </c>
      <c r="D1052" t="s">
        <v>16</v>
      </c>
      <c r="E1052" t="s">
        <v>17</v>
      </c>
      <c r="F1052">
        <v>219</v>
      </c>
      <c r="G1052">
        <v>9</v>
      </c>
      <c r="H1052">
        <v>12</v>
      </c>
      <c r="I1052">
        <v>216</v>
      </c>
      <c r="J1052">
        <v>24</v>
      </c>
      <c r="K1052">
        <v>3</v>
      </c>
    </row>
    <row r="1053" spans="1:11" x14ac:dyDescent="0.35">
      <c r="A1053" t="s">
        <v>70</v>
      </c>
      <c r="B1053" t="s">
        <v>33</v>
      </c>
      <c r="C1053" t="s">
        <v>34</v>
      </c>
      <c r="D1053" t="s">
        <v>14</v>
      </c>
      <c r="E1053" t="s">
        <v>15</v>
      </c>
      <c r="F1053">
        <v>253</v>
      </c>
      <c r="G1053">
        <v>8</v>
      </c>
      <c r="H1053">
        <v>23</v>
      </c>
      <c r="I1053">
        <v>238</v>
      </c>
      <c r="J1053">
        <v>25</v>
      </c>
      <c r="K1053">
        <v>5</v>
      </c>
    </row>
    <row r="1054" spans="1:11" x14ac:dyDescent="0.35">
      <c r="A1054" t="s">
        <v>41</v>
      </c>
      <c r="B1054" t="s">
        <v>12</v>
      </c>
      <c r="C1054" t="s">
        <v>13</v>
      </c>
      <c r="D1054" t="s">
        <v>14</v>
      </c>
      <c r="E1054" t="s">
        <v>15</v>
      </c>
      <c r="F1054">
        <v>241</v>
      </c>
      <c r="G1054">
        <v>57</v>
      </c>
      <c r="H1054">
        <v>27</v>
      </c>
      <c r="I1054">
        <v>271</v>
      </c>
      <c r="J1054">
        <v>29</v>
      </c>
      <c r="K1054">
        <v>5</v>
      </c>
    </row>
    <row r="1055" spans="1:11" x14ac:dyDescent="0.35">
      <c r="A1055" t="s">
        <v>46</v>
      </c>
      <c r="B1055" t="s">
        <v>12</v>
      </c>
      <c r="C1055" t="s">
        <v>25</v>
      </c>
      <c r="D1055" t="s">
        <v>22</v>
      </c>
      <c r="E1055" t="s">
        <v>23</v>
      </c>
      <c r="F1055">
        <v>279</v>
      </c>
      <c r="G1055">
        <v>21</v>
      </c>
      <c r="H1055">
        <v>5</v>
      </c>
      <c r="I1055">
        <v>295</v>
      </c>
      <c r="J1055">
        <v>6</v>
      </c>
      <c r="K1055">
        <v>2</v>
      </c>
    </row>
    <row r="1056" spans="1:11" x14ac:dyDescent="0.35">
      <c r="A1056" t="s">
        <v>53</v>
      </c>
      <c r="B1056" t="s">
        <v>12</v>
      </c>
      <c r="C1056" t="s">
        <v>24</v>
      </c>
      <c r="D1056" t="s">
        <v>18</v>
      </c>
      <c r="E1056" t="s">
        <v>19</v>
      </c>
      <c r="F1056">
        <v>74</v>
      </c>
      <c r="G1056">
        <v>52</v>
      </c>
      <c r="H1056">
        <v>49</v>
      </c>
      <c r="I1056">
        <v>77</v>
      </c>
      <c r="J1056">
        <v>56</v>
      </c>
      <c r="K1056">
        <v>4</v>
      </c>
    </row>
    <row r="1057" spans="1:11" x14ac:dyDescent="0.35">
      <c r="A1057" t="s">
        <v>58</v>
      </c>
      <c r="B1057" t="s">
        <v>28</v>
      </c>
      <c r="C1057" t="s">
        <v>29</v>
      </c>
      <c r="D1057" t="s">
        <v>18</v>
      </c>
      <c r="E1057" t="s">
        <v>19</v>
      </c>
      <c r="F1057">
        <v>70</v>
      </c>
      <c r="G1057">
        <v>28</v>
      </c>
      <c r="H1057">
        <v>38</v>
      </c>
      <c r="I1057">
        <v>60</v>
      </c>
      <c r="J1057">
        <v>49</v>
      </c>
      <c r="K1057">
        <v>1</v>
      </c>
    </row>
    <row r="1058" spans="1:11" x14ac:dyDescent="0.35">
      <c r="A1058" t="s">
        <v>69</v>
      </c>
      <c r="B1058" t="s">
        <v>26</v>
      </c>
      <c r="C1058" t="s">
        <v>27</v>
      </c>
      <c r="D1058" t="s">
        <v>18</v>
      </c>
      <c r="E1058" t="s">
        <v>19</v>
      </c>
      <c r="F1058">
        <v>69</v>
      </c>
      <c r="G1058">
        <v>2</v>
      </c>
      <c r="H1058">
        <v>35</v>
      </c>
      <c r="I1058">
        <v>36</v>
      </c>
      <c r="J1058">
        <v>42</v>
      </c>
      <c r="K1058">
        <v>2</v>
      </c>
    </row>
    <row r="1059" spans="1:11" x14ac:dyDescent="0.35">
      <c r="A1059" t="s">
        <v>63</v>
      </c>
      <c r="B1059" t="s">
        <v>26</v>
      </c>
      <c r="C1059" t="s">
        <v>27</v>
      </c>
      <c r="D1059" t="s">
        <v>14</v>
      </c>
      <c r="E1059" t="s">
        <v>15</v>
      </c>
      <c r="F1059">
        <v>491</v>
      </c>
      <c r="G1059">
        <v>55</v>
      </c>
      <c r="H1059">
        <v>33</v>
      </c>
      <c r="I1059">
        <v>513</v>
      </c>
      <c r="J1059">
        <v>35</v>
      </c>
      <c r="K1059">
        <v>2</v>
      </c>
    </row>
    <row r="1060" spans="1:11" x14ac:dyDescent="0.35">
      <c r="A1060" t="s">
        <v>74</v>
      </c>
      <c r="B1060" t="s">
        <v>12</v>
      </c>
      <c r="C1060" t="s">
        <v>24</v>
      </c>
      <c r="D1060" t="s">
        <v>16</v>
      </c>
      <c r="E1060" t="s">
        <v>17</v>
      </c>
      <c r="F1060">
        <v>230</v>
      </c>
      <c r="G1060">
        <v>16</v>
      </c>
      <c r="H1060">
        <v>26</v>
      </c>
      <c r="I1060">
        <v>220</v>
      </c>
      <c r="J1060">
        <v>30</v>
      </c>
      <c r="K1060">
        <v>2</v>
      </c>
    </row>
    <row r="1061" spans="1:11" x14ac:dyDescent="0.35">
      <c r="A1061" t="s">
        <v>55</v>
      </c>
      <c r="B1061" t="s">
        <v>33</v>
      </c>
      <c r="C1061" t="s">
        <v>34</v>
      </c>
      <c r="D1061" t="s">
        <v>16</v>
      </c>
      <c r="E1061" t="s">
        <v>17</v>
      </c>
      <c r="F1061">
        <v>261</v>
      </c>
      <c r="G1061">
        <v>16</v>
      </c>
      <c r="H1061">
        <v>33</v>
      </c>
      <c r="I1061">
        <v>244</v>
      </c>
      <c r="K1061">
        <v>1</v>
      </c>
    </row>
    <row r="1062" spans="1:11" x14ac:dyDescent="0.35">
      <c r="A1062" t="s">
        <v>64</v>
      </c>
      <c r="B1062" t="s">
        <v>12</v>
      </c>
      <c r="C1062" t="s">
        <v>25</v>
      </c>
      <c r="D1062" t="s">
        <v>16</v>
      </c>
      <c r="E1062" t="s">
        <v>17</v>
      </c>
      <c r="F1062">
        <v>321</v>
      </c>
      <c r="G1062">
        <v>6</v>
      </c>
      <c r="H1062">
        <v>35</v>
      </c>
      <c r="I1062">
        <v>292</v>
      </c>
      <c r="J1062">
        <v>48</v>
      </c>
      <c r="K1062">
        <v>3</v>
      </c>
    </row>
    <row r="1063" spans="1:11" x14ac:dyDescent="0.35">
      <c r="A1063" t="s">
        <v>58</v>
      </c>
      <c r="B1063" t="s">
        <v>31</v>
      </c>
      <c r="C1063" t="s">
        <v>32</v>
      </c>
      <c r="D1063" t="s">
        <v>22</v>
      </c>
      <c r="E1063" t="s">
        <v>23</v>
      </c>
      <c r="F1063">
        <v>584</v>
      </c>
      <c r="G1063">
        <v>50</v>
      </c>
      <c r="H1063">
        <v>12</v>
      </c>
      <c r="I1063">
        <v>622</v>
      </c>
      <c r="J1063">
        <v>26</v>
      </c>
      <c r="K1063">
        <v>3</v>
      </c>
    </row>
    <row r="1064" spans="1:11" x14ac:dyDescent="0.35">
      <c r="A1064" t="s">
        <v>71</v>
      </c>
      <c r="B1064" t="s">
        <v>12</v>
      </c>
      <c r="C1064" t="s">
        <v>13</v>
      </c>
      <c r="D1064" t="s">
        <v>16</v>
      </c>
      <c r="E1064" t="s">
        <v>17</v>
      </c>
      <c r="F1064">
        <v>341</v>
      </c>
      <c r="G1064">
        <v>12</v>
      </c>
      <c r="H1064">
        <v>15</v>
      </c>
      <c r="I1064">
        <v>338</v>
      </c>
      <c r="J1064">
        <v>17</v>
      </c>
      <c r="K1064">
        <v>5</v>
      </c>
    </row>
    <row r="1065" spans="1:11" x14ac:dyDescent="0.35">
      <c r="A1065" t="s">
        <v>69</v>
      </c>
      <c r="B1065" t="s">
        <v>28</v>
      </c>
      <c r="C1065" t="s">
        <v>29</v>
      </c>
      <c r="D1065" t="s">
        <v>18</v>
      </c>
      <c r="E1065" t="s">
        <v>19</v>
      </c>
      <c r="F1065">
        <v>78</v>
      </c>
      <c r="G1065">
        <v>51</v>
      </c>
      <c r="H1065">
        <v>17</v>
      </c>
      <c r="I1065">
        <v>112</v>
      </c>
      <c r="J1065">
        <v>22</v>
      </c>
      <c r="K1065">
        <v>2</v>
      </c>
    </row>
    <row r="1066" spans="1:11" x14ac:dyDescent="0.35">
      <c r="A1066" t="s">
        <v>59</v>
      </c>
      <c r="B1066" t="s">
        <v>12</v>
      </c>
      <c r="C1066" t="s">
        <v>13</v>
      </c>
      <c r="D1066" t="s">
        <v>20</v>
      </c>
      <c r="E1066" t="s">
        <v>21</v>
      </c>
      <c r="F1066">
        <v>71</v>
      </c>
      <c r="G1066">
        <v>19</v>
      </c>
      <c r="H1066">
        <v>22</v>
      </c>
      <c r="I1066">
        <v>68</v>
      </c>
      <c r="J1066">
        <v>29</v>
      </c>
      <c r="K1066">
        <v>2</v>
      </c>
    </row>
    <row r="1067" spans="1:11" x14ac:dyDescent="0.35">
      <c r="A1067" t="s">
        <v>40</v>
      </c>
      <c r="B1067" t="s">
        <v>33</v>
      </c>
      <c r="C1067" t="s">
        <v>34</v>
      </c>
      <c r="D1067" t="s">
        <v>16</v>
      </c>
      <c r="E1067" t="s">
        <v>17</v>
      </c>
      <c r="F1067">
        <v>136</v>
      </c>
      <c r="G1067">
        <v>1</v>
      </c>
      <c r="H1067">
        <v>31</v>
      </c>
      <c r="I1067">
        <v>106</v>
      </c>
      <c r="J1067">
        <v>32</v>
      </c>
      <c r="K1067">
        <v>4</v>
      </c>
    </row>
    <row r="1068" spans="1:11" x14ac:dyDescent="0.35">
      <c r="A1068" t="s">
        <v>11</v>
      </c>
      <c r="B1068" t="s">
        <v>12</v>
      </c>
      <c r="C1068" t="s">
        <v>25</v>
      </c>
      <c r="D1068" t="s">
        <v>18</v>
      </c>
      <c r="E1068" t="s">
        <v>19</v>
      </c>
      <c r="F1068">
        <v>105</v>
      </c>
      <c r="G1068">
        <v>49</v>
      </c>
      <c r="H1068">
        <v>47</v>
      </c>
      <c r="I1068">
        <v>107</v>
      </c>
      <c r="J1068">
        <v>61</v>
      </c>
      <c r="K1068">
        <v>5</v>
      </c>
    </row>
    <row r="1069" spans="1:11" x14ac:dyDescent="0.35">
      <c r="A1069" t="s">
        <v>74</v>
      </c>
      <c r="B1069" t="s">
        <v>26</v>
      </c>
      <c r="C1069" t="s">
        <v>27</v>
      </c>
      <c r="D1069" t="s">
        <v>18</v>
      </c>
      <c r="E1069" t="s">
        <v>19</v>
      </c>
      <c r="F1069">
        <v>63</v>
      </c>
      <c r="G1069">
        <v>59</v>
      </c>
      <c r="H1069">
        <v>16</v>
      </c>
      <c r="I1069">
        <v>106</v>
      </c>
      <c r="J1069">
        <v>28</v>
      </c>
      <c r="K1069">
        <v>4</v>
      </c>
    </row>
    <row r="1070" spans="1:11" x14ac:dyDescent="0.35">
      <c r="A1070" t="s">
        <v>37</v>
      </c>
      <c r="B1070" t="s">
        <v>33</v>
      </c>
      <c r="C1070" t="s">
        <v>34</v>
      </c>
      <c r="D1070" t="s">
        <v>18</v>
      </c>
      <c r="E1070" t="s">
        <v>19</v>
      </c>
      <c r="F1070">
        <v>148</v>
      </c>
      <c r="G1070">
        <v>20</v>
      </c>
      <c r="H1070">
        <v>49</v>
      </c>
      <c r="I1070">
        <v>119</v>
      </c>
      <c r="J1070">
        <v>52</v>
      </c>
      <c r="K1070">
        <v>2</v>
      </c>
    </row>
    <row r="1071" spans="1:11" x14ac:dyDescent="0.35">
      <c r="A1071" t="s">
        <v>68</v>
      </c>
      <c r="B1071" t="s">
        <v>31</v>
      </c>
      <c r="C1071" t="s">
        <v>32</v>
      </c>
      <c r="D1071" t="s">
        <v>14</v>
      </c>
      <c r="E1071" t="s">
        <v>15</v>
      </c>
      <c r="F1071">
        <v>352</v>
      </c>
      <c r="G1071">
        <v>41</v>
      </c>
      <c r="H1071">
        <v>19</v>
      </c>
      <c r="I1071">
        <v>374</v>
      </c>
      <c r="J1071">
        <v>33</v>
      </c>
      <c r="K1071">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AE33-B0E9-4A27-B8A7-23232BC34904}">
  <dimension ref="A1:P1051"/>
  <sheetViews>
    <sheetView zoomScale="70" zoomScaleNormal="70" workbookViewId="0">
      <selection activeCell="E4" sqref="E4"/>
    </sheetView>
  </sheetViews>
  <sheetFormatPr defaultRowHeight="14.5" x14ac:dyDescent="0.35"/>
  <cols>
    <col min="1" max="5" width="20" customWidth="1"/>
    <col min="6" max="6" width="20.26953125" customWidth="1"/>
    <col min="7" max="11" width="20" customWidth="1"/>
    <col min="12" max="12" width="15" bestFit="1" customWidth="1"/>
    <col min="13" max="13" width="18.453125" customWidth="1"/>
    <col min="14" max="14" width="26.36328125" customWidth="1"/>
    <col min="16" max="16" width="31.81640625" customWidth="1"/>
  </cols>
  <sheetData>
    <row r="1" spans="1:16" x14ac:dyDescent="0.35">
      <c r="A1" s="3" t="s">
        <v>0</v>
      </c>
      <c r="B1" s="1" t="s">
        <v>1</v>
      </c>
      <c r="C1" s="1" t="s">
        <v>2</v>
      </c>
      <c r="D1" s="1" t="s">
        <v>3</v>
      </c>
      <c r="E1" s="1" t="s">
        <v>4</v>
      </c>
      <c r="F1" s="1" t="s">
        <v>5</v>
      </c>
      <c r="G1" s="1" t="s">
        <v>6</v>
      </c>
      <c r="H1" s="1" t="s">
        <v>7</v>
      </c>
      <c r="I1" s="1" t="s">
        <v>8</v>
      </c>
      <c r="J1" s="1" t="s">
        <v>9</v>
      </c>
      <c r="K1" s="1" t="s">
        <v>10</v>
      </c>
      <c r="L1" s="2" t="s">
        <v>77</v>
      </c>
      <c r="M1" s="2" t="s">
        <v>78</v>
      </c>
      <c r="N1" s="1" t="s">
        <v>79</v>
      </c>
      <c r="O1" s="2" t="s">
        <v>80</v>
      </c>
      <c r="P1" s="2" t="s">
        <v>81</v>
      </c>
    </row>
    <row r="2" spans="1:16" hidden="1" x14ac:dyDescent="0.35">
      <c r="A2" s="4">
        <v>46143</v>
      </c>
      <c r="B2" t="s">
        <v>12</v>
      </c>
      <c r="C2" t="s">
        <v>13</v>
      </c>
      <c r="D2" t="s">
        <v>14</v>
      </c>
      <c r="E2" t="s">
        <v>15</v>
      </c>
      <c r="F2">
        <v>213</v>
      </c>
      <c r="G2">
        <v>10</v>
      </c>
      <c r="H2">
        <v>30</v>
      </c>
      <c r="I2">
        <f>F2+G2-H2</f>
        <v>193</v>
      </c>
      <c r="J2">
        <v>36</v>
      </c>
      <c r="K2">
        <v>2</v>
      </c>
      <c r="L2" t="str">
        <f>IF(I2&lt;0,"Need verification","Correct")</f>
        <v>Correct</v>
      </c>
      <c r="M2">
        <f>IF(J2=0,0,(H2/J2)*100)</f>
        <v>83.333333333333343</v>
      </c>
      <c r="N2">
        <f t="shared" ref="N2:N65" si="0">SUMIFS($H:$H,$B:$B,B2,$C:$C,C2,$D:$D,D2)/COUNTIFS($B:$B,B2,$C:$C,C2,$D:$D,D2)</f>
        <v>21.666666666666668</v>
      </c>
      <c r="O2">
        <f>IFERROR(I2/N2,0)</f>
        <v>8.907692307692308</v>
      </c>
      <c r="P2" t="str">
        <f t="shared" ref="P2:P65" si="1">IF(O2&lt;15,"Low Stock",IF(O2&lt;=30,"Healthy","Overstock"))</f>
        <v>Low Stock</v>
      </c>
    </row>
    <row r="3" spans="1:16" hidden="1" x14ac:dyDescent="0.35">
      <c r="A3" s="4">
        <v>46143</v>
      </c>
      <c r="B3" t="s">
        <v>12</v>
      </c>
      <c r="C3" t="s">
        <v>13</v>
      </c>
      <c r="D3" t="s">
        <v>16</v>
      </c>
      <c r="E3" t="s">
        <v>15</v>
      </c>
      <c r="F3">
        <v>123</v>
      </c>
      <c r="G3">
        <v>50</v>
      </c>
      <c r="H3">
        <v>19</v>
      </c>
      <c r="I3">
        <f t="shared" ref="I3:I66" si="2">F3+G3-H3</f>
        <v>154</v>
      </c>
      <c r="J3">
        <v>20</v>
      </c>
      <c r="K3">
        <v>5</v>
      </c>
      <c r="L3" t="str">
        <f t="shared" ref="L3:L66" si="3">IF(I3&lt;0,"Need verification","Correct")</f>
        <v>Correct</v>
      </c>
      <c r="M3">
        <f t="shared" ref="M3:M66" si="4">IF(J3=0,0,(H3/J3)*100)</f>
        <v>95</v>
      </c>
      <c r="N3">
        <f t="shared" si="0"/>
        <v>20.030303030303031</v>
      </c>
      <c r="O3">
        <f t="shared" ref="O3:O66" si="5">IFERROR(I3/N3,0)</f>
        <v>7.6883509833585473</v>
      </c>
      <c r="P3" t="str">
        <f t="shared" si="1"/>
        <v>Low Stock</v>
      </c>
    </row>
    <row r="4" spans="1:16" hidden="1" x14ac:dyDescent="0.35">
      <c r="A4" s="4">
        <v>46143</v>
      </c>
      <c r="B4" t="s">
        <v>12</v>
      </c>
      <c r="C4" t="s">
        <v>13</v>
      </c>
      <c r="D4" t="s">
        <v>18</v>
      </c>
      <c r="E4" t="s">
        <v>15</v>
      </c>
      <c r="F4">
        <v>197</v>
      </c>
      <c r="G4">
        <v>52</v>
      </c>
      <c r="H4">
        <v>29</v>
      </c>
      <c r="I4">
        <f t="shared" si="2"/>
        <v>220</v>
      </c>
      <c r="J4">
        <v>33</v>
      </c>
      <c r="K4">
        <v>3</v>
      </c>
      <c r="L4" t="str">
        <f t="shared" si="3"/>
        <v>Correct</v>
      </c>
      <c r="M4">
        <f t="shared" si="4"/>
        <v>87.878787878787875</v>
      </c>
      <c r="N4">
        <f t="shared" si="0"/>
        <v>33.34375</v>
      </c>
      <c r="O4">
        <f t="shared" si="5"/>
        <v>6.5979381443298966</v>
      </c>
      <c r="P4" t="str">
        <f t="shared" si="1"/>
        <v>Low Stock</v>
      </c>
    </row>
    <row r="5" spans="1:16" hidden="1" x14ac:dyDescent="0.35">
      <c r="A5" s="4">
        <v>46143</v>
      </c>
      <c r="B5" t="s">
        <v>12</v>
      </c>
      <c r="C5" t="s">
        <v>13</v>
      </c>
      <c r="D5" t="s">
        <v>20</v>
      </c>
      <c r="E5" t="s">
        <v>15</v>
      </c>
      <c r="F5">
        <v>203</v>
      </c>
      <c r="G5">
        <v>14</v>
      </c>
      <c r="H5">
        <v>34</v>
      </c>
      <c r="I5">
        <f t="shared" si="2"/>
        <v>183</v>
      </c>
      <c r="J5">
        <v>48</v>
      </c>
      <c r="K5">
        <v>4</v>
      </c>
      <c r="L5" t="str">
        <f t="shared" si="3"/>
        <v>Correct</v>
      </c>
      <c r="M5">
        <f t="shared" si="4"/>
        <v>70.833333333333343</v>
      </c>
      <c r="N5">
        <f t="shared" si="0"/>
        <v>34.515151515151516</v>
      </c>
      <c r="O5">
        <f t="shared" si="5"/>
        <v>5.3020193151887618</v>
      </c>
      <c r="P5" t="str">
        <f t="shared" si="1"/>
        <v>Low Stock</v>
      </c>
    </row>
    <row r="6" spans="1:16" hidden="1" x14ac:dyDescent="0.35">
      <c r="A6" s="4">
        <v>46143</v>
      </c>
      <c r="B6" t="s">
        <v>12</v>
      </c>
      <c r="C6" t="s">
        <v>13</v>
      </c>
      <c r="D6" t="s">
        <v>22</v>
      </c>
      <c r="E6" t="s">
        <v>15</v>
      </c>
      <c r="F6">
        <v>98</v>
      </c>
      <c r="G6">
        <v>26</v>
      </c>
      <c r="H6">
        <v>16</v>
      </c>
      <c r="I6">
        <f t="shared" si="2"/>
        <v>108</v>
      </c>
      <c r="J6">
        <v>23</v>
      </c>
      <c r="K6">
        <v>4</v>
      </c>
      <c r="L6" t="str">
        <f t="shared" si="3"/>
        <v>Correct</v>
      </c>
      <c r="M6">
        <f t="shared" si="4"/>
        <v>69.565217391304344</v>
      </c>
      <c r="N6">
        <f t="shared" si="0"/>
        <v>9.9032258064516121</v>
      </c>
      <c r="O6">
        <f t="shared" si="5"/>
        <v>10.905537459283389</v>
      </c>
      <c r="P6" t="str">
        <f t="shared" si="1"/>
        <v>Low Stock</v>
      </c>
    </row>
    <row r="7" spans="1:16" hidden="1" x14ac:dyDescent="0.35">
      <c r="A7" s="4">
        <v>46143</v>
      </c>
      <c r="B7" t="s">
        <v>12</v>
      </c>
      <c r="C7" t="s">
        <v>24</v>
      </c>
      <c r="D7" t="s">
        <v>14</v>
      </c>
      <c r="E7" t="s">
        <v>15</v>
      </c>
      <c r="F7">
        <v>110</v>
      </c>
      <c r="G7">
        <v>0</v>
      </c>
      <c r="H7">
        <v>31</v>
      </c>
      <c r="I7">
        <f t="shared" si="2"/>
        <v>79</v>
      </c>
      <c r="J7">
        <v>36</v>
      </c>
      <c r="K7">
        <v>3</v>
      </c>
      <c r="L7" t="str">
        <f t="shared" si="3"/>
        <v>Correct</v>
      </c>
      <c r="M7">
        <f t="shared" si="4"/>
        <v>86.111111111111114</v>
      </c>
      <c r="N7">
        <f t="shared" si="0"/>
        <v>21.35483870967742</v>
      </c>
      <c r="O7">
        <f t="shared" si="5"/>
        <v>3.6993957703927491</v>
      </c>
      <c r="P7" t="str">
        <f t="shared" si="1"/>
        <v>Low Stock</v>
      </c>
    </row>
    <row r="8" spans="1:16" hidden="1" x14ac:dyDescent="0.35">
      <c r="A8" s="4">
        <v>46143</v>
      </c>
      <c r="B8" t="s">
        <v>12</v>
      </c>
      <c r="C8" t="s">
        <v>24</v>
      </c>
      <c r="D8" t="s">
        <v>16</v>
      </c>
      <c r="E8" t="s">
        <v>15</v>
      </c>
      <c r="F8">
        <v>210</v>
      </c>
      <c r="G8">
        <v>31</v>
      </c>
      <c r="H8">
        <v>30</v>
      </c>
      <c r="I8">
        <f t="shared" si="2"/>
        <v>211</v>
      </c>
      <c r="J8">
        <v>32</v>
      </c>
      <c r="K8">
        <v>2</v>
      </c>
      <c r="L8" t="str">
        <f t="shared" si="3"/>
        <v>Correct</v>
      </c>
      <c r="M8">
        <f t="shared" si="4"/>
        <v>93.75</v>
      </c>
      <c r="N8">
        <f t="shared" si="0"/>
        <v>21.9</v>
      </c>
      <c r="O8">
        <f t="shared" si="5"/>
        <v>9.6347031963470329</v>
      </c>
      <c r="P8" t="str">
        <f t="shared" si="1"/>
        <v>Low Stock</v>
      </c>
    </row>
    <row r="9" spans="1:16" hidden="1" x14ac:dyDescent="0.35">
      <c r="A9" s="4">
        <v>46143</v>
      </c>
      <c r="B9" t="s">
        <v>12</v>
      </c>
      <c r="C9" t="s">
        <v>24</v>
      </c>
      <c r="D9" t="s">
        <v>18</v>
      </c>
      <c r="E9" t="s">
        <v>15</v>
      </c>
      <c r="F9">
        <v>142</v>
      </c>
      <c r="G9">
        <v>9</v>
      </c>
      <c r="H9">
        <v>43</v>
      </c>
      <c r="I9">
        <f t="shared" si="2"/>
        <v>108</v>
      </c>
      <c r="J9">
        <v>43</v>
      </c>
      <c r="K9">
        <v>2</v>
      </c>
      <c r="L9" t="str">
        <f t="shared" si="3"/>
        <v>Correct</v>
      </c>
      <c r="M9">
        <f t="shared" si="4"/>
        <v>100</v>
      </c>
      <c r="N9">
        <f t="shared" si="0"/>
        <v>31.586206896551722</v>
      </c>
      <c r="O9">
        <f t="shared" si="5"/>
        <v>3.4192139737991267</v>
      </c>
      <c r="P9" t="str">
        <f t="shared" si="1"/>
        <v>Low Stock</v>
      </c>
    </row>
    <row r="10" spans="1:16" hidden="1" x14ac:dyDescent="0.35">
      <c r="A10" s="4">
        <v>46143</v>
      </c>
      <c r="B10" t="s">
        <v>12</v>
      </c>
      <c r="C10" t="s">
        <v>24</v>
      </c>
      <c r="D10" t="s">
        <v>20</v>
      </c>
      <c r="E10" t="s">
        <v>15</v>
      </c>
      <c r="F10">
        <v>163</v>
      </c>
      <c r="G10">
        <v>10</v>
      </c>
      <c r="H10">
        <v>26</v>
      </c>
      <c r="I10">
        <f t="shared" si="2"/>
        <v>147</v>
      </c>
      <c r="J10">
        <v>29</v>
      </c>
      <c r="K10">
        <v>2</v>
      </c>
      <c r="L10" t="str">
        <f t="shared" si="3"/>
        <v>Correct</v>
      </c>
      <c r="M10">
        <f t="shared" si="4"/>
        <v>89.65517241379311</v>
      </c>
      <c r="N10">
        <f t="shared" si="0"/>
        <v>34.200000000000003</v>
      </c>
      <c r="O10">
        <f t="shared" si="5"/>
        <v>4.2982456140350873</v>
      </c>
      <c r="P10" t="str">
        <f t="shared" si="1"/>
        <v>Low Stock</v>
      </c>
    </row>
    <row r="11" spans="1:16" hidden="1" x14ac:dyDescent="0.35">
      <c r="A11" s="4">
        <v>46143</v>
      </c>
      <c r="B11" t="s">
        <v>12</v>
      </c>
      <c r="C11" t="s">
        <v>24</v>
      </c>
      <c r="D11" t="s">
        <v>22</v>
      </c>
      <c r="E11" t="s">
        <v>15</v>
      </c>
      <c r="F11">
        <v>170</v>
      </c>
      <c r="G11">
        <v>20</v>
      </c>
      <c r="H11">
        <v>18</v>
      </c>
      <c r="I11">
        <f t="shared" si="2"/>
        <v>172</v>
      </c>
      <c r="J11">
        <v>23</v>
      </c>
      <c r="K11">
        <v>1</v>
      </c>
      <c r="L11" t="str">
        <f t="shared" si="3"/>
        <v>Correct</v>
      </c>
      <c r="M11">
        <f t="shared" si="4"/>
        <v>78.260869565217391</v>
      </c>
      <c r="N11">
        <f t="shared" si="0"/>
        <v>10.96551724137931</v>
      </c>
      <c r="O11">
        <f t="shared" si="5"/>
        <v>15.685534591194969</v>
      </c>
      <c r="P11" t="str">
        <f t="shared" si="1"/>
        <v>Healthy</v>
      </c>
    </row>
    <row r="12" spans="1:16" hidden="1" x14ac:dyDescent="0.35">
      <c r="A12" s="4">
        <v>46143</v>
      </c>
      <c r="B12" t="s">
        <v>12</v>
      </c>
      <c r="C12" t="s">
        <v>25</v>
      </c>
      <c r="D12" t="s">
        <v>14</v>
      </c>
      <c r="E12" t="s">
        <v>15</v>
      </c>
      <c r="F12">
        <v>94</v>
      </c>
      <c r="G12">
        <v>52</v>
      </c>
      <c r="H12">
        <v>12</v>
      </c>
      <c r="I12">
        <f t="shared" si="2"/>
        <v>134</v>
      </c>
      <c r="J12">
        <v>25</v>
      </c>
      <c r="K12">
        <v>1</v>
      </c>
      <c r="L12" t="str">
        <f t="shared" si="3"/>
        <v>Correct</v>
      </c>
      <c r="M12">
        <f t="shared" si="4"/>
        <v>48</v>
      </c>
      <c r="N12">
        <f t="shared" si="0"/>
        <v>20.7</v>
      </c>
      <c r="O12">
        <f t="shared" si="5"/>
        <v>6.4734299516908216</v>
      </c>
      <c r="P12" t="str">
        <f t="shared" si="1"/>
        <v>Low Stock</v>
      </c>
    </row>
    <row r="13" spans="1:16" hidden="1" x14ac:dyDescent="0.35">
      <c r="A13" s="4">
        <v>46143</v>
      </c>
      <c r="B13" t="s">
        <v>12</v>
      </c>
      <c r="C13" t="s">
        <v>25</v>
      </c>
      <c r="D13" t="s">
        <v>16</v>
      </c>
      <c r="E13" t="s">
        <v>15</v>
      </c>
      <c r="F13">
        <v>93</v>
      </c>
      <c r="G13">
        <v>41</v>
      </c>
      <c r="H13">
        <v>17</v>
      </c>
      <c r="I13">
        <f t="shared" si="2"/>
        <v>117</v>
      </c>
      <c r="J13">
        <v>30</v>
      </c>
      <c r="K13">
        <v>5</v>
      </c>
      <c r="L13" t="str">
        <f t="shared" si="3"/>
        <v>Correct</v>
      </c>
      <c r="M13">
        <f t="shared" si="4"/>
        <v>56.666666666666664</v>
      </c>
      <c r="N13">
        <f t="shared" si="0"/>
        <v>23.758620689655171</v>
      </c>
      <c r="O13">
        <f t="shared" si="5"/>
        <v>4.9245283018867925</v>
      </c>
      <c r="P13" t="str">
        <f t="shared" si="1"/>
        <v>Low Stock</v>
      </c>
    </row>
    <row r="14" spans="1:16" hidden="1" x14ac:dyDescent="0.35">
      <c r="A14" s="4">
        <v>46143</v>
      </c>
      <c r="B14" t="s">
        <v>12</v>
      </c>
      <c r="C14" t="s">
        <v>25</v>
      </c>
      <c r="D14" t="s">
        <v>18</v>
      </c>
      <c r="E14" t="s">
        <v>15</v>
      </c>
      <c r="F14">
        <v>105</v>
      </c>
      <c r="G14">
        <v>49</v>
      </c>
      <c r="H14">
        <v>47</v>
      </c>
      <c r="I14">
        <f t="shared" si="2"/>
        <v>107</v>
      </c>
      <c r="J14">
        <v>61</v>
      </c>
      <c r="K14">
        <v>5</v>
      </c>
      <c r="L14" t="str">
        <f t="shared" si="3"/>
        <v>Correct</v>
      </c>
      <c r="M14">
        <f t="shared" si="4"/>
        <v>77.049180327868854</v>
      </c>
      <c r="N14">
        <f t="shared" si="0"/>
        <v>31.142857142857142</v>
      </c>
      <c r="O14">
        <f t="shared" si="5"/>
        <v>3.4357798165137616</v>
      </c>
      <c r="P14" t="str">
        <f t="shared" si="1"/>
        <v>Low Stock</v>
      </c>
    </row>
    <row r="15" spans="1:16" hidden="1" x14ac:dyDescent="0.35">
      <c r="A15" s="4">
        <v>46143</v>
      </c>
      <c r="B15" t="s">
        <v>12</v>
      </c>
      <c r="C15" t="s">
        <v>25</v>
      </c>
      <c r="D15" t="s">
        <v>20</v>
      </c>
      <c r="E15" t="s">
        <v>15</v>
      </c>
      <c r="F15">
        <v>169</v>
      </c>
      <c r="G15">
        <v>53</v>
      </c>
      <c r="H15">
        <v>31</v>
      </c>
      <c r="I15">
        <f t="shared" si="2"/>
        <v>191</v>
      </c>
      <c r="J15">
        <v>33</v>
      </c>
      <c r="K15">
        <v>2</v>
      </c>
      <c r="L15" t="str">
        <f t="shared" si="3"/>
        <v>Correct</v>
      </c>
      <c r="M15">
        <f t="shared" si="4"/>
        <v>93.939393939393938</v>
      </c>
      <c r="N15">
        <f t="shared" si="0"/>
        <v>31.137931034482758</v>
      </c>
      <c r="O15">
        <f t="shared" si="5"/>
        <v>6.1339977851605756</v>
      </c>
      <c r="P15" t="str">
        <f t="shared" si="1"/>
        <v>Low Stock</v>
      </c>
    </row>
    <row r="16" spans="1:16" hidden="1" x14ac:dyDescent="0.35">
      <c r="A16" s="4">
        <v>46143</v>
      </c>
      <c r="B16" t="s">
        <v>12</v>
      </c>
      <c r="C16" t="s">
        <v>25</v>
      </c>
      <c r="D16" t="s">
        <v>22</v>
      </c>
      <c r="E16" t="s">
        <v>15</v>
      </c>
      <c r="F16">
        <v>199</v>
      </c>
      <c r="G16">
        <v>2</v>
      </c>
      <c r="H16">
        <v>4</v>
      </c>
      <c r="I16">
        <f t="shared" si="2"/>
        <v>197</v>
      </c>
      <c r="J16">
        <v>9</v>
      </c>
      <c r="K16">
        <v>4</v>
      </c>
      <c r="L16" t="str">
        <f t="shared" si="3"/>
        <v>Correct</v>
      </c>
      <c r="M16">
        <f t="shared" si="4"/>
        <v>44.444444444444443</v>
      </c>
      <c r="N16">
        <f t="shared" si="0"/>
        <v>11.3</v>
      </c>
      <c r="O16">
        <f t="shared" si="5"/>
        <v>17.43362831858407</v>
      </c>
      <c r="P16" t="str">
        <f t="shared" si="1"/>
        <v>Healthy</v>
      </c>
    </row>
    <row r="17" spans="1:16" hidden="1" x14ac:dyDescent="0.35">
      <c r="A17" s="4">
        <v>46143</v>
      </c>
      <c r="B17" t="s">
        <v>26</v>
      </c>
      <c r="C17" t="s">
        <v>27</v>
      </c>
      <c r="D17" t="s">
        <v>14</v>
      </c>
      <c r="E17" t="s">
        <v>15</v>
      </c>
      <c r="F17">
        <v>150</v>
      </c>
      <c r="G17">
        <v>37</v>
      </c>
      <c r="H17">
        <v>18</v>
      </c>
      <c r="I17">
        <f t="shared" si="2"/>
        <v>169</v>
      </c>
      <c r="J17">
        <v>24</v>
      </c>
      <c r="K17">
        <v>5</v>
      </c>
      <c r="L17" t="str">
        <f t="shared" si="3"/>
        <v>Correct</v>
      </c>
      <c r="M17">
        <f t="shared" si="4"/>
        <v>75</v>
      </c>
      <c r="N17">
        <f t="shared" si="0"/>
        <v>22.258064516129032</v>
      </c>
      <c r="O17">
        <f t="shared" si="5"/>
        <v>7.5927536231884059</v>
      </c>
      <c r="P17" t="str">
        <f t="shared" si="1"/>
        <v>Low Stock</v>
      </c>
    </row>
    <row r="18" spans="1:16" hidden="1" x14ac:dyDescent="0.35">
      <c r="A18" s="4">
        <v>46143</v>
      </c>
      <c r="B18" t="s">
        <v>26</v>
      </c>
      <c r="C18" t="s">
        <v>27</v>
      </c>
      <c r="D18" t="s">
        <v>16</v>
      </c>
      <c r="E18" t="s">
        <v>15</v>
      </c>
      <c r="F18">
        <v>103</v>
      </c>
      <c r="G18">
        <v>2</v>
      </c>
      <c r="H18">
        <v>9</v>
      </c>
      <c r="I18">
        <f t="shared" si="2"/>
        <v>96</v>
      </c>
      <c r="J18">
        <v>12</v>
      </c>
      <c r="K18">
        <v>2</v>
      </c>
      <c r="L18" t="str">
        <f t="shared" si="3"/>
        <v>Correct</v>
      </c>
      <c r="M18">
        <f t="shared" si="4"/>
        <v>75</v>
      </c>
      <c r="N18">
        <f t="shared" si="0"/>
        <v>20.172413793103448</v>
      </c>
      <c r="O18">
        <f t="shared" si="5"/>
        <v>4.7589743589743589</v>
      </c>
      <c r="P18" t="str">
        <f t="shared" si="1"/>
        <v>Low Stock</v>
      </c>
    </row>
    <row r="19" spans="1:16" hidden="1" x14ac:dyDescent="0.35">
      <c r="A19" s="4">
        <v>46143</v>
      </c>
      <c r="B19" t="s">
        <v>26</v>
      </c>
      <c r="C19" t="s">
        <v>27</v>
      </c>
      <c r="D19" t="s">
        <v>18</v>
      </c>
      <c r="E19" t="s">
        <v>15</v>
      </c>
      <c r="F19">
        <v>190</v>
      </c>
      <c r="G19">
        <v>48</v>
      </c>
      <c r="H19">
        <v>20</v>
      </c>
      <c r="I19">
        <f t="shared" si="2"/>
        <v>218</v>
      </c>
      <c r="J19">
        <v>24</v>
      </c>
      <c r="K19">
        <v>4</v>
      </c>
      <c r="L19" t="str">
        <f t="shared" si="3"/>
        <v>Correct</v>
      </c>
      <c r="M19">
        <f t="shared" si="4"/>
        <v>83.333333333333343</v>
      </c>
      <c r="N19">
        <f t="shared" si="0"/>
        <v>29.733333333333334</v>
      </c>
      <c r="O19">
        <f t="shared" si="5"/>
        <v>7.3318385650224212</v>
      </c>
      <c r="P19" t="str">
        <f t="shared" si="1"/>
        <v>Low Stock</v>
      </c>
    </row>
    <row r="20" spans="1:16" hidden="1" x14ac:dyDescent="0.35">
      <c r="A20" s="4">
        <v>46143</v>
      </c>
      <c r="B20" t="s">
        <v>26</v>
      </c>
      <c r="C20" t="s">
        <v>27</v>
      </c>
      <c r="D20" t="s">
        <v>20</v>
      </c>
      <c r="E20" t="s">
        <v>15</v>
      </c>
      <c r="F20">
        <v>204</v>
      </c>
      <c r="G20">
        <v>26</v>
      </c>
      <c r="H20">
        <v>15</v>
      </c>
      <c r="I20">
        <f t="shared" si="2"/>
        <v>215</v>
      </c>
      <c r="J20">
        <v>20</v>
      </c>
      <c r="K20">
        <v>2</v>
      </c>
      <c r="L20" t="str">
        <f t="shared" si="3"/>
        <v>Correct</v>
      </c>
      <c r="M20">
        <f t="shared" si="4"/>
        <v>75</v>
      </c>
      <c r="N20">
        <f t="shared" si="0"/>
        <v>30.724137931034484</v>
      </c>
      <c r="O20">
        <f t="shared" si="5"/>
        <v>6.9977553310886638</v>
      </c>
      <c r="P20" t="str">
        <f t="shared" si="1"/>
        <v>Low Stock</v>
      </c>
    </row>
    <row r="21" spans="1:16" hidden="1" x14ac:dyDescent="0.35">
      <c r="A21" s="4">
        <v>46143</v>
      </c>
      <c r="B21" t="s">
        <v>26</v>
      </c>
      <c r="C21" t="s">
        <v>27</v>
      </c>
      <c r="D21" t="s">
        <v>22</v>
      </c>
      <c r="E21" t="s">
        <v>15</v>
      </c>
      <c r="F21">
        <v>176</v>
      </c>
      <c r="G21">
        <v>5</v>
      </c>
      <c r="H21">
        <v>14</v>
      </c>
      <c r="I21">
        <f t="shared" si="2"/>
        <v>167</v>
      </c>
      <c r="J21">
        <v>20</v>
      </c>
      <c r="K21">
        <v>4</v>
      </c>
      <c r="L21" t="str">
        <f t="shared" si="3"/>
        <v>Correct</v>
      </c>
      <c r="M21">
        <f t="shared" si="4"/>
        <v>70</v>
      </c>
      <c r="N21">
        <f t="shared" si="0"/>
        <v>11.566666666666666</v>
      </c>
      <c r="O21">
        <f t="shared" si="5"/>
        <v>14.438040345821326</v>
      </c>
      <c r="P21" t="str">
        <f t="shared" si="1"/>
        <v>Low Stock</v>
      </c>
    </row>
    <row r="22" spans="1:16" hidden="1" x14ac:dyDescent="0.35">
      <c r="A22" s="4">
        <v>46143</v>
      </c>
      <c r="B22" t="s">
        <v>28</v>
      </c>
      <c r="C22" t="s">
        <v>29</v>
      </c>
      <c r="D22" t="s">
        <v>14</v>
      </c>
      <c r="E22" t="s">
        <v>15</v>
      </c>
      <c r="F22">
        <v>177</v>
      </c>
      <c r="G22">
        <v>52</v>
      </c>
      <c r="H22">
        <v>15</v>
      </c>
      <c r="I22">
        <f t="shared" si="2"/>
        <v>214</v>
      </c>
      <c r="J22">
        <v>29</v>
      </c>
      <c r="K22">
        <v>3</v>
      </c>
      <c r="L22" t="str">
        <f t="shared" si="3"/>
        <v>Correct</v>
      </c>
      <c r="M22">
        <f t="shared" si="4"/>
        <v>51.724137931034484</v>
      </c>
      <c r="N22">
        <f t="shared" si="0"/>
        <v>22.25</v>
      </c>
      <c r="O22">
        <f t="shared" si="5"/>
        <v>9.617977528089888</v>
      </c>
      <c r="P22" t="str">
        <f t="shared" si="1"/>
        <v>Low Stock</v>
      </c>
    </row>
    <row r="23" spans="1:16" hidden="1" x14ac:dyDescent="0.35">
      <c r="A23" s="4">
        <v>46143</v>
      </c>
      <c r="B23" t="s">
        <v>28</v>
      </c>
      <c r="C23" t="s">
        <v>29</v>
      </c>
      <c r="D23" t="s">
        <v>16</v>
      </c>
      <c r="E23" t="s">
        <v>15</v>
      </c>
      <c r="F23">
        <v>123</v>
      </c>
      <c r="G23">
        <v>46</v>
      </c>
      <c r="H23">
        <v>21</v>
      </c>
      <c r="I23">
        <f t="shared" si="2"/>
        <v>148</v>
      </c>
      <c r="J23">
        <v>30</v>
      </c>
      <c r="K23">
        <v>4</v>
      </c>
      <c r="L23" t="str">
        <f t="shared" si="3"/>
        <v>Correct</v>
      </c>
      <c r="M23">
        <f t="shared" si="4"/>
        <v>70</v>
      </c>
      <c r="N23">
        <f t="shared" si="0"/>
        <v>19.96551724137931</v>
      </c>
      <c r="O23">
        <f t="shared" si="5"/>
        <v>7.4127806563039726</v>
      </c>
      <c r="P23" t="str">
        <f t="shared" si="1"/>
        <v>Low Stock</v>
      </c>
    </row>
    <row r="24" spans="1:16" hidden="1" x14ac:dyDescent="0.35">
      <c r="A24" s="4">
        <v>46143</v>
      </c>
      <c r="B24" t="s">
        <v>28</v>
      </c>
      <c r="C24" t="s">
        <v>29</v>
      </c>
      <c r="D24" t="s">
        <v>18</v>
      </c>
      <c r="E24" t="s">
        <v>15</v>
      </c>
      <c r="F24">
        <v>121</v>
      </c>
      <c r="G24">
        <v>49</v>
      </c>
      <c r="H24">
        <v>47</v>
      </c>
      <c r="I24">
        <f t="shared" si="2"/>
        <v>123</v>
      </c>
      <c r="J24">
        <v>50</v>
      </c>
      <c r="K24">
        <v>3</v>
      </c>
      <c r="L24" t="str">
        <f t="shared" si="3"/>
        <v>Correct</v>
      </c>
      <c r="M24">
        <f t="shared" si="4"/>
        <v>94</v>
      </c>
      <c r="N24">
        <f t="shared" si="0"/>
        <v>31.206896551724139</v>
      </c>
      <c r="O24">
        <f t="shared" si="5"/>
        <v>3.9414364640883979</v>
      </c>
      <c r="P24" t="str">
        <f t="shared" si="1"/>
        <v>Low Stock</v>
      </c>
    </row>
    <row r="25" spans="1:16" hidden="1" x14ac:dyDescent="0.35">
      <c r="A25" s="4">
        <v>46143</v>
      </c>
      <c r="B25" t="s">
        <v>28</v>
      </c>
      <c r="C25" t="s">
        <v>29</v>
      </c>
      <c r="D25" t="s">
        <v>20</v>
      </c>
      <c r="E25" t="s">
        <v>15</v>
      </c>
      <c r="F25">
        <v>207</v>
      </c>
      <c r="G25">
        <v>37</v>
      </c>
      <c r="H25">
        <v>19</v>
      </c>
      <c r="I25">
        <f t="shared" si="2"/>
        <v>225</v>
      </c>
      <c r="J25">
        <v>25</v>
      </c>
      <c r="K25">
        <v>3</v>
      </c>
      <c r="L25" t="str">
        <f t="shared" si="3"/>
        <v>Correct</v>
      </c>
      <c r="M25">
        <f t="shared" si="4"/>
        <v>76</v>
      </c>
      <c r="N25">
        <f t="shared" si="0"/>
        <v>32.620689655172413</v>
      </c>
      <c r="O25">
        <f t="shared" si="5"/>
        <v>6.897463002114165</v>
      </c>
      <c r="P25" t="str">
        <f t="shared" si="1"/>
        <v>Low Stock</v>
      </c>
    </row>
    <row r="26" spans="1:16" hidden="1" x14ac:dyDescent="0.35">
      <c r="A26" s="4">
        <v>46143</v>
      </c>
      <c r="B26" t="s">
        <v>28</v>
      </c>
      <c r="C26" t="s">
        <v>29</v>
      </c>
      <c r="D26" t="s">
        <v>22</v>
      </c>
      <c r="E26" t="s">
        <v>15</v>
      </c>
      <c r="F26">
        <v>136</v>
      </c>
      <c r="G26">
        <v>29</v>
      </c>
      <c r="H26">
        <v>6</v>
      </c>
      <c r="I26">
        <f t="shared" si="2"/>
        <v>159</v>
      </c>
      <c r="J26">
        <v>6</v>
      </c>
      <c r="K26">
        <v>4</v>
      </c>
      <c r="L26" t="str">
        <f t="shared" si="3"/>
        <v>Correct</v>
      </c>
      <c r="M26">
        <f t="shared" si="4"/>
        <v>100</v>
      </c>
      <c r="N26">
        <f t="shared" si="0"/>
        <v>11.678571428571429</v>
      </c>
      <c r="O26">
        <f t="shared" si="5"/>
        <v>13.614678899082568</v>
      </c>
      <c r="P26" t="str">
        <f t="shared" si="1"/>
        <v>Low Stock</v>
      </c>
    </row>
    <row r="27" spans="1:16" hidden="1" x14ac:dyDescent="0.35">
      <c r="A27" s="4">
        <v>46143</v>
      </c>
      <c r="B27" t="s">
        <v>31</v>
      </c>
      <c r="C27" t="s">
        <v>32</v>
      </c>
      <c r="D27" t="s">
        <v>14</v>
      </c>
      <c r="E27" t="s">
        <v>15</v>
      </c>
      <c r="F27">
        <v>108</v>
      </c>
      <c r="G27">
        <v>36</v>
      </c>
      <c r="H27">
        <v>29</v>
      </c>
      <c r="I27">
        <f t="shared" si="2"/>
        <v>115</v>
      </c>
      <c r="J27">
        <v>29</v>
      </c>
      <c r="K27">
        <v>2</v>
      </c>
      <c r="L27" t="str">
        <f t="shared" si="3"/>
        <v>Correct</v>
      </c>
      <c r="M27">
        <f t="shared" si="4"/>
        <v>100</v>
      </c>
      <c r="N27">
        <f t="shared" si="0"/>
        <v>20.84375</v>
      </c>
      <c r="O27">
        <f t="shared" si="5"/>
        <v>5.5172413793103452</v>
      </c>
      <c r="P27" t="str">
        <f t="shared" si="1"/>
        <v>Low Stock</v>
      </c>
    </row>
    <row r="28" spans="1:16" hidden="1" x14ac:dyDescent="0.35">
      <c r="A28" s="4">
        <v>46143</v>
      </c>
      <c r="B28" t="s">
        <v>31</v>
      </c>
      <c r="C28" t="s">
        <v>32</v>
      </c>
      <c r="D28" t="s">
        <v>16</v>
      </c>
      <c r="E28" t="s">
        <v>15</v>
      </c>
      <c r="F28">
        <v>192</v>
      </c>
      <c r="G28">
        <v>19</v>
      </c>
      <c r="H28">
        <v>33</v>
      </c>
      <c r="I28">
        <f t="shared" si="2"/>
        <v>178</v>
      </c>
      <c r="J28">
        <v>48</v>
      </c>
      <c r="K28">
        <v>1</v>
      </c>
      <c r="L28" t="str">
        <f t="shared" si="3"/>
        <v>Correct</v>
      </c>
      <c r="M28">
        <f t="shared" si="4"/>
        <v>68.75</v>
      </c>
      <c r="N28">
        <f t="shared" si="0"/>
        <v>21.46875</v>
      </c>
      <c r="O28">
        <f t="shared" si="5"/>
        <v>8.2911208151382816</v>
      </c>
      <c r="P28" t="str">
        <f t="shared" si="1"/>
        <v>Low Stock</v>
      </c>
    </row>
    <row r="29" spans="1:16" hidden="1" x14ac:dyDescent="0.35">
      <c r="A29" s="4">
        <v>46143</v>
      </c>
      <c r="B29" t="s">
        <v>31</v>
      </c>
      <c r="C29" t="s">
        <v>32</v>
      </c>
      <c r="D29" t="s">
        <v>18</v>
      </c>
      <c r="E29" t="s">
        <v>15</v>
      </c>
      <c r="F29">
        <v>213</v>
      </c>
      <c r="G29">
        <v>16</v>
      </c>
      <c r="H29">
        <v>18</v>
      </c>
      <c r="I29">
        <f t="shared" si="2"/>
        <v>211</v>
      </c>
      <c r="J29">
        <v>20</v>
      </c>
      <c r="K29">
        <v>1</v>
      </c>
      <c r="L29" t="str">
        <f t="shared" si="3"/>
        <v>Correct</v>
      </c>
      <c r="M29">
        <f t="shared" si="4"/>
        <v>90</v>
      </c>
      <c r="N29">
        <f t="shared" si="0"/>
        <v>30.586206896551722</v>
      </c>
      <c r="O29">
        <f t="shared" si="5"/>
        <v>6.8985343855693353</v>
      </c>
      <c r="P29" t="str">
        <f t="shared" si="1"/>
        <v>Low Stock</v>
      </c>
    </row>
    <row r="30" spans="1:16" hidden="1" x14ac:dyDescent="0.35">
      <c r="A30" s="4">
        <v>46143</v>
      </c>
      <c r="B30" t="s">
        <v>31</v>
      </c>
      <c r="C30" t="s">
        <v>32</v>
      </c>
      <c r="D30" t="s">
        <v>20</v>
      </c>
      <c r="E30" t="s">
        <v>15</v>
      </c>
      <c r="F30">
        <v>178</v>
      </c>
      <c r="G30">
        <v>57</v>
      </c>
      <c r="H30">
        <v>34</v>
      </c>
      <c r="I30">
        <f t="shared" si="2"/>
        <v>201</v>
      </c>
      <c r="J30">
        <v>37</v>
      </c>
      <c r="K30">
        <v>3</v>
      </c>
      <c r="L30" t="str">
        <f t="shared" si="3"/>
        <v>Correct</v>
      </c>
      <c r="M30">
        <f t="shared" si="4"/>
        <v>91.891891891891902</v>
      </c>
      <c r="N30">
        <f t="shared" si="0"/>
        <v>32.299999999999997</v>
      </c>
      <c r="O30">
        <f t="shared" si="5"/>
        <v>6.2229102167182671</v>
      </c>
      <c r="P30" t="str">
        <f t="shared" si="1"/>
        <v>Low Stock</v>
      </c>
    </row>
    <row r="31" spans="1:16" hidden="1" x14ac:dyDescent="0.35">
      <c r="A31" s="4">
        <v>46143</v>
      </c>
      <c r="B31" t="s">
        <v>31</v>
      </c>
      <c r="C31" t="s">
        <v>32</v>
      </c>
      <c r="D31" t="s">
        <v>22</v>
      </c>
      <c r="E31" t="s">
        <v>15</v>
      </c>
      <c r="F31">
        <v>138</v>
      </c>
      <c r="G31">
        <v>41</v>
      </c>
      <c r="H31">
        <v>17</v>
      </c>
      <c r="I31">
        <f t="shared" si="2"/>
        <v>162</v>
      </c>
      <c r="J31">
        <v>17</v>
      </c>
      <c r="K31">
        <v>4</v>
      </c>
      <c r="L31" t="str">
        <f t="shared" si="3"/>
        <v>Correct</v>
      </c>
      <c r="M31">
        <f t="shared" si="4"/>
        <v>100</v>
      </c>
      <c r="N31">
        <f t="shared" si="0"/>
        <v>10.413793103448276</v>
      </c>
      <c r="O31">
        <f t="shared" si="5"/>
        <v>15.556291390728477</v>
      </c>
      <c r="P31" t="str">
        <f t="shared" si="1"/>
        <v>Healthy</v>
      </c>
    </row>
    <row r="32" spans="1:16" hidden="1" x14ac:dyDescent="0.35">
      <c r="A32" s="4">
        <v>46143</v>
      </c>
      <c r="B32" t="s">
        <v>33</v>
      </c>
      <c r="C32" t="s">
        <v>34</v>
      </c>
      <c r="D32" t="s">
        <v>14</v>
      </c>
      <c r="E32" t="s">
        <v>15</v>
      </c>
      <c r="F32">
        <v>110</v>
      </c>
      <c r="G32">
        <v>16</v>
      </c>
      <c r="H32">
        <v>11</v>
      </c>
      <c r="I32">
        <f t="shared" si="2"/>
        <v>115</v>
      </c>
      <c r="J32">
        <v>21</v>
      </c>
      <c r="K32">
        <v>3</v>
      </c>
      <c r="L32" t="str">
        <f t="shared" si="3"/>
        <v>Correct</v>
      </c>
      <c r="M32">
        <f t="shared" si="4"/>
        <v>52.380952380952387</v>
      </c>
      <c r="N32">
        <f t="shared" si="0"/>
        <v>20.70967741935484</v>
      </c>
      <c r="O32">
        <f t="shared" si="5"/>
        <v>5.5529595015576323</v>
      </c>
      <c r="P32" t="str">
        <f t="shared" si="1"/>
        <v>Low Stock</v>
      </c>
    </row>
    <row r="33" spans="1:16" hidden="1" x14ac:dyDescent="0.35">
      <c r="A33" s="4">
        <v>46143</v>
      </c>
      <c r="B33" t="s">
        <v>33</v>
      </c>
      <c r="C33" t="s">
        <v>34</v>
      </c>
      <c r="D33" t="s">
        <v>16</v>
      </c>
      <c r="E33" t="s">
        <v>15</v>
      </c>
      <c r="F33">
        <v>130</v>
      </c>
      <c r="G33">
        <v>4</v>
      </c>
      <c r="H33">
        <v>28</v>
      </c>
      <c r="I33">
        <f t="shared" si="2"/>
        <v>106</v>
      </c>
      <c r="J33">
        <v>32</v>
      </c>
      <c r="K33">
        <v>3</v>
      </c>
      <c r="L33" t="str">
        <f t="shared" si="3"/>
        <v>Correct</v>
      </c>
      <c r="M33">
        <f t="shared" si="4"/>
        <v>87.5</v>
      </c>
      <c r="N33">
        <f t="shared" si="0"/>
        <v>22.142857142857142</v>
      </c>
      <c r="O33">
        <f t="shared" si="5"/>
        <v>4.7870967741935484</v>
      </c>
      <c r="P33" t="str">
        <f t="shared" si="1"/>
        <v>Low Stock</v>
      </c>
    </row>
    <row r="34" spans="1:16" hidden="1" x14ac:dyDescent="0.35">
      <c r="A34" s="4">
        <v>46143</v>
      </c>
      <c r="B34" t="s">
        <v>33</v>
      </c>
      <c r="C34" t="s">
        <v>34</v>
      </c>
      <c r="D34" t="s">
        <v>18</v>
      </c>
      <c r="E34" t="s">
        <v>15</v>
      </c>
      <c r="F34">
        <v>209</v>
      </c>
      <c r="G34">
        <v>15</v>
      </c>
      <c r="H34">
        <v>48</v>
      </c>
      <c r="I34">
        <f t="shared" si="2"/>
        <v>176</v>
      </c>
      <c r="J34">
        <v>55</v>
      </c>
      <c r="K34">
        <v>3</v>
      </c>
      <c r="L34" t="str">
        <f t="shared" si="3"/>
        <v>Correct</v>
      </c>
      <c r="M34">
        <f t="shared" si="4"/>
        <v>87.272727272727266</v>
      </c>
      <c r="N34">
        <f t="shared" si="0"/>
        <v>30.275862068965516</v>
      </c>
      <c r="O34">
        <f t="shared" si="5"/>
        <v>5.8132118451025061</v>
      </c>
      <c r="P34" t="str">
        <f t="shared" si="1"/>
        <v>Low Stock</v>
      </c>
    </row>
    <row r="35" spans="1:16" hidden="1" x14ac:dyDescent="0.35">
      <c r="A35" s="4">
        <v>46143</v>
      </c>
      <c r="B35" t="s">
        <v>33</v>
      </c>
      <c r="C35" t="s">
        <v>34</v>
      </c>
      <c r="D35" t="s">
        <v>20</v>
      </c>
      <c r="E35" t="s">
        <v>15</v>
      </c>
      <c r="F35">
        <v>218</v>
      </c>
      <c r="G35">
        <v>41</v>
      </c>
      <c r="H35">
        <v>32</v>
      </c>
      <c r="I35">
        <f t="shared" si="2"/>
        <v>227</v>
      </c>
      <c r="J35">
        <v>38</v>
      </c>
      <c r="K35">
        <v>1</v>
      </c>
      <c r="L35" t="str">
        <f t="shared" si="3"/>
        <v>Correct</v>
      </c>
      <c r="M35">
        <f t="shared" si="4"/>
        <v>84.210526315789465</v>
      </c>
      <c r="N35">
        <f t="shared" si="0"/>
        <v>30.931034482758619</v>
      </c>
      <c r="O35">
        <f t="shared" si="5"/>
        <v>7.338907469342252</v>
      </c>
      <c r="P35" t="str">
        <f t="shared" si="1"/>
        <v>Low Stock</v>
      </c>
    </row>
    <row r="36" spans="1:16" hidden="1" x14ac:dyDescent="0.35">
      <c r="A36" s="4">
        <v>46143</v>
      </c>
      <c r="B36" t="s">
        <v>33</v>
      </c>
      <c r="C36" t="s">
        <v>34</v>
      </c>
      <c r="D36" t="s">
        <v>22</v>
      </c>
      <c r="E36" t="s">
        <v>15</v>
      </c>
      <c r="F36">
        <v>111</v>
      </c>
      <c r="G36">
        <v>49</v>
      </c>
      <c r="H36">
        <v>3</v>
      </c>
      <c r="I36">
        <f t="shared" si="2"/>
        <v>157</v>
      </c>
      <c r="J36">
        <v>4</v>
      </c>
      <c r="K36">
        <v>2</v>
      </c>
      <c r="L36" t="str">
        <f t="shared" si="3"/>
        <v>Correct</v>
      </c>
      <c r="M36">
        <f t="shared" si="4"/>
        <v>75</v>
      </c>
      <c r="N36">
        <f t="shared" si="0"/>
        <v>10.25</v>
      </c>
      <c r="O36">
        <f t="shared" si="5"/>
        <v>15.317073170731707</v>
      </c>
      <c r="P36" t="str">
        <f t="shared" si="1"/>
        <v>Healthy</v>
      </c>
    </row>
    <row r="37" spans="1:16" hidden="1" x14ac:dyDescent="0.35">
      <c r="A37" s="4">
        <v>46144</v>
      </c>
      <c r="B37" t="s">
        <v>12</v>
      </c>
      <c r="C37" t="s">
        <v>13</v>
      </c>
      <c r="D37" t="s">
        <v>14</v>
      </c>
      <c r="E37" t="s">
        <v>15</v>
      </c>
      <c r="F37">
        <v>193</v>
      </c>
      <c r="G37">
        <v>49</v>
      </c>
      <c r="H37">
        <v>21</v>
      </c>
      <c r="I37">
        <f t="shared" si="2"/>
        <v>221</v>
      </c>
      <c r="J37">
        <v>25</v>
      </c>
      <c r="K37">
        <v>2</v>
      </c>
      <c r="L37" t="str">
        <f t="shared" si="3"/>
        <v>Correct</v>
      </c>
      <c r="M37">
        <f t="shared" si="4"/>
        <v>84</v>
      </c>
      <c r="N37">
        <f t="shared" si="0"/>
        <v>21.666666666666668</v>
      </c>
      <c r="O37">
        <f t="shared" si="5"/>
        <v>10.199999999999999</v>
      </c>
      <c r="P37" t="str">
        <f t="shared" si="1"/>
        <v>Low Stock</v>
      </c>
    </row>
    <row r="38" spans="1:16" hidden="1" x14ac:dyDescent="0.35">
      <c r="A38" s="4">
        <v>46144</v>
      </c>
      <c r="B38" t="s">
        <v>12</v>
      </c>
      <c r="C38" t="s">
        <v>13</v>
      </c>
      <c r="D38" t="s">
        <v>16</v>
      </c>
      <c r="E38" t="s">
        <v>15</v>
      </c>
      <c r="F38">
        <v>154</v>
      </c>
      <c r="G38">
        <v>35</v>
      </c>
      <c r="H38">
        <v>14</v>
      </c>
      <c r="I38">
        <f t="shared" si="2"/>
        <v>175</v>
      </c>
      <c r="J38">
        <v>15</v>
      </c>
      <c r="K38">
        <v>2</v>
      </c>
      <c r="L38" t="str">
        <f t="shared" si="3"/>
        <v>Correct</v>
      </c>
      <c r="M38">
        <f t="shared" si="4"/>
        <v>93.333333333333329</v>
      </c>
      <c r="N38">
        <f t="shared" si="0"/>
        <v>20.030303030303031</v>
      </c>
      <c r="O38">
        <f t="shared" si="5"/>
        <v>8.7367624810892579</v>
      </c>
      <c r="P38" t="str">
        <f t="shared" si="1"/>
        <v>Low Stock</v>
      </c>
    </row>
    <row r="39" spans="1:16" hidden="1" x14ac:dyDescent="0.35">
      <c r="A39" s="4">
        <v>46144</v>
      </c>
      <c r="B39" t="s">
        <v>12</v>
      </c>
      <c r="C39" t="s">
        <v>13</v>
      </c>
      <c r="D39" t="s">
        <v>18</v>
      </c>
      <c r="E39" t="s">
        <v>15</v>
      </c>
      <c r="F39">
        <v>220</v>
      </c>
      <c r="G39">
        <v>24</v>
      </c>
      <c r="H39">
        <v>50</v>
      </c>
      <c r="I39">
        <f t="shared" si="2"/>
        <v>194</v>
      </c>
      <c r="J39">
        <v>55</v>
      </c>
      <c r="K39">
        <v>2</v>
      </c>
      <c r="L39" t="str">
        <f t="shared" si="3"/>
        <v>Correct</v>
      </c>
      <c r="M39">
        <f t="shared" si="4"/>
        <v>90.909090909090907</v>
      </c>
      <c r="N39">
        <f t="shared" si="0"/>
        <v>33.34375</v>
      </c>
      <c r="O39">
        <f t="shared" si="5"/>
        <v>5.8181818181818183</v>
      </c>
      <c r="P39" t="str">
        <f t="shared" si="1"/>
        <v>Low Stock</v>
      </c>
    </row>
    <row r="40" spans="1:16" hidden="1" x14ac:dyDescent="0.35">
      <c r="A40" s="4">
        <v>46144</v>
      </c>
      <c r="B40" t="s">
        <v>12</v>
      </c>
      <c r="C40" t="s">
        <v>13</v>
      </c>
      <c r="D40" t="s">
        <v>20</v>
      </c>
      <c r="E40" t="s">
        <v>15</v>
      </c>
      <c r="F40">
        <v>183</v>
      </c>
      <c r="G40">
        <v>44</v>
      </c>
      <c r="H40">
        <v>17</v>
      </c>
      <c r="I40">
        <f t="shared" si="2"/>
        <v>210</v>
      </c>
      <c r="J40">
        <v>28</v>
      </c>
      <c r="K40">
        <v>4</v>
      </c>
      <c r="L40" t="str">
        <f t="shared" si="3"/>
        <v>Correct</v>
      </c>
      <c r="M40">
        <f t="shared" si="4"/>
        <v>60.714285714285708</v>
      </c>
      <c r="N40">
        <f t="shared" si="0"/>
        <v>34.515151515151516</v>
      </c>
      <c r="O40">
        <f t="shared" si="5"/>
        <v>6.084284460052678</v>
      </c>
      <c r="P40" t="str">
        <f t="shared" si="1"/>
        <v>Low Stock</v>
      </c>
    </row>
    <row r="41" spans="1:16" hidden="1" x14ac:dyDescent="0.35">
      <c r="A41" s="4">
        <v>46144</v>
      </c>
      <c r="B41" t="s">
        <v>12</v>
      </c>
      <c r="C41" t="s">
        <v>13</v>
      </c>
      <c r="D41" t="s">
        <v>22</v>
      </c>
      <c r="E41" t="s">
        <v>15</v>
      </c>
      <c r="F41">
        <v>108</v>
      </c>
      <c r="G41">
        <v>3</v>
      </c>
      <c r="H41">
        <v>4</v>
      </c>
      <c r="I41">
        <f t="shared" si="2"/>
        <v>107</v>
      </c>
      <c r="J41">
        <v>13</v>
      </c>
      <c r="K41">
        <v>3</v>
      </c>
      <c r="L41" t="str">
        <f t="shared" si="3"/>
        <v>Correct</v>
      </c>
      <c r="M41">
        <f t="shared" si="4"/>
        <v>30.76923076923077</v>
      </c>
      <c r="N41">
        <f t="shared" si="0"/>
        <v>9.9032258064516121</v>
      </c>
      <c r="O41">
        <f t="shared" si="5"/>
        <v>10.804560260586321</v>
      </c>
      <c r="P41" t="str">
        <f t="shared" si="1"/>
        <v>Low Stock</v>
      </c>
    </row>
    <row r="42" spans="1:16" hidden="1" x14ac:dyDescent="0.35">
      <c r="A42" s="4">
        <v>46144</v>
      </c>
      <c r="B42" t="s">
        <v>12</v>
      </c>
      <c r="C42" t="s">
        <v>24</v>
      </c>
      <c r="D42" t="s">
        <v>14</v>
      </c>
      <c r="E42" t="s">
        <v>15</v>
      </c>
      <c r="F42">
        <v>79</v>
      </c>
      <c r="G42">
        <v>57</v>
      </c>
      <c r="H42">
        <v>35</v>
      </c>
      <c r="I42">
        <f t="shared" si="2"/>
        <v>101</v>
      </c>
      <c r="J42">
        <v>40</v>
      </c>
      <c r="K42">
        <v>4</v>
      </c>
      <c r="L42" t="str">
        <f t="shared" si="3"/>
        <v>Correct</v>
      </c>
      <c r="M42">
        <f t="shared" si="4"/>
        <v>87.5</v>
      </c>
      <c r="N42">
        <f t="shared" si="0"/>
        <v>21.35483870967742</v>
      </c>
      <c r="O42">
        <f t="shared" si="5"/>
        <v>4.7296072507552873</v>
      </c>
      <c r="P42" t="str">
        <f t="shared" si="1"/>
        <v>Low Stock</v>
      </c>
    </row>
    <row r="43" spans="1:16" hidden="1" x14ac:dyDescent="0.35">
      <c r="A43" s="4">
        <v>46144</v>
      </c>
      <c r="B43" t="s">
        <v>12</v>
      </c>
      <c r="C43" t="s">
        <v>24</v>
      </c>
      <c r="D43" t="s">
        <v>16</v>
      </c>
      <c r="E43" t="s">
        <v>15</v>
      </c>
      <c r="F43">
        <v>211</v>
      </c>
      <c r="G43">
        <v>7</v>
      </c>
      <c r="H43">
        <v>11</v>
      </c>
      <c r="I43">
        <f t="shared" si="2"/>
        <v>207</v>
      </c>
      <c r="J43">
        <v>13</v>
      </c>
      <c r="K43">
        <v>2</v>
      </c>
      <c r="L43" t="str">
        <f t="shared" si="3"/>
        <v>Correct</v>
      </c>
      <c r="M43">
        <f t="shared" si="4"/>
        <v>84.615384615384613</v>
      </c>
      <c r="N43">
        <f t="shared" si="0"/>
        <v>21.9</v>
      </c>
      <c r="O43">
        <f t="shared" si="5"/>
        <v>9.4520547945205493</v>
      </c>
      <c r="P43" t="str">
        <f t="shared" si="1"/>
        <v>Low Stock</v>
      </c>
    </row>
    <row r="44" spans="1:16" hidden="1" x14ac:dyDescent="0.35">
      <c r="A44" s="4">
        <v>46144</v>
      </c>
      <c r="B44" t="s">
        <v>12</v>
      </c>
      <c r="C44" t="s">
        <v>24</v>
      </c>
      <c r="D44" t="s">
        <v>18</v>
      </c>
      <c r="E44" t="s">
        <v>15</v>
      </c>
      <c r="F44">
        <v>108</v>
      </c>
      <c r="G44">
        <v>51</v>
      </c>
      <c r="H44">
        <v>25</v>
      </c>
      <c r="I44">
        <f t="shared" si="2"/>
        <v>134</v>
      </c>
      <c r="J44">
        <v>37</v>
      </c>
      <c r="K44">
        <v>2</v>
      </c>
      <c r="L44" t="str">
        <f t="shared" si="3"/>
        <v>Correct</v>
      </c>
      <c r="M44">
        <f t="shared" si="4"/>
        <v>67.567567567567565</v>
      </c>
      <c r="N44">
        <f t="shared" si="0"/>
        <v>31.586206896551722</v>
      </c>
      <c r="O44">
        <f t="shared" si="5"/>
        <v>4.2423580786026207</v>
      </c>
      <c r="P44" t="str">
        <f t="shared" si="1"/>
        <v>Low Stock</v>
      </c>
    </row>
    <row r="45" spans="1:16" hidden="1" x14ac:dyDescent="0.35">
      <c r="A45" s="4">
        <v>46144</v>
      </c>
      <c r="B45" t="s">
        <v>12</v>
      </c>
      <c r="C45" t="s">
        <v>24</v>
      </c>
      <c r="D45" t="s">
        <v>20</v>
      </c>
      <c r="E45" t="s">
        <v>15</v>
      </c>
      <c r="F45">
        <v>147</v>
      </c>
      <c r="G45">
        <v>51</v>
      </c>
      <c r="H45">
        <v>21</v>
      </c>
      <c r="I45">
        <f t="shared" si="2"/>
        <v>177</v>
      </c>
      <c r="J45">
        <v>32</v>
      </c>
      <c r="K45">
        <v>5</v>
      </c>
      <c r="L45" t="str">
        <f t="shared" si="3"/>
        <v>Correct</v>
      </c>
      <c r="M45">
        <f t="shared" si="4"/>
        <v>65.625</v>
      </c>
      <c r="N45">
        <f t="shared" si="0"/>
        <v>34.200000000000003</v>
      </c>
      <c r="O45">
        <f t="shared" si="5"/>
        <v>5.1754385964912277</v>
      </c>
      <c r="P45" t="str">
        <f t="shared" si="1"/>
        <v>Low Stock</v>
      </c>
    </row>
    <row r="46" spans="1:16" hidden="1" x14ac:dyDescent="0.35">
      <c r="A46" s="4">
        <v>46144</v>
      </c>
      <c r="B46" t="s">
        <v>12</v>
      </c>
      <c r="C46" t="s">
        <v>24</v>
      </c>
      <c r="D46" t="s">
        <v>22</v>
      </c>
      <c r="E46" t="s">
        <v>15</v>
      </c>
      <c r="F46">
        <v>172</v>
      </c>
      <c r="G46">
        <v>13</v>
      </c>
      <c r="H46">
        <v>13</v>
      </c>
      <c r="I46">
        <f t="shared" si="2"/>
        <v>172</v>
      </c>
      <c r="J46">
        <v>21</v>
      </c>
      <c r="K46">
        <v>1</v>
      </c>
      <c r="L46" t="str">
        <f t="shared" si="3"/>
        <v>Correct</v>
      </c>
      <c r="M46">
        <f t="shared" si="4"/>
        <v>61.904761904761905</v>
      </c>
      <c r="N46">
        <f t="shared" si="0"/>
        <v>10.96551724137931</v>
      </c>
      <c r="O46">
        <f t="shared" si="5"/>
        <v>15.685534591194969</v>
      </c>
      <c r="P46" t="str">
        <f t="shared" si="1"/>
        <v>Healthy</v>
      </c>
    </row>
    <row r="47" spans="1:16" hidden="1" x14ac:dyDescent="0.35">
      <c r="A47" s="4">
        <v>46144</v>
      </c>
      <c r="B47" t="s">
        <v>12</v>
      </c>
      <c r="C47" t="s">
        <v>25</v>
      </c>
      <c r="D47" t="s">
        <v>14</v>
      </c>
      <c r="E47" t="s">
        <v>15</v>
      </c>
      <c r="F47">
        <v>134</v>
      </c>
      <c r="G47">
        <v>18</v>
      </c>
      <c r="H47">
        <v>18</v>
      </c>
      <c r="I47">
        <f t="shared" si="2"/>
        <v>134</v>
      </c>
      <c r="J47">
        <v>19</v>
      </c>
      <c r="K47">
        <v>5</v>
      </c>
      <c r="L47" t="str">
        <f t="shared" si="3"/>
        <v>Correct</v>
      </c>
      <c r="M47">
        <f t="shared" si="4"/>
        <v>94.73684210526315</v>
      </c>
      <c r="N47">
        <f t="shared" si="0"/>
        <v>20.7</v>
      </c>
      <c r="O47">
        <f t="shared" si="5"/>
        <v>6.4734299516908216</v>
      </c>
      <c r="P47" t="str">
        <f t="shared" si="1"/>
        <v>Low Stock</v>
      </c>
    </row>
    <row r="48" spans="1:16" hidden="1" x14ac:dyDescent="0.35">
      <c r="A48" s="4">
        <v>46144</v>
      </c>
      <c r="B48" t="s">
        <v>12</v>
      </c>
      <c r="C48" t="s">
        <v>25</v>
      </c>
      <c r="D48" t="s">
        <v>16</v>
      </c>
      <c r="E48" t="s">
        <v>15</v>
      </c>
      <c r="F48">
        <v>117</v>
      </c>
      <c r="G48">
        <v>43</v>
      </c>
      <c r="H48">
        <v>17</v>
      </c>
      <c r="I48">
        <f t="shared" si="2"/>
        <v>143</v>
      </c>
      <c r="J48">
        <v>32</v>
      </c>
      <c r="K48">
        <v>3</v>
      </c>
      <c r="L48" t="str">
        <f t="shared" si="3"/>
        <v>Correct</v>
      </c>
      <c r="M48">
        <f t="shared" si="4"/>
        <v>53.125</v>
      </c>
      <c r="N48">
        <f t="shared" si="0"/>
        <v>23.758620689655171</v>
      </c>
      <c r="O48">
        <f t="shared" si="5"/>
        <v>6.0188679245283021</v>
      </c>
      <c r="P48" t="str">
        <f t="shared" si="1"/>
        <v>Low Stock</v>
      </c>
    </row>
    <row r="49" spans="1:16" hidden="1" x14ac:dyDescent="0.35">
      <c r="A49" s="4">
        <v>46144</v>
      </c>
      <c r="B49" t="s">
        <v>12</v>
      </c>
      <c r="C49" t="s">
        <v>25</v>
      </c>
      <c r="D49" t="s">
        <v>18</v>
      </c>
      <c r="E49" t="s">
        <v>15</v>
      </c>
      <c r="F49">
        <v>107</v>
      </c>
      <c r="G49">
        <v>13</v>
      </c>
      <c r="H49">
        <v>21</v>
      </c>
      <c r="I49">
        <f t="shared" si="2"/>
        <v>99</v>
      </c>
      <c r="J49">
        <v>27</v>
      </c>
      <c r="K49">
        <v>3</v>
      </c>
      <c r="L49" t="str">
        <f t="shared" si="3"/>
        <v>Correct</v>
      </c>
      <c r="M49">
        <f t="shared" si="4"/>
        <v>77.777777777777786</v>
      </c>
      <c r="N49">
        <f t="shared" si="0"/>
        <v>31.142857142857142</v>
      </c>
      <c r="O49">
        <f t="shared" si="5"/>
        <v>3.1788990825688073</v>
      </c>
      <c r="P49" t="str">
        <f t="shared" si="1"/>
        <v>Low Stock</v>
      </c>
    </row>
    <row r="50" spans="1:16" hidden="1" x14ac:dyDescent="0.35">
      <c r="A50" s="4">
        <v>46144</v>
      </c>
      <c r="B50" t="s">
        <v>12</v>
      </c>
      <c r="C50" t="s">
        <v>25</v>
      </c>
      <c r="D50" t="s">
        <v>20</v>
      </c>
      <c r="E50" t="s">
        <v>15</v>
      </c>
      <c r="F50">
        <v>191</v>
      </c>
      <c r="G50">
        <v>31</v>
      </c>
      <c r="H50">
        <v>31</v>
      </c>
      <c r="I50">
        <f t="shared" si="2"/>
        <v>191</v>
      </c>
      <c r="J50">
        <v>37</v>
      </c>
      <c r="K50">
        <v>5</v>
      </c>
      <c r="L50" t="str">
        <f t="shared" si="3"/>
        <v>Correct</v>
      </c>
      <c r="M50">
        <f t="shared" si="4"/>
        <v>83.78378378378379</v>
      </c>
      <c r="N50">
        <f t="shared" si="0"/>
        <v>31.137931034482758</v>
      </c>
      <c r="O50">
        <f t="shared" si="5"/>
        <v>6.1339977851605756</v>
      </c>
      <c r="P50" t="str">
        <f t="shared" si="1"/>
        <v>Low Stock</v>
      </c>
    </row>
    <row r="51" spans="1:16" hidden="1" x14ac:dyDescent="0.35">
      <c r="A51" s="4">
        <v>46144</v>
      </c>
      <c r="B51" t="s">
        <v>12</v>
      </c>
      <c r="C51" t="s">
        <v>25</v>
      </c>
      <c r="D51" t="s">
        <v>22</v>
      </c>
      <c r="E51" t="s">
        <v>15</v>
      </c>
      <c r="F51">
        <v>197</v>
      </c>
      <c r="G51">
        <v>16</v>
      </c>
      <c r="H51">
        <v>18</v>
      </c>
      <c r="I51">
        <f t="shared" si="2"/>
        <v>195</v>
      </c>
      <c r="J51">
        <v>25</v>
      </c>
      <c r="K51">
        <v>5</v>
      </c>
      <c r="L51" t="str">
        <f t="shared" si="3"/>
        <v>Correct</v>
      </c>
      <c r="M51">
        <f t="shared" si="4"/>
        <v>72</v>
      </c>
      <c r="N51">
        <f t="shared" si="0"/>
        <v>11.3</v>
      </c>
      <c r="O51">
        <f t="shared" si="5"/>
        <v>17.256637168141591</v>
      </c>
      <c r="P51" t="str">
        <f t="shared" si="1"/>
        <v>Healthy</v>
      </c>
    </row>
    <row r="52" spans="1:16" hidden="1" x14ac:dyDescent="0.35">
      <c r="A52" s="4">
        <v>46144</v>
      </c>
      <c r="B52" t="s">
        <v>26</v>
      </c>
      <c r="C52" t="s">
        <v>27</v>
      </c>
      <c r="D52" t="s">
        <v>14</v>
      </c>
      <c r="E52" t="s">
        <v>15</v>
      </c>
      <c r="F52">
        <v>169</v>
      </c>
      <c r="G52">
        <v>41</v>
      </c>
      <c r="H52">
        <v>14</v>
      </c>
      <c r="I52">
        <f t="shared" si="2"/>
        <v>196</v>
      </c>
      <c r="J52">
        <v>26</v>
      </c>
      <c r="K52">
        <v>4</v>
      </c>
      <c r="L52" t="str">
        <f t="shared" si="3"/>
        <v>Correct</v>
      </c>
      <c r="M52">
        <f t="shared" si="4"/>
        <v>53.846153846153847</v>
      </c>
      <c r="N52">
        <f t="shared" si="0"/>
        <v>22.258064516129032</v>
      </c>
      <c r="O52">
        <f t="shared" si="5"/>
        <v>8.8057971014492757</v>
      </c>
      <c r="P52" t="str">
        <f t="shared" si="1"/>
        <v>Low Stock</v>
      </c>
    </row>
    <row r="53" spans="1:16" hidden="1" x14ac:dyDescent="0.35">
      <c r="A53" s="4">
        <v>46144</v>
      </c>
      <c r="B53" t="s">
        <v>26</v>
      </c>
      <c r="C53" t="s">
        <v>27</v>
      </c>
      <c r="D53" t="s">
        <v>16</v>
      </c>
      <c r="E53" t="s">
        <v>15</v>
      </c>
      <c r="F53">
        <v>96</v>
      </c>
      <c r="G53">
        <v>34</v>
      </c>
      <c r="H53">
        <v>23</v>
      </c>
      <c r="I53">
        <f t="shared" si="2"/>
        <v>107</v>
      </c>
      <c r="J53">
        <v>34</v>
      </c>
      <c r="K53">
        <v>3</v>
      </c>
      <c r="L53" t="str">
        <f t="shared" si="3"/>
        <v>Correct</v>
      </c>
      <c r="M53">
        <f t="shared" si="4"/>
        <v>67.64705882352942</v>
      </c>
      <c r="N53">
        <f t="shared" si="0"/>
        <v>20.172413793103448</v>
      </c>
      <c r="O53">
        <f t="shared" si="5"/>
        <v>5.3042735042735041</v>
      </c>
      <c r="P53" t="str">
        <f t="shared" si="1"/>
        <v>Low Stock</v>
      </c>
    </row>
    <row r="54" spans="1:16" hidden="1" x14ac:dyDescent="0.35">
      <c r="A54" s="4">
        <v>46144</v>
      </c>
      <c r="B54" t="s">
        <v>26</v>
      </c>
      <c r="C54" t="s">
        <v>27</v>
      </c>
      <c r="D54" t="s">
        <v>18</v>
      </c>
      <c r="E54" t="s">
        <v>15</v>
      </c>
      <c r="F54">
        <v>218</v>
      </c>
      <c r="G54">
        <v>4</v>
      </c>
      <c r="H54">
        <v>34</v>
      </c>
      <c r="I54">
        <f t="shared" si="2"/>
        <v>188</v>
      </c>
      <c r="J54">
        <v>48</v>
      </c>
      <c r="K54">
        <v>1</v>
      </c>
      <c r="L54" t="str">
        <f t="shared" si="3"/>
        <v>Correct</v>
      </c>
      <c r="M54">
        <f t="shared" si="4"/>
        <v>70.833333333333343</v>
      </c>
      <c r="N54">
        <f t="shared" si="0"/>
        <v>29.733333333333334</v>
      </c>
      <c r="O54">
        <f t="shared" si="5"/>
        <v>6.3228699551569507</v>
      </c>
      <c r="P54" t="str">
        <f t="shared" si="1"/>
        <v>Low Stock</v>
      </c>
    </row>
    <row r="55" spans="1:16" hidden="1" x14ac:dyDescent="0.35">
      <c r="A55" s="4">
        <v>46144</v>
      </c>
      <c r="B55" t="s">
        <v>26</v>
      </c>
      <c r="C55" t="s">
        <v>27</v>
      </c>
      <c r="D55" t="s">
        <v>20</v>
      </c>
      <c r="E55" t="s">
        <v>15</v>
      </c>
      <c r="F55">
        <v>215</v>
      </c>
      <c r="G55">
        <v>45</v>
      </c>
      <c r="H55">
        <v>50</v>
      </c>
      <c r="I55">
        <f t="shared" si="2"/>
        <v>210</v>
      </c>
      <c r="J55">
        <v>54</v>
      </c>
      <c r="K55">
        <v>1</v>
      </c>
      <c r="L55" t="str">
        <f t="shared" si="3"/>
        <v>Correct</v>
      </c>
      <c r="M55">
        <f t="shared" si="4"/>
        <v>92.592592592592595</v>
      </c>
      <c r="N55">
        <f t="shared" si="0"/>
        <v>30.724137931034484</v>
      </c>
      <c r="O55">
        <f t="shared" si="5"/>
        <v>6.8350168350168348</v>
      </c>
      <c r="P55" t="str">
        <f t="shared" si="1"/>
        <v>Low Stock</v>
      </c>
    </row>
    <row r="56" spans="1:16" hidden="1" x14ac:dyDescent="0.35">
      <c r="A56" s="4">
        <v>46144</v>
      </c>
      <c r="B56" t="s">
        <v>26</v>
      </c>
      <c r="C56" t="s">
        <v>27</v>
      </c>
      <c r="D56" t="s">
        <v>22</v>
      </c>
      <c r="E56" t="s">
        <v>15</v>
      </c>
      <c r="F56">
        <v>167</v>
      </c>
      <c r="G56">
        <v>5</v>
      </c>
      <c r="H56">
        <v>14</v>
      </c>
      <c r="I56">
        <f t="shared" si="2"/>
        <v>158</v>
      </c>
      <c r="J56">
        <v>18</v>
      </c>
      <c r="K56">
        <v>2</v>
      </c>
      <c r="L56" t="str">
        <f t="shared" si="3"/>
        <v>Correct</v>
      </c>
      <c r="M56">
        <f t="shared" si="4"/>
        <v>77.777777777777786</v>
      </c>
      <c r="N56">
        <f t="shared" si="0"/>
        <v>11.566666666666666</v>
      </c>
      <c r="O56">
        <f t="shared" si="5"/>
        <v>13.659942363112393</v>
      </c>
      <c r="P56" t="str">
        <f t="shared" si="1"/>
        <v>Low Stock</v>
      </c>
    </row>
    <row r="57" spans="1:16" hidden="1" x14ac:dyDescent="0.35">
      <c r="A57" s="4">
        <v>46144</v>
      </c>
      <c r="B57" t="s">
        <v>28</v>
      </c>
      <c r="C57" t="s">
        <v>29</v>
      </c>
      <c r="D57" t="s">
        <v>14</v>
      </c>
      <c r="E57" t="s">
        <v>15</v>
      </c>
      <c r="F57">
        <v>214</v>
      </c>
      <c r="G57">
        <v>26</v>
      </c>
      <c r="H57">
        <v>19</v>
      </c>
      <c r="I57">
        <f t="shared" si="2"/>
        <v>221</v>
      </c>
      <c r="J57">
        <v>26</v>
      </c>
      <c r="K57">
        <v>1</v>
      </c>
      <c r="L57" t="str">
        <f t="shared" si="3"/>
        <v>Correct</v>
      </c>
      <c r="M57">
        <f t="shared" si="4"/>
        <v>73.076923076923066</v>
      </c>
      <c r="N57">
        <f t="shared" si="0"/>
        <v>22.25</v>
      </c>
      <c r="O57">
        <f t="shared" si="5"/>
        <v>9.9325842696629216</v>
      </c>
      <c r="P57" t="str">
        <f t="shared" si="1"/>
        <v>Low Stock</v>
      </c>
    </row>
    <row r="58" spans="1:16" hidden="1" x14ac:dyDescent="0.35">
      <c r="A58" s="4">
        <v>46144</v>
      </c>
      <c r="B58" t="s">
        <v>28</v>
      </c>
      <c r="C58" t="s">
        <v>29</v>
      </c>
      <c r="D58" t="s">
        <v>16</v>
      </c>
      <c r="E58" t="s">
        <v>15</v>
      </c>
      <c r="F58">
        <v>148</v>
      </c>
      <c r="G58">
        <v>12</v>
      </c>
      <c r="H58">
        <v>27</v>
      </c>
      <c r="I58">
        <f t="shared" si="2"/>
        <v>133</v>
      </c>
      <c r="J58">
        <v>40</v>
      </c>
      <c r="K58">
        <v>4</v>
      </c>
      <c r="L58" t="str">
        <f t="shared" si="3"/>
        <v>Correct</v>
      </c>
      <c r="M58">
        <f t="shared" si="4"/>
        <v>67.5</v>
      </c>
      <c r="N58">
        <f t="shared" si="0"/>
        <v>19.96551724137931</v>
      </c>
      <c r="O58">
        <f t="shared" si="5"/>
        <v>6.6614853195164079</v>
      </c>
      <c r="P58" t="str">
        <f t="shared" si="1"/>
        <v>Low Stock</v>
      </c>
    </row>
    <row r="59" spans="1:16" hidden="1" x14ac:dyDescent="0.35">
      <c r="A59" s="4">
        <v>46144</v>
      </c>
      <c r="B59" t="s">
        <v>28</v>
      </c>
      <c r="C59" t="s">
        <v>29</v>
      </c>
      <c r="D59" t="s">
        <v>18</v>
      </c>
      <c r="E59" t="s">
        <v>15</v>
      </c>
      <c r="F59">
        <v>123</v>
      </c>
      <c r="G59">
        <v>41</v>
      </c>
      <c r="H59">
        <v>48</v>
      </c>
      <c r="I59">
        <f t="shared" si="2"/>
        <v>116</v>
      </c>
      <c r="J59">
        <v>59</v>
      </c>
      <c r="K59">
        <v>5</v>
      </c>
      <c r="L59" t="str">
        <f t="shared" si="3"/>
        <v>Correct</v>
      </c>
      <c r="M59">
        <f t="shared" si="4"/>
        <v>81.355932203389841</v>
      </c>
      <c r="N59">
        <f t="shared" si="0"/>
        <v>31.206896551724139</v>
      </c>
      <c r="O59">
        <f t="shared" si="5"/>
        <v>3.7171270718232043</v>
      </c>
      <c r="P59" t="str">
        <f t="shared" si="1"/>
        <v>Low Stock</v>
      </c>
    </row>
    <row r="60" spans="1:16" hidden="1" x14ac:dyDescent="0.35">
      <c r="A60" s="4">
        <v>46144</v>
      </c>
      <c r="B60" t="s">
        <v>28</v>
      </c>
      <c r="C60" t="s">
        <v>29</v>
      </c>
      <c r="D60" t="s">
        <v>20</v>
      </c>
      <c r="E60" t="s">
        <v>15</v>
      </c>
      <c r="F60">
        <v>225</v>
      </c>
      <c r="G60">
        <v>17</v>
      </c>
      <c r="H60">
        <v>36</v>
      </c>
      <c r="I60">
        <f t="shared" si="2"/>
        <v>206</v>
      </c>
      <c r="J60">
        <v>44</v>
      </c>
      <c r="K60">
        <v>2</v>
      </c>
      <c r="L60" t="str">
        <f t="shared" si="3"/>
        <v>Correct</v>
      </c>
      <c r="M60">
        <f t="shared" si="4"/>
        <v>81.818181818181827</v>
      </c>
      <c r="N60">
        <f t="shared" si="0"/>
        <v>32.620689655172413</v>
      </c>
      <c r="O60">
        <f t="shared" si="5"/>
        <v>6.3150105708245245</v>
      </c>
      <c r="P60" t="str">
        <f t="shared" si="1"/>
        <v>Low Stock</v>
      </c>
    </row>
    <row r="61" spans="1:16" hidden="1" x14ac:dyDescent="0.35">
      <c r="A61" s="4">
        <v>46144</v>
      </c>
      <c r="B61" t="s">
        <v>28</v>
      </c>
      <c r="C61" t="s">
        <v>29</v>
      </c>
      <c r="D61" t="s">
        <v>22</v>
      </c>
      <c r="E61" t="s">
        <v>15</v>
      </c>
      <c r="F61">
        <v>159</v>
      </c>
      <c r="G61">
        <v>52</v>
      </c>
      <c r="H61">
        <v>9</v>
      </c>
      <c r="I61">
        <f t="shared" si="2"/>
        <v>202</v>
      </c>
      <c r="J61">
        <v>0</v>
      </c>
      <c r="K61">
        <v>1</v>
      </c>
      <c r="L61" t="str">
        <f t="shared" si="3"/>
        <v>Correct</v>
      </c>
      <c r="M61">
        <f t="shared" si="4"/>
        <v>0</v>
      </c>
      <c r="N61">
        <f t="shared" si="0"/>
        <v>11.678571428571429</v>
      </c>
      <c r="O61">
        <f t="shared" si="5"/>
        <v>17.296636085626911</v>
      </c>
      <c r="P61" t="str">
        <f t="shared" si="1"/>
        <v>Healthy</v>
      </c>
    </row>
    <row r="62" spans="1:16" hidden="1" x14ac:dyDescent="0.35">
      <c r="A62" s="4">
        <v>46144</v>
      </c>
      <c r="B62" t="s">
        <v>31</v>
      </c>
      <c r="C62" t="s">
        <v>32</v>
      </c>
      <c r="D62" t="s">
        <v>14</v>
      </c>
      <c r="E62" t="s">
        <v>15</v>
      </c>
      <c r="F62">
        <v>115</v>
      </c>
      <c r="G62">
        <v>50</v>
      </c>
      <c r="H62">
        <v>27</v>
      </c>
      <c r="I62">
        <f t="shared" si="2"/>
        <v>138</v>
      </c>
      <c r="J62">
        <v>42</v>
      </c>
      <c r="K62">
        <v>3</v>
      </c>
      <c r="L62" t="str">
        <f t="shared" si="3"/>
        <v>Correct</v>
      </c>
      <c r="M62">
        <f t="shared" si="4"/>
        <v>64.285714285714292</v>
      </c>
      <c r="N62">
        <f t="shared" si="0"/>
        <v>20.84375</v>
      </c>
      <c r="O62">
        <f t="shared" si="5"/>
        <v>6.6206896551724137</v>
      </c>
      <c r="P62" t="str">
        <f t="shared" si="1"/>
        <v>Low Stock</v>
      </c>
    </row>
    <row r="63" spans="1:16" hidden="1" x14ac:dyDescent="0.35">
      <c r="A63" s="4">
        <v>46144</v>
      </c>
      <c r="B63" t="s">
        <v>31</v>
      </c>
      <c r="C63" t="s">
        <v>32</v>
      </c>
      <c r="D63" t="s">
        <v>16</v>
      </c>
      <c r="E63" t="s">
        <v>15</v>
      </c>
      <c r="F63">
        <v>178</v>
      </c>
      <c r="G63">
        <v>42</v>
      </c>
      <c r="H63">
        <v>15</v>
      </c>
      <c r="I63">
        <f t="shared" si="2"/>
        <v>205</v>
      </c>
      <c r="J63">
        <v>24</v>
      </c>
      <c r="K63">
        <v>4</v>
      </c>
      <c r="L63" t="str">
        <f t="shared" si="3"/>
        <v>Correct</v>
      </c>
      <c r="M63">
        <f t="shared" si="4"/>
        <v>62.5</v>
      </c>
      <c r="N63">
        <f t="shared" si="0"/>
        <v>21.46875</v>
      </c>
      <c r="O63">
        <f t="shared" si="5"/>
        <v>9.5487627365356627</v>
      </c>
      <c r="P63" t="str">
        <f t="shared" si="1"/>
        <v>Low Stock</v>
      </c>
    </row>
    <row r="64" spans="1:16" hidden="1" x14ac:dyDescent="0.35">
      <c r="A64" s="4">
        <v>46144</v>
      </c>
      <c r="B64" t="s">
        <v>31</v>
      </c>
      <c r="C64" t="s">
        <v>32</v>
      </c>
      <c r="D64" t="s">
        <v>18</v>
      </c>
      <c r="E64" t="s">
        <v>15</v>
      </c>
      <c r="F64">
        <v>211</v>
      </c>
      <c r="G64">
        <v>24</v>
      </c>
      <c r="H64">
        <v>41</v>
      </c>
      <c r="I64">
        <f t="shared" si="2"/>
        <v>194</v>
      </c>
      <c r="J64">
        <v>53</v>
      </c>
      <c r="K64">
        <v>2</v>
      </c>
      <c r="L64" t="str">
        <f t="shared" si="3"/>
        <v>Correct</v>
      </c>
      <c r="M64">
        <f t="shared" si="4"/>
        <v>77.358490566037744</v>
      </c>
      <c r="N64">
        <f t="shared" si="0"/>
        <v>30.586206896551722</v>
      </c>
      <c r="O64">
        <f t="shared" si="5"/>
        <v>6.342728297632469</v>
      </c>
      <c r="P64" t="str">
        <f t="shared" si="1"/>
        <v>Low Stock</v>
      </c>
    </row>
    <row r="65" spans="1:16" hidden="1" x14ac:dyDescent="0.35">
      <c r="A65" s="4">
        <v>46144</v>
      </c>
      <c r="B65" t="s">
        <v>31</v>
      </c>
      <c r="C65" t="s">
        <v>32</v>
      </c>
      <c r="D65" t="s">
        <v>20</v>
      </c>
      <c r="E65" t="s">
        <v>15</v>
      </c>
      <c r="F65">
        <v>201</v>
      </c>
      <c r="G65">
        <v>9</v>
      </c>
      <c r="H65">
        <v>28</v>
      </c>
      <c r="I65">
        <f t="shared" si="2"/>
        <v>182</v>
      </c>
      <c r="J65">
        <v>29</v>
      </c>
      <c r="K65">
        <v>4</v>
      </c>
      <c r="L65" t="str">
        <f t="shared" si="3"/>
        <v>Correct</v>
      </c>
      <c r="M65">
        <f t="shared" si="4"/>
        <v>96.551724137931032</v>
      </c>
      <c r="N65">
        <f t="shared" si="0"/>
        <v>32.299999999999997</v>
      </c>
      <c r="O65">
        <f t="shared" si="5"/>
        <v>5.6346749226006194</v>
      </c>
      <c r="P65" t="str">
        <f t="shared" si="1"/>
        <v>Low Stock</v>
      </c>
    </row>
    <row r="66" spans="1:16" hidden="1" x14ac:dyDescent="0.35">
      <c r="A66" s="4">
        <v>46144</v>
      </c>
      <c r="B66" t="s">
        <v>31</v>
      </c>
      <c r="C66" t="s">
        <v>32</v>
      </c>
      <c r="D66" t="s">
        <v>22</v>
      </c>
      <c r="E66" t="s">
        <v>15</v>
      </c>
      <c r="F66">
        <v>162</v>
      </c>
      <c r="G66">
        <v>58</v>
      </c>
      <c r="H66">
        <v>5</v>
      </c>
      <c r="I66">
        <f t="shared" si="2"/>
        <v>215</v>
      </c>
      <c r="J66">
        <v>14</v>
      </c>
      <c r="K66">
        <v>3</v>
      </c>
      <c r="L66" t="str">
        <f t="shared" si="3"/>
        <v>Correct</v>
      </c>
      <c r="M66">
        <f t="shared" si="4"/>
        <v>35.714285714285715</v>
      </c>
      <c r="N66">
        <f t="shared" ref="N66:N129" si="6">SUMIFS($H:$H,$B:$B,B66,$C:$C,C66,$D:$D,D66)/COUNTIFS($B:$B,B66,$C:$C,C66,$D:$D,D66)</f>
        <v>10.413793103448276</v>
      </c>
      <c r="O66">
        <f t="shared" si="5"/>
        <v>20.64569536423841</v>
      </c>
      <c r="P66" t="str">
        <f t="shared" ref="P66:P129" si="7">IF(O66&lt;15,"Low Stock",IF(O66&lt;=30,"Healthy","Overstock"))</f>
        <v>Healthy</v>
      </c>
    </row>
    <row r="67" spans="1:16" hidden="1" x14ac:dyDescent="0.35">
      <c r="A67" s="4">
        <v>46144</v>
      </c>
      <c r="B67" t="s">
        <v>33</v>
      </c>
      <c r="C67" t="s">
        <v>34</v>
      </c>
      <c r="D67" t="s">
        <v>14</v>
      </c>
      <c r="E67" t="s">
        <v>15</v>
      </c>
      <c r="F67">
        <v>115</v>
      </c>
      <c r="G67">
        <v>28</v>
      </c>
      <c r="H67">
        <v>17</v>
      </c>
      <c r="I67">
        <f t="shared" ref="I67:I130" si="8">F67+G67-H67</f>
        <v>126</v>
      </c>
      <c r="J67">
        <v>26</v>
      </c>
      <c r="K67">
        <v>4</v>
      </c>
      <c r="L67" t="str">
        <f t="shared" ref="L67:L130" si="9">IF(I67&lt;0,"Need verification","Correct")</f>
        <v>Correct</v>
      </c>
      <c r="M67">
        <f t="shared" ref="M67:M130" si="10">IF(J67=0,0,(H67/J67)*100)</f>
        <v>65.384615384615387</v>
      </c>
      <c r="N67">
        <f t="shared" si="6"/>
        <v>20.70967741935484</v>
      </c>
      <c r="O67">
        <f t="shared" ref="O67:O130" si="11">IFERROR(I67/N67,0)</f>
        <v>6.08411214953271</v>
      </c>
      <c r="P67" t="str">
        <f t="shared" si="7"/>
        <v>Low Stock</v>
      </c>
    </row>
    <row r="68" spans="1:16" hidden="1" x14ac:dyDescent="0.35">
      <c r="A68" s="4">
        <v>46144</v>
      </c>
      <c r="B68" t="s">
        <v>33</v>
      </c>
      <c r="C68" t="s">
        <v>34</v>
      </c>
      <c r="D68" t="s">
        <v>16</v>
      </c>
      <c r="E68" t="s">
        <v>15</v>
      </c>
      <c r="F68">
        <v>106</v>
      </c>
      <c r="G68">
        <v>20</v>
      </c>
      <c r="H68">
        <v>30</v>
      </c>
      <c r="I68">
        <f t="shared" si="8"/>
        <v>96</v>
      </c>
      <c r="J68">
        <v>42</v>
      </c>
      <c r="K68">
        <v>3</v>
      </c>
      <c r="L68" t="str">
        <f t="shared" si="9"/>
        <v>Correct</v>
      </c>
      <c r="M68">
        <f t="shared" si="10"/>
        <v>71.428571428571431</v>
      </c>
      <c r="N68">
        <f t="shared" si="6"/>
        <v>22.142857142857142</v>
      </c>
      <c r="O68">
        <f t="shared" si="11"/>
        <v>4.3354838709677423</v>
      </c>
      <c r="P68" t="str">
        <f t="shared" si="7"/>
        <v>Low Stock</v>
      </c>
    </row>
    <row r="69" spans="1:16" hidden="1" x14ac:dyDescent="0.35">
      <c r="A69" s="4">
        <v>46144</v>
      </c>
      <c r="B69" t="s">
        <v>12</v>
      </c>
      <c r="C69" t="s">
        <v>13</v>
      </c>
      <c r="D69" t="s">
        <v>18</v>
      </c>
      <c r="E69" t="s">
        <v>15</v>
      </c>
      <c r="F69">
        <v>176</v>
      </c>
      <c r="G69">
        <v>0</v>
      </c>
      <c r="H69">
        <v>28</v>
      </c>
      <c r="I69">
        <f t="shared" si="8"/>
        <v>148</v>
      </c>
      <c r="J69">
        <v>33</v>
      </c>
      <c r="K69">
        <v>2</v>
      </c>
      <c r="L69" t="str">
        <f t="shared" si="9"/>
        <v>Correct</v>
      </c>
      <c r="M69">
        <f t="shared" si="10"/>
        <v>84.848484848484844</v>
      </c>
      <c r="N69">
        <f t="shared" si="6"/>
        <v>33.34375</v>
      </c>
      <c r="O69">
        <f t="shared" si="11"/>
        <v>4.4386129334582947</v>
      </c>
      <c r="P69" t="str">
        <f t="shared" si="7"/>
        <v>Low Stock</v>
      </c>
    </row>
    <row r="70" spans="1:16" hidden="1" x14ac:dyDescent="0.35">
      <c r="A70" s="4">
        <v>46144</v>
      </c>
      <c r="B70" t="s">
        <v>33</v>
      </c>
      <c r="C70" t="s">
        <v>34</v>
      </c>
      <c r="D70" t="s">
        <v>20</v>
      </c>
      <c r="E70" t="s">
        <v>15</v>
      </c>
      <c r="F70">
        <v>227</v>
      </c>
      <c r="G70">
        <v>37</v>
      </c>
      <c r="H70">
        <v>29</v>
      </c>
      <c r="I70">
        <f t="shared" si="8"/>
        <v>235</v>
      </c>
      <c r="J70">
        <v>37</v>
      </c>
      <c r="K70">
        <v>2</v>
      </c>
      <c r="L70" t="str">
        <f t="shared" si="9"/>
        <v>Correct</v>
      </c>
      <c r="M70">
        <f t="shared" si="10"/>
        <v>78.378378378378372</v>
      </c>
      <c r="N70">
        <f t="shared" si="6"/>
        <v>30.931034482758619</v>
      </c>
      <c r="O70">
        <f t="shared" si="11"/>
        <v>7.597547380156076</v>
      </c>
      <c r="P70" t="str">
        <f t="shared" si="7"/>
        <v>Low Stock</v>
      </c>
    </row>
    <row r="71" spans="1:16" hidden="1" x14ac:dyDescent="0.35">
      <c r="A71" s="4">
        <v>46144</v>
      </c>
      <c r="B71" t="s">
        <v>33</v>
      </c>
      <c r="C71" t="s">
        <v>34</v>
      </c>
      <c r="D71" t="s">
        <v>22</v>
      </c>
      <c r="E71" t="s">
        <v>15</v>
      </c>
      <c r="F71">
        <v>157</v>
      </c>
      <c r="G71">
        <v>55</v>
      </c>
      <c r="H71">
        <v>4</v>
      </c>
      <c r="I71">
        <f t="shared" si="8"/>
        <v>208</v>
      </c>
      <c r="J71">
        <v>18</v>
      </c>
      <c r="K71">
        <v>1</v>
      </c>
      <c r="L71" t="str">
        <f t="shared" si="9"/>
        <v>Correct</v>
      </c>
      <c r="M71">
        <f t="shared" si="10"/>
        <v>22.222222222222221</v>
      </c>
      <c r="N71">
        <f t="shared" si="6"/>
        <v>10.25</v>
      </c>
      <c r="O71">
        <f t="shared" si="11"/>
        <v>20.292682926829269</v>
      </c>
      <c r="P71" t="str">
        <f t="shared" si="7"/>
        <v>Healthy</v>
      </c>
    </row>
    <row r="72" spans="1:16" hidden="1" x14ac:dyDescent="0.35">
      <c r="A72" s="4">
        <v>46145</v>
      </c>
      <c r="B72" t="s">
        <v>31</v>
      </c>
      <c r="C72" t="s">
        <v>32</v>
      </c>
      <c r="D72" t="s">
        <v>14</v>
      </c>
      <c r="E72" t="s">
        <v>15</v>
      </c>
      <c r="F72">
        <v>221</v>
      </c>
      <c r="G72">
        <v>27</v>
      </c>
      <c r="H72">
        <v>29</v>
      </c>
      <c r="I72">
        <f t="shared" si="8"/>
        <v>219</v>
      </c>
      <c r="J72">
        <v>38</v>
      </c>
      <c r="K72">
        <v>3</v>
      </c>
      <c r="L72" t="str">
        <f t="shared" si="9"/>
        <v>Correct</v>
      </c>
      <c r="M72">
        <f t="shared" si="10"/>
        <v>76.31578947368422</v>
      </c>
      <c r="N72">
        <f t="shared" si="6"/>
        <v>20.84375</v>
      </c>
      <c r="O72">
        <f t="shared" si="11"/>
        <v>10.506746626686656</v>
      </c>
      <c r="P72" t="str">
        <f t="shared" si="7"/>
        <v>Low Stock</v>
      </c>
    </row>
    <row r="73" spans="1:16" hidden="1" x14ac:dyDescent="0.35">
      <c r="A73" s="4">
        <v>46145</v>
      </c>
      <c r="B73" t="s">
        <v>12</v>
      </c>
      <c r="C73" t="s">
        <v>13</v>
      </c>
      <c r="D73" t="s">
        <v>16</v>
      </c>
      <c r="E73" t="s">
        <v>15</v>
      </c>
      <c r="F73">
        <v>175</v>
      </c>
      <c r="G73">
        <v>3</v>
      </c>
      <c r="H73">
        <v>14</v>
      </c>
      <c r="I73">
        <f t="shared" si="8"/>
        <v>164</v>
      </c>
      <c r="J73">
        <v>19</v>
      </c>
      <c r="K73">
        <v>5</v>
      </c>
      <c r="L73" t="str">
        <f t="shared" si="9"/>
        <v>Correct</v>
      </c>
      <c r="M73">
        <f t="shared" si="10"/>
        <v>73.68421052631578</v>
      </c>
      <c r="N73">
        <f t="shared" si="6"/>
        <v>20.030303030303031</v>
      </c>
      <c r="O73">
        <f t="shared" si="11"/>
        <v>8.1875945537065054</v>
      </c>
      <c r="P73" t="str">
        <f t="shared" si="7"/>
        <v>Low Stock</v>
      </c>
    </row>
    <row r="74" spans="1:16" hidden="1" x14ac:dyDescent="0.35">
      <c r="A74" s="4">
        <v>46145</v>
      </c>
      <c r="B74" t="s">
        <v>12</v>
      </c>
      <c r="C74" t="s">
        <v>13</v>
      </c>
      <c r="D74" t="s">
        <v>18</v>
      </c>
      <c r="E74" t="s">
        <v>15</v>
      </c>
      <c r="F74">
        <v>194</v>
      </c>
      <c r="G74">
        <v>7</v>
      </c>
      <c r="H74">
        <v>18</v>
      </c>
      <c r="I74">
        <f t="shared" si="8"/>
        <v>183</v>
      </c>
      <c r="J74">
        <v>21</v>
      </c>
      <c r="K74">
        <v>1</v>
      </c>
      <c r="L74" t="str">
        <f t="shared" si="9"/>
        <v>Correct</v>
      </c>
      <c r="M74">
        <f t="shared" si="10"/>
        <v>85.714285714285708</v>
      </c>
      <c r="N74">
        <f t="shared" si="6"/>
        <v>33.34375</v>
      </c>
      <c r="O74">
        <f t="shared" si="11"/>
        <v>5.4882849109653229</v>
      </c>
      <c r="P74" t="str">
        <f t="shared" si="7"/>
        <v>Low Stock</v>
      </c>
    </row>
    <row r="75" spans="1:16" hidden="1" x14ac:dyDescent="0.35">
      <c r="A75" s="4">
        <v>46145</v>
      </c>
      <c r="B75" t="s">
        <v>12</v>
      </c>
      <c r="C75" t="s">
        <v>13</v>
      </c>
      <c r="D75" t="s">
        <v>20</v>
      </c>
      <c r="E75" t="s">
        <v>15</v>
      </c>
      <c r="F75">
        <v>210</v>
      </c>
      <c r="G75">
        <v>22</v>
      </c>
      <c r="H75">
        <v>46</v>
      </c>
      <c r="I75">
        <f t="shared" si="8"/>
        <v>186</v>
      </c>
      <c r="J75">
        <v>49</v>
      </c>
      <c r="K75">
        <v>5</v>
      </c>
      <c r="L75" t="str">
        <f t="shared" si="9"/>
        <v>Correct</v>
      </c>
      <c r="M75">
        <f t="shared" si="10"/>
        <v>93.877551020408163</v>
      </c>
      <c r="N75">
        <f t="shared" si="6"/>
        <v>34.515151515151516</v>
      </c>
      <c r="O75">
        <f t="shared" si="11"/>
        <v>5.3889376646180862</v>
      </c>
      <c r="P75" t="str">
        <f t="shared" si="7"/>
        <v>Low Stock</v>
      </c>
    </row>
    <row r="76" spans="1:16" hidden="1" x14ac:dyDescent="0.35">
      <c r="A76" s="4">
        <v>46145</v>
      </c>
      <c r="B76" t="s">
        <v>12</v>
      </c>
      <c r="C76" t="s">
        <v>13</v>
      </c>
      <c r="D76" t="s">
        <v>22</v>
      </c>
      <c r="E76" t="s">
        <v>15</v>
      </c>
      <c r="F76">
        <v>107</v>
      </c>
      <c r="G76">
        <v>9</v>
      </c>
      <c r="H76">
        <v>8</v>
      </c>
      <c r="I76">
        <f t="shared" si="8"/>
        <v>108</v>
      </c>
      <c r="J76">
        <v>13</v>
      </c>
      <c r="K76">
        <v>3</v>
      </c>
      <c r="L76" t="str">
        <f t="shared" si="9"/>
        <v>Correct</v>
      </c>
      <c r="M76">
        <f t="shared" si="10"/>
        <v>61.53846153846154</v>
      </c>
      <c r="N76">
        <f t="shared" si="6"/>
        <v>9.9032258064516121</v>
      </c>
      <c r="O76">
        <f t="shared" si="11"/>
        <v>10.905537459283389</v>
      </c>
      <c r="P76" t="str">
        <f t="shared" si="7"/>
        <v>Low Stock</v>
      </c>
    </row>
    <row r="77" spans="1:16" hidden="1" x14ac:dyDescent="0.35">
      <c r="A77" s="4">
        <v>46145</v>
      </c>
      <c r="B77" t="s">
        <v>12</v>
      </c>
      <c r="C77" t="s">
        <v>24</v>
      </c>
      <c r="D77" t="s">
        <v>14</v>
      </c>
      <c r="E77" t="s">
        <v>15</v>
      </c>
      <c r="F77">
        <v>101</v>
      </c>
      <c r="G77">
        <v>49</v>
      </c>
      <c r="H77">
        <v>20</v>
      </c>
      <c r="I77">
        <f t="shared" si="8"/>
        <v>130</v>
      </c>
      <c r="J77">
        <v>24</v>
      </c>
      <c r="K77">
        <v>4</v>
      </c>
      <c r="L77" t="str">
        <f t="shared" si="9"/>
        <v>Correct</v>
      </c>
      <c r="M77">
        <f t="shared" si="10"/>
        <v>83.333333333333343</v>
      </c>
      <c r="N77">
        <f t="shared" si="6"/>
        <v>21.35483870967742</v>
      </c>
      <c r="O77">
        <f t="shared" si="11"/>
        <v>6.0876132930513593</v>
      </c>
      <c r="P77" t="str">
        <f t="shared" si="7"/>
        <v>Low Stock</v>
      </c>
    </row>
    <row r="78" spans="1:16" hidden="1" x14ac:dyDescent="0.35">
      <c r="A78" s="4">
        <v>46145</v>
      </c>
      <c r="B78" t="s">
        <v>12</v>
      </c>
      <c r="C78" t="s">
        <v>24</v>
      </c>
      <c r="D78" t="s">
        <v>16</v>
      </c>
      <c r="E78" t="s">
        <v>15</v>
      </c>
      <c r="F78">
        <v>207</v>
      </c>
      <c r="G78">
        <v>56</v>
      </c>
      <c r="H78">
        <v>26</v>
      </c>
      <c r="I78">
        <f t="shared" si="8"/>
        <v>237</v>
      </c>
      <c r="J78">
        <v>38</v>
      </c>
      <c r="K78">
        <v>4</v>
      </c>
      <c r="L78" t="str">
        <f t="shared" si="9"/>
        <v>Correct</v>
      </c>
      <c r="M78">
        <f t="shared" si="10"/>
        <v>68.421052631578945</v>
      </c>
      <c r="N78">
        <f t="shared" si="6"/>
        <v>21.9</v>
      </c>
      <c r="O78">
        <f t="shared" si="11"/>
        <v>10.82191780821918</v>
      </c>
      <c r="P78" t="str">
        <f t="shared" si="7"/>
        <v>Low Stock</v>
      </c>
    </row>
    <row r="79" spans="1:16" hidden="1" x14ac:dyDescent="0.35">
      <c r="A79" s="4">
        <v>46145</v>
      </c>
      <c r="B79" t="s">
        <v>12</v>
      </c>
      <c r="C79" t="s">
        <v>24</v>
      </c>
      <c r="D79" t="s">
        <v>18</v>
      </c>
      <c r="E79" t="s">
        <v>15</v>
      </c>
      <c r="F79">
        <v>134</v>
      </c>
      <c r="G79">
        <v>27</v>
      </c>
      <c r="H79">
        <v>41</v>
      </c>
      <c r="I79">
        <f t="shared" si="8"/>
        <v>120</v>
      </c>
      <c r="J79">
        <v>53</v>
      </c>
      <c r="K79">
        <v>1</v>
      </c>
      <c r="L79" t="str">
        <f t="shared" si="9"/>
        <v>Correct</v>
      </c>
      <c r="M79">
        <f t="shared" si="10"/>
        <v>77.358490566037744</v>
      </c>
      <c r="N79">
        <f t="shared" si="6"/>
        <v>31.586206896551722</v>
      </c>
      <c r="O79">
        <f t="shared" si="11"/>
        <v>3.7991266375545854</v>
      </c>
      <c r="P79" t="str">
        <f t="shared" si="7"/>
        <v>Low Stock</v>
      </c>
    </row>
    <row r="80" spans="1:16" hidden="1" x14ac:dyDescent="0.35">
      <c r="A80" s="4">
        <v>46145</v>
      </c>
      <c r="B80" t="s">
        <v>12</v>
      </c>
      <c r="C80" t="s">
        <v>24</v>
      </c>
      <c r="D80" t="s">
        <v>20</v>
      </c>
      <c r="E80" t="s">
        <v>15</v>
      </c>
      <c r="F80">
        <v>177</v>
      </c>
      <c r="G80">
        <v>1</v>
      </c>
      <c r="H80">
        <v>42</v>
      </c>
      <c r="I80">
        <f t="shared" si="8"/>
        <v>136</v>
      </c>
      <c r="J80">
        <v>43</v>
      </c>
      <c r="K80">
        <v>5</v>
      </c>
      <c r="L80" t="str">
        <f t="shared" si="9"/>
        <v>Correct</v>
      </c>
      <c r="M80">
        <f t="shared" si="10"/>
        <v>97.674418604651152</v>
      </c>
      <c r="N80">
        <f t="shared" si="6"/>
        <v>34.200000000000003</v>
      </c>
      <c r="O80">
        <f t="shared" si="11"/>
        <v>3.9766081871345027</v>
      </c>
      <c r="P80" t="str">
        <f t="shared" si="7"/>
        <v>Low Stock</v>
      </c>
    </row>
    <row r="81" spans="1:16" hidden="1" x14ac:dyDescent="0.35">
      <c r="A81" s="4">
        <v>46145</v>
      </c>
      <c r="B81" t="s">
        <v>12</v>
      </c>
      <c r="C81" t="s">
        <v>24</v>
      </c>
      <c r="D81" t="s">
        <v>14</v>
      </c>
      <c r="E81" t="s">
        <v>15</v>
      </c>
      <c r="F81">
        <v>172</v>
      </c>
      <c r="G81">
        <v>34</v>
      </c>
      <c r="H81">
        <v>4</v>
      </c>
      <c r="I81">
        <f t="shared" si="8"/>
        <v>202</v>
      </c>
      <c r="J81">
        <v>9</v>
      </c>
      <c r="K81">
        <v>5</v>
      </c>
      <c r="L81" t="str">
        <f t="shared" si="9"/>
        <v>Correct</v>
      </c>
      <c r="M81">
        <f t="shared" si="10"/>
        <v>44.444444444444443</v>
      </c>
      <c r="N81">
        <f t="shared" si="6"/>
        <v>21.35483870967742</v>
      </c>
      <c r="O81">
        <f t="shared" si="11"/>
        <v>9.4592145015105746</v>
      </c>
      <c r="P81" t="str">
        <f t="shared" si="7"/>
        <v>Low Stock</v>
      </c>
    </row>
    <row r="82" spans="1:16" hidden="1" x14ac:dyDescent="0.35">
      <c r="A82" s="4">
        <v>46145</v>
      </c>
      <c r="B82" t="s">
        <v>12</v>
      </c>
      <c r="C82" t="s">
        <v>25</v>
      </c>
      <c r="D82" t="s">
        <v>14</v>
      </c>
      <c r="E82" t="s">
        <v>15</v>
      </c>
      <c r="F82">
        <v>134</v>
      </c>
      <c r="G82">
        <v>1</v>
      </c>
      <c r="H82">
        <v>32</v>
      </c>
      <c r="I82">
        <f t="shared" si="8"/>
        <v>103</v>
      </c>
      <c r="J82">
        <v>36</v>
      </c>
      <c r="K82">
        <v>1</v>
      </c>
      <c r="L82" t="str">
        <f t="shared" si="9"/>
        <v>Correct</v>
      </c>
      <c r="M82">
        <f t="shared" si="10"/>
        <v>88.888888888888886</v>
      </c>
      <c r="N82">
        <f t="shared" si="6"/>
        <v>20.7</v>
      </c>
      <c r="O82">
        <f t="shared" si="11"/>
        <v>4.9758454106280192</v>
      </c>
      <c r="P82" t="str">
        <f t="shared" si="7"/>
        <v>Low Stock</v>
      </c>
    </row>
    <row r="83" spans="1:16" hidden="1" x14ac:dyDescent="0.35">
      <c r="A83" s="4">
        <v>46145</v>
      </c>
      <c r="B83" t="s">
        <v>12</v>
      </c>
      <c r="C83" t="s">
        <v>25</v>
      </c>
      <c r="D83" t="s">
        <v>16</v>
      </c>
      <c r="E83" t="s">
        <v>15</v>
      </c>
      <c r="F83">
        <v>143</v>
      </c>
      <c r="G83">
        <v>9</v>
      </c>
      <c r="H83">
        <v>23</v>
      </c>
      <c r="I83">
        <f t="shared" si="8"/>
        <v>129</v>
      </c>
      <c r="J83">
        <v>31</v>
      </c>
      <c r="K83">
        <v>3</v>
      </c>
      <c r="L83" t="str">
        <f t="shared" si="9"/>
        <v>Correct</v>
      </c>
      <c r="M83">
        <f t="shared" si="10"/>
        <v>74.193548387096769</v>
      </c>
      <c r="N83">
        <f t="shared" si="6"/>
        <v>23.758620689655171</v>
      </c>
      <c r="O83">
        <f t="shared" si="11"/>
        <v>5.4296081277213357</v>
      </c>
      <c r="P83" t="str">
        <f t="shared" si="7"/>
        <v>Low Stock</v>
      </c>
    </row>
    <row r="84" spans="1:16" hidden="1" x14ac:dyDescent="0.35">
      <c r="A84" s="4">
        <v>46145</v>
      </c>
      <c r="B84" t="s">
        <v>12</v>
      </c>
      <c r="C84" t="s">
        <v>25</v>
      </c>
      <c r="D84" t="s">
        <v>18</v>
      </c>
      <c r="E84" t="s">
        <v>15</v>
      </c>
      <c r="F84">
        <v>99</v>
      </c>
      <c r="G84">
        <v>46</v>
      </c>
      <c r="H84">
        <v>20</v>
      </c>
      <c r="I84">
        <f t="shared" si="8"/>
        <v>125</v>
      </c>
      <c r="J84">
        <v>25</v>
      </c>
      <c r="K84">
        <v>4</v>
      </c>
      <c r="L84" t="str">
        <f t="shared" si="9"/>
        <v>Correct</v>
      </c>
      <c r="M84">
        <f t="shared" si="10"/>
        <v>80</v>
      </c>
      <c r="N84">
        <f t="shared" si="6"/>
        <v>31.142857142857142</v>
      </c>
      <c r="O84">
        <f t="shared" si="11"/>
        <v>4.0137614678899087</v>
      </c>
      <c r="P84" t="str">
        <f t="shared" si="7"/>
        <v>Low Stock</v>
      </c>
    </row>
    <row r="85" spans="1:16" hidden="1" x14ac:dyDescent="0.35">
      <c r="A85" s="4">
        <v>46145</v>
      </c>
      <c r="B85" t="s">
        <v>12</v>
      </c>
      <c r="C85" t="s">
        <v>25</v>
      </c>
      <c r="D85" t="s">
        <v>20</v>
      </c>
      <c r="E85" t="s">
        <v>15</v>
      </c>
      <c r="F85">
        <v>191</v>
      </c>
      <c r="G85">
        <v>39</v>
      </c>
      <c r="H85">
        <v>24</v>
      </c>
      <c r="I85">
        <f t="shared" si="8"/>
        <v>206</v>
      </c>
      <c r="J85">
        <v>31</v>
      </c>
      <c r="K85">
        <v>3</v>
      </c>
      <c r="L85" t="str">
        <f t="shared" si="9"/>
        <v>Correct</v>
      </c>
      <c r="M85">
        <f t="shared" si="10"/>
        <v>77.41935483870968</v>
      </c>
      <c r="N85">
        <f t="shared" si="6"/>
        <v>31.137931034482758</v>
      </c>
      <c r="O85">
        <f t="shared" si="11"/>
        <v>6.6157253599114068</v>
      </c>
      <c r="P85" t="str">
        <f t="shared" si="7"/>
        <v>Low Stock</v>
      </c>
    </row>
    <row r="86" spans="1:16" hidden="1" x14ac:dyDescent="0.35">
      <c r="A86" s="4">
        <v>46145</v>
      </c>
      <c r="B86" t="s">
        <v>12</v>
      </c>
      <c r="C86" t="s">
        <v>25</v>
      </c>
      <c r="D86" t="s">
        <v>22</v>
      </c>
      <c r="E86" t="s">
        <v>15</v>
      </c>
      <c r="F86">
        <v>195</v>
      </c>
      <c r="G86">
        <v>57</v>
      </c>
      <c r="H86">
        <v>9</v>
      </c>
      <c r="I86">
        <f t="shared" si="8"/>
        <v>243</v>
      </c>
      <c r="J86">
        <v>22</v>
      </c>
      <c r="K86">
        <v>2</v>
      </c>
      <c r="L86" t="str">
        <f t="shared" si="9"/>
        <v>Correct</v>
      </c>
      <c r="M86">
        <f t="shared" si="10"/>
        <v>40.909090909090914</v>
      </c>
      <c r="N86">
        <f t="shared" si="6"/>
        <v>11.3</v>
      </c>
      <c r="O86">
        <f t="shared" si="11"/>
        <v>21.504424778761059</v>
      </c>
      <c r="P86" t="str">
        <f t="shared" si="7"/>
        <v>Healthy</v>
      </c>
    </row>
    <row r="87" spans="1:16" hidden="1" x14ac:dyDescent="0.35">
      <c r="A87" s="4">
        <v>46145</v>
      </c>
      <c r="B87" t="s">
        <v>26</v>
      </c>
      <c r="C87" t="s">
        <v>27</v>
      </c>
      <c r="D87" t="s">
        <v>14</v>
      </c>
      <c r="E87" t="s">
        <v>15</v>
      </c>
      <c r="F87">
        <v>196</v>
      </c>
      <c r="G87">
        <v>42</v>
      </c>
      <c r="H87">
        <v>29</v>
      </c>
      <c r="I87">
        <f t="shared" si="8"/>
        <v>209</v>
      </c>
      <c r="J87">
        <v>40</v>
      </c>
      <c r="K87">
        <v>1</v>
      </c>
      <c r="L87" t="str">
        <f t="shared" si="9"/>
        <v>Correct</v>
      </c>
      <c r="M87">
        <f t="shared" si="10"/>
        <v>72.5</v>
      </c>
      <c r="N87">
        <f t="shared" si="6"/>
        <v>22.258064516129032</v>
      </c>
      <c r="O87">
        <f t="shared" si="11"/>
        <v>9.389855072463769</v>
      </c>
      <c r="P87" t="str">
        <f t="shared" si="7"/>
        <v>Low Stock</v>
      </c>
    </row>
    <row r="88" spans="1:16" hidden="1" x14ac:dyDescent="0.35">
      <c r="A88" s="4">
        <v>46145</v>
      </c>
      <c r="B88" t="s">
        <v>26</v>
      </c>
      <c r="C88" t="s">
        <v>27</v>
      </c>
      <c r="D88" t="s">
        <v>16</v>
      </c>
      <c r="E88" t="s">
        <v>15</v>
      </c>
      <c r="F88">
        <v>107</v>
      </c>
      <c r="G88">
        <v>40</v>
      </c>
      <c r="H88">
        <v>17</v>
      </c>
      <c r="I88">
        <f t="shared" si="8"/>
        <v>130</v>
      </c>
      <c r="J88">
        <v>22</v>
      </c>
      <c r="K88">
        <v>3</v>
      </c>
      <c r="L88" t="str">
        <f t="shared" si="9"/>
        <v>Correct</v>
      </c>
      <c r="M88">
        <f t="shared" si="10"/>
        <v>77.272727272727266</v>
      </c>
      <c r="N88">
        <f t="shared" si="6"/>
        <v>20.172413793103448</v>
      </c>
      <c r="O88">
        <f t="shared" si="11"/>
        <v>6.4444444444444446</v>
      </c>
      <c r="P88" t="str">
        <f t="shared" si="7"/>
        <v>Low Stock</v>
      </c>
    </row>
    <row r="89" spans="1:16" hidden="1" x14ac:dyDescent="0.35">
      <c r="A89" s="4">
        <v>46145</v>
      </c>
      <c r="B89" t="s">
        <v>26</v>
      </c>
      <c r="C89" t="s">
        <v>27</v>
      </c>
      <c r="D89" t="s">
        <v>18</v>
      </c>
      <c r="E89" t="s">
        <v>15</v>
      </c>
      <c r="F89">
        <v>188</v>
      </c>
      <c r="G89">
        <v>51</v>
      </c>
      <c r="H89">
        <v>16</v>
      </c>
      <c r="I89">
        <f t="shared" si="8"/>
        <v>223</v>
      </c>
      <c r="J89">
        <v>17</v>
      </c>
      <c r="K89">
        <v>5</v>
      </c>
      <c r="L89" t="str">
        <f t="shared" si="9"/>
        <v>Correct</v>
      </c>
      <c r="M89">
        <f t="shared" si="10"/>
        <v>94.117647058823522</v>
      </c>
      <c r="N89">
        <f t="shared" si="6"/>
        <v>29.733333333333334</v>
      </c>
      <c r="O89">
        <f t="shared" si="11"/>
        <v>7.5</v>
      </c>
      <c r="P89" t="str">
        <f t="shared" si="7"/>
        <v>Low Stock</v>
      </c>
    </row>
    <row r="90" spans="1:16" hidden="1" x14ac:dyDescent="0.35">
      <c r="A90" s="4">
        <v>46145</v>
      </c>
      <c r="B90" t="s">
        <v>26</v>
      </c>
      <c r="C90" t="s">
        <v>27</v>
      </c>
      <c r="D90" t="s">
        <v>20</v>
      </c>
      <c r="E90" t="s">
        <v>15</v>
      </c>
      <c r="F90">
        <v>210</v>
      </c>
      <c r="G90">
        <v>35</v>
      </c>
      <c r="H90">
        <v>22</v>
      </c>
      <c r="I90">
        <f t="shared" si="8"/>
        <v>223</v>
      </c>
      <c r="J90">
        <v>32</v>
      </c>
      <c r="K90">
        <v>2</v>
      </c>
      <c r="L90" t="str">
        <f t="shared" si="9"/>
        <v>Correct</v>
      </c>
      <c r="M90">
        <f t="shared" si="10"/>
        <v>68.75</v>
      </c>
      <c r="N90">
        <f t="shared" si="6"/>
        <v>30.724137931034484</v>
      </c>
      <c r="O90">
        <f t="shared" si="11"/>
        <v>7.2581369248035914</v>
      </c>
      <c r="P90" t="str">
        <f t="shared" si="7"/>
        <v>Low Stock</v>
      </c>
    </row>
    <row r="91" spans="1:16" hidden="1" x14ac:dyDescent="0.35">
      <c r="A91" s="4">
        <v>46162</v>
      </c>
      <c r="B91" t="s">
        <v>26</v>
      </c>
      <c r="C91" t="s">
        <v>27</v>
      </c>
      <c r="D91" t="s">
        <v>22</v>
      </c>
      <c r="E91" t="s">
        <v>15</v>
      </c>
      <c r="F91">
        <v>158</v>
      </c>
      <c r="G91">
        <v>30</v>
      </c>
      <c r="H91">
        <v>9</v>
      </c>
      <c r="I91">
        <f t="shared" si="8"/>
        <v>179</v>
      </c>
      <c r="J91">
        <v>18</v>
      </c>
      <c r="K91">
        <v>3</v>
      </c>
      <c r="L91" t="str">
        <f t="shared" si="9"/>
        <v>Correct</v>
      </c>
      <c r="M91">
        <f t="shared" si="10"/>
        <v>50</v>
      </c>
      <c r="N91">
        <f t="shared" si="6"/>
        <v>11.566666666666666</v>
      </c>
      <c r="O91">
        <f t="shared" si="11"/>
        <v>15.475504322766572</v>
      </c>
      <c r="P91" t="str">
        <f t="shared" si="7"/>
        <v>Healthy</v>
      </c>
    </row>
    <row r="92" spans="1:16" hidden="1" x14ac:dyDescent="0.35">
      <c r="A92" s="4">
        <v>46145</v>
      </c>
      <c r="B92" t="s">
        <v>28</v>
      </c>
      <c r="C92" t="s">
        <v>29</v>
      </c>
      <c r="D92" t="s">
        <v>14</v>
      </c>
      <c r="E92" t="s">
        <v>15</v>
      </c>
      <c r="F92">
        <v>221</v>
      </c>
      <c r="G92">
        <v>17</v>
      </c>
      <c r="H92">
        <v>14</v>
      </c>
      <c r="I92">
        <f t="shared" si="8"/>
        <v>224</v>
      </c>
      <c r="J92">
        <v>27</v>
      </c>
      <c r="K92">
        <v>2</v>
      </c>
      <c r="L92" t="str">
        <f t="shared" si="9"/>
        <v>Correct</v>
      </c>
      <c r="M92">
        <f t="shared" si="10"/>
        <v>51.851851851851848</v>
      </c>
      <c r="N92">
        <f t="shared" si="6"/>
        <v>22.25</v>
      </c>
      <c r="O92">
        <f t="shared" si="11"/>
        <v>10.067415730337078</v>
      </c>
      <c r="P92" t="str">
        <f t="shared" si="7"/>
        <v>Low Stock</v>
      </c>
    </row>
    <row r="93" spans="1:16" hidden="1" x14ac:dyDescent="0.35">
      <c r="A93" s="4">
        <v>46145</v>
      </c>
      <c r="B93" t="s">
        <v>28</v>
      </c>
      <c r="C93" t="s">
        <v>29</v>
      </c>
      <c r="D93" t="s">
        <v>16</v>
      </c>
      <c r="E93" t="s">
        <v>15</v>
      </c>
      <c r="F93">
        <v>133</v>
      </c>
      <c r="G93">
        <v>13</v>
      </c>
      <c r="H93">
        <v>14</v>
      </c>
      <c r="I93">
        <f t="shared" si="8"/>
        <v>132</v>
      </c>
      <c r="J93">
        <v>14</v>
      </c>
      <c r="K93">
        <v>4</v>
      </c>
      <c r="L93" t="str">
        <f t="shared" si="9"/>
        <v>Correct</v>
      </c>
      <c r="M93">
        <f t="shared" si="10"/>
        <v>100</v>
      </c>
      <c r="N93">
        <f t="shared" si="6"/>
        <v>19.96551724137931</v>
      </c>
      <c r="O93">
        <f t="shared" si="11"/>
        <v>6.6113989637305703</v>
      </c>
      <c r="P93" t="str">
        <f t="shared" si="7"/>
        <v>Low Stock</v>
      </c>
    </row>
    <row r="94" spans="1:16" hidden="1" x14ac:dyDescent="0.35">
      <c r="A94" s="4">
        <v>46145</v>
      </c>
      <c r="B94" t="s">
        <v>28</v>
      </c>
      <c r="C94" t="s">
        <v>29</v>
      </c>
      <c r="D94" t="s">
        <v>18</v>
      </c>
      <c r="E94" t="s">
        <v>15</v>
      </c>
      <c r="F94">
        <v>116</v>
      </c>
      <c r="G94">
        <v>48</v>
      </c>
      <c r="H94">
        <v>31</v>
      </c>
      <c r="I94">
        <f t="shared" si="8"/>
        <v>133</v>
      </c>
      <c r="J94">
        <v>39</v>
      </c>
      <c r="K94">
        <v>5</v>
      </c>
      <c r="L94" t="str">
        <f t="shared" si="9"/>
        <v>Correct</v>
      </c>
      <c r="M94">
        <f t="shared" si="10"/>
        <v>79.487179487179489</v>
      </c>
      <c r="N94">
        <f t="shared" si="6"/>
        <v>31.206896551724139</v>
      </c>
      <c r="O94">
        <f t="shared" si="11"/>
        <v>4.2618784530386735</v>
      </c>
      <c r="P94" t="str">
        <f t="shared" si="7"/>
        <v>Low Stock</v>
      </c>
    </row>
    <row r="95" spans="1:16" hidden="1" x14ac:dyDescent="0.35">
      <c r="A95" s="4">
        <v>46145</v>
      </c>
      <c r="B95" t="s">
        <v>28</v>
      </c>
      <c r="C95" t="s">
        <v>29</v>
      </c>
      <c r="D95" t="s">
        <v>20</v>
      </c>
      <c r="E95" t="s">
        <v>15</v>
      </c>
      <c r="F95">
        <v>206</v>
      </c>
      <c r="G95">
        <v>49</v>
      </c>
      <c r="H95">
        <v>22</v>
      </c>
      <c r="I95">
        <f t="shared" si="8"/>
        <v>233</v>
      </c>
      <c r="J95">
        <v>27</v>
      </c>
      <c r="K95">
        <v>1</v>
      </c>
      <c r="L95" t="str">
        <f t="shared" si="9"/>
        <v>Correct</v>
      </c>
      <c r="M95">
        <f t="shared" si="10"/>
        <v>81.481481481481481</v>
      </c>
      <c r="N95">
        <f t="shared" si="6"/>
        <v>32.620689655172413</v>
      </c>
      <c r="O95">
        <f t="shared" si="11"/>
        <v>7.1427061310782243</v>
      </c>
      <c r="P95" t="str">
        <f t="shared" si="7"/>
        <v>Low Stock</v>
      </c>
    </row>
    <row r="96" spans="1:16" hidden="1" x14ac:dyDescent="0.35">
      <c r="A96" s="4">
        <v>46145</v>
      </c>
      <c r="B96" t="s">
        <v>28</v>
      </c>
      <c r="C96" t="s">
        <v>29</v>
      </c>
      <c r="D96" t="s">
        <v>22</v>
      </c>
      <c r="E96" t="s">
        <v>15</v>
      </c>
      <c r="F96">
        <v>202</v>
      </c>
      <c r="G96">
        <v>27</v>
      </c>
      <c r="H96">
        <v>16</v>
      </c>
      <c r="I96">
        <f t="shared" si="8"/>
        <v>213</v>
      </c>
      <c r="J96">
        <v>18</v>
      </c>
      <c r="K96">
        <v>3</v>
      </c>
      <c r="L96" t="str">
        <f t="shared" si="9"/>
        <v>Correct</v>
      </c>
      <c r="M96">
        <f t="shared" si="10"/>
        <v>88.888888888888886</v>
      </c>
      <c r="N96">
        <f t="shared" si="6"/>
        <v>11.678571428571429</v>
      </c>
      <c r="O96">
        <f t="shared" si="11"/>
        <v>18.238532110091743</v>
      </c>
      <c r="P96" t="str">
        <f t="shared" si="7"/>
        <v>Healthy</v>
      </c>
    </row>
    <row r="97" spans="1:16" hidden="1" x14ac:dyDescent="0.35">
      <c r="A97" s="4">
        <v>46145</v>
      </c>
      <c r="B97" t="s">
        <v>31</v>
      </c>
      <c r="C97" t="s">
        <v>32</v>
      </c>
      <c r="D97" t="s">
        <v>14</v>
      </c>
      <c r="E97" t="s">
        <v>15</v>
      </c>
      <c r="F97">
        <v>138</v>
      </c>
      <c r="G97">
        <v>60</v>
      </c>
      <c r="H97">
        <v>18</v>
      </c>
      <c r="I97">
        <f t="shared" si="8"/>
        <v>180</v>
      </c>
      <c r="J97">
        <v>28</v>
      </c>
      <c r="K97">
        <v>2</v>
      </c>
      <c r="L97" t="str">
        <f t="shared" si="9"/>
        <v>Correct</v>
      </c>
      <c r="M97">
        <f t="shared" si="10"/>
        <v>64.285714285714292</v>
      </c>
      <c r="N97">
        <f t="shared" si="6"/>
        <v>20.84375</v>
      </c>
      <c r="O97">
        <f t="shared" si="11"/>
        <v>8.6356821589205399</v>
      </c>
      <c r="P97" t="str">
        <f t="shared" si="7"/>
        <v>Low Stock</v>
      </c>
    </row>
    <row r="98" spans="1:16" hidden="1" x14ac:dyDescent="0.35">
      <c r="A98" s="4">
        <v>46145</v>
      </c>
      <c r="B98" t="s">
        <v>31</v>
      </c>
      <c r="C98" t="s">
        <v>32</v>
      </c>
      <c r="D98" t="s">
        <v>16</v>
      </c>
      <c r="E98" t="s">
        <v>15</v>
      </c>
      <c r="F98">
        <v>205</v>
      </c>
      <c r="G98">
        <v>32</v>
      </c>
      <c r="H98">
        <v>22</v>
      </c>
      <c r="I98">
        <f t="shared" si="8"/>
        <v>215</v>
      </c>
      <c r="J98">
        <v>29</v>
      </c>
      <c r="K98">
        <v>4</v>
      </c>
      <c r="L98" t="str">
        <f t="shared" si="9"/>
        <v>Correct</v>
      </c>
      <c r="M98">
        <f t="shared" si="10"/>
        <v>75.862068965517238</v>
      </c>
      <c r="N98">
        <f t="shared" si="6"/>
        <v>21.46875</v>
      </c>
      <c r="O98">
        <f t="shared" si="11"/>
        <v>10.014556040756915</v>
      </c>
      <c r="P98" t="str">
        <f t="shared" si="7"/>
        <v>Low Stock</v>
      </c>
    </row>
    <row r="99" spans="1:16" hidden="1" x14ac:dyDescent="0.35">
      <c r="A99" s="4">
        <v>46145</v>
      </c>
      <c r="B99" t="s">
        <v>31</v>
      </c>
      <c r="C99" t="s">
        <v>32</v>
      </c>
      <c r="D99" t="s">
        <v>18</v>
      </c>
      <c r="E99" t="s">
        <v>15</v>
      </c>
      <c r="F99">
        <v>194</v>
      </c>
      <c r="G99">
        <v>10</v>
      </c>
      <c r="H99">
        <v>40</v>
      </c>
      <c r="I99">
        <f t="shared" si="8"/>
        <v>164</v>
      </c>
      <c r="J99">
        <v>40</v>
      </c>
      <c r="K99">
        <v>5</v>
      </c>
      <c r="L99" t="str">
        <f t="shared" si="9"/>
        <v>Correct</v>
      </c>
      <c r="M99">
        <f t="shared" si="10"/>
        <v>100</v>
      </c>
      <c r="N99">
        <f t="shared" si="6"/>
        <v>30.586206896551722</v>
      </c>
      <c r="O99">
        <f t="shared" si="11"/>
        <v>5.361894024802706</v>
      </c>
      <c r="P99" t="str">
        <f t="shared" si="7"/>
        <v>Low Stock</v>
      </c>
    </row>
    <row r="100" spans="1:16" hidden="1" x14ac:dyDescent="0.35">
      <c r="A100" s="4">
        <v>46145</v>
      </c>
      <c r="B100" t="s">
        <v>31</v>
      </c>
      <c r="C100" t="s">
        <v>32</v>
      </c>
      <c r="D100" t="s">
        <v>20</v>
      </c>
      <c r="E100" t="s">
        <v>15</v>
      </c>
      <c r="F100">
        <v>182</v>
      </c>
      <c r="G100">
        <v>6</v>
      </c>
      <c r="H100">
        <v>15</v>
      </c>
      <c r="I100">
        <f t="shared" si="8"/>
        <v>173</v>
      </c>
      <c r="J100">
        <v>26</v>
      </c>
      <c r="K100">
        <v>5</v>
      </c>
      <c r="L100" t="str">
        <f t="shared" si="9"/>
        <v>Correct</v>
      </c>
      <c r="M100">
        <f t="shared" si="10"/>
        <v>57.692307692307686</v>
      </c>
      <c r="N100">
        <f t="shared" si="6"/>
        <v>32.299999999999997</v>
      </c>
      <c r="O100">
        <f t="shared" si="11"/>
        <v>5.3560371517027869</v>
      </c>
      <c r="P100" t="str">
        <f t="shared" si="7"/>
        <v>Low Stock</v>
      </c>
    </row>
    <row r="101" spans="1:16" hidden="1" x14ac:dyDescent="0.35">
      <c r="A101" s="4">
        <v>46145</v>
      </c>
      <c r="B101" t="s">
        <v>31</v>
      </c>
      <c r="C101" t="s">
        <v>32</v>
      </c>
      <c r="D101" t="s">
        <v>22</v>
      </c>
      <c r="E101" t="s">
        <v>15</v>
      </c>
      <c r="F101">
        <v>215</v>
      </c>
      <c r="G101">
        <v>33</v>
      </c>
      <c r="H101">
        <v>6</v>
      </c>
      <c r="I101">
        <f t="shared" si="8"/>
        <v>242</v>
      </c>
      <c r="J101">
        <v>7</v>
      </c>
      <c r="K101">
        <v>4</v>
      </c>
      <c r="L101" t="str">
        <f t="shared" si="9"/>
        <v>Correct</v>
      </c>
      <c r="M101">
        <f t="shared" si="10"/>
        <v>85.714285714285708</v>
      </c>
      <c r="N101">
        <f t="shared" si="6"/>
        <v>10.413793103448276</v>
      </c>
      <c r="O101">
        <f t="shared" si="11"/>
        <v>23.23841059602649</v>
      </c>
      <c r="P101" t="str">
        <f t="shared" si="7"/>
        <v>Healthy</v>
      </c>
    </row>
    <row r="102" spans="1:16" hidden="1" x14ac:dyDescent="0.35">
      <c r="A102" s="4">
        <v>46145</v>
      </c>
      <c r="B102" t="s">
        <v>33</v>
      </c>
      <c r="C102" t="s">
        <v>34</v>
      </c>
      <c r="D102" t="s">
        <v>14</v>
      </c>
      <c r="E102" t="s">
        <v>15</v>
      </c>
      <c r="F102">
        <v>126</v>
      </c>
      <c r="G102">
        <v>47</v>
      </c>
      <c r="H102">
        <v>16</v>
      </c>
      <c r="I102">
        <f t="shared" si="8"/>
        <v>157</v>
      </c>
      <c r="J102">
        <v>27</v>
      </c>
      <c r="K102">
        <v>5</v>
      </c>
      <c r="L102" t="str">
        <f t="shared" si="9"/>
        <v>Correct</v>
      </c>
      <c r="M102">
        <f t="shared" si="10"/>
        <v>59.259259259259252</v>
      </c>
      <c r="N102">
        <f t="shared" si="6"/>
        <v>20.70967741935484</v>
      </c>
      <c r="O102">
        <f t="shared" si="11"/>
        <v>7.5809968847352023</v>
      </c>
      <c r="P102" t="str">
        <f t="shared" si="7"/>
        <v>Low Stock</v>
      </c>
    </row>
    <row r="103" spans="1:16" hidden="1" x14ac:dyDescent="0.35">
      <c r="A103" s="4">
        <v>46145</v>
      </c>
      <c r="B103" t="s">
        <v>33</v>
      </c>
      <c r="C103" t="s">
        <v>34</v>
      </c>
      <c r="D103" t="s">
        <v>16</v>
      </c>
      <c r="E103" t="s">
        <v>15</v>
      </c>
      <c r="F103">
        <v>96</v>
      </c>
      <c r="G103">
        <v>48</v>
      </c>
      <c r="H103">
        <v>8</v>
      </c>
      <c r="I103">
        <f t="shared" si="8"/>
        <v>136</v>
      </c>
      <c r="J103">
        <v>15</v>
      </c>
      <c r="K103">
        <v>2</v>
      </c>
      <c r="L103" t="str">
        <f t="shared" si="9"/>
        <v>Correct</v>
      </c>
      <c r="M103">
        <f t="shared" si="10"/>
        <v>53.333333333333336</v>
      </c>
      <c r="N103">
        <f t="shared" si="6"/>
        <v>22.142857142857142</v>
      </c>
      <c r="O103">
        <f t="shared" si="11"/>
        <v>6.1419354838709683</v>
      </c>
      <c r="P103" t="str">
        <f t="shared" si="7"/>
        <v>Low Stock</v>
      </c>
    </row>
    <row r="104" spans="1:16" hidden="1" x14ac:dyDescent="0.35">
      <c r="A104" s="4">
        <v>46145</v>
      </c>
      <c r="B104" t="s">
        <v>33</v>
      </c>
      <c r="C104" t="s">
        <v>34</v>
      </c>
      <c r="D104" t="s">
        <v>18</v>
      </c>
      <c r="E104" t="s">
        <v>15</v>
      </c>
      <c r="F104">
        <v>148</v>
      </c>
      <c r="G104">
        <v>20</v>
      </c>
      <c r="H104">
        <v>49</v>
      </c>
      <c r="I104">
        <f t="shared" si="8"/>
        <v>119</v>
      </c>
      <c r="J104">
        <v>52</v>
      </c>
      <c r="K104">
        <v>2</v>
      </c>
      <c r="L104" t="str">
        <f t="shared" si="9"/>
        <v>Correct</v>
      </c>
      <c r="M104">
        <f t="shared" si="10"/>
        <v>94.230769230769226</v>
      </c>
      <c r="N104">
        <f t="shared" si="6"/>
        <v>30.275862068965516</v>
      </c>
      <c r="O104">
        <f t="shared" si="11"/>
        <v>3.9305239179954445</v>
      </c>
      <c r="P104" t="str">
        <f t="shared" si="7"/>
        <v>Low Stock</v>
      </c>
    </row>
    <row r="105" spans="1:16" hidden="1" x14ac:dyDescent="0.35">
      <c r="A105" s="4">
        <v>46145</v>
      </c>
      <c r="B105" t="s">
        <v>33</v>
      </c>
      <c r="C105" t="s">
        <v>34</v>
      </c>
      <c r="D105" t="s">
        <v>20</v>
      </c>
      <c r="E105" t="s">
        <v>15</v>
      </c>
      <c r="F105">
        <v>235</v>
      </c>
      <c r="G105">
        <v>55</v>
      </c>
      <c r="H105">
        <v>40</v>
      </c>
      <c r="I105">
        <f t="shared" si="8"/>
        <v>250</v>
      </c>
      <c r="J105">
        <v>51</v>
      </c>
      <c r="K105">
        <v>4</v>
      </c>
      <c r="L105" t="str">
        <f t="shared" si="9"/>
        <v>Correct</v>
      </c>
      <c r="M105">
        <f t="shared" si="10"/>
        <v>78.431372549019613</v>
      </c>
      <c r="N105">
        <f t="shared" si="6"/>
        <v>30.931034482758619</v>
      </c>
      <c r="O105">
        <f t="shared" si="11"/>
        <v>8.0824972129319956</v>
      </c>
      <c r="P105" t="str">
        <f t="shared" si="7"/>
        <v>Low Stock</v>
      </c>
    </row>
    <row r="106" spans="1:16" hidden="1" x14ac:dyDescent="0.35">
      <c r="A106" s="4">
        <v>46145</v>
      </c>
      <c r="B106" t="s">
        <v>33</v>
      </c>
      <c r="C106" t="s">
        <v>34</v>
      </c>
      <c r="D106" t="s">
        <v>22</v>
      </c>
      <c r="E106" t="s">
        <v>15</v>
      </c>
      <c r="F106">
        <v>208</v>
      </c>
      <c r="G106">
        <v>56</v>
      </c>
      <c r="H106">
        <v>13</v>
      </c>
      <c r="I106">
        <f t="shared" si="8"/>
        <v>251</v>
      </c>
      <c r="J106">
        <v>26</v>
      </c>
      <c r="K106">
        <v>5</v>
      </c>
      <c r="L106" t="str">
        <f t="shared" si="9"/>
        <v>Correct</v>
      </c>
      <c r="M106">
        <f t="shared" si="10"/>
        <v>50</v>
      </c>
      <c r="N106">
        <f t="shared" si="6"/>
        <v>10.25</v>
      </c>
      <c r="O106">
        <f t="shared" si="11"/>
        <v>24.487804878048781</v>
      </c>
      <c r="P106" t="str">
        <f t="shared" si="7"/>
        <v>Healthy</v>
      </c>
    </row>
    <row r="107" spans="1:16" hidden="1" x14ac:dyDescent="0.35">
      <c r="A107" s="4">
        <v>46146</v>
      </c>
      <c r="B107" t="s">
        <v>12</v>
      </c>
      <c r="C107" t="s">
        <v>13</v>
      </c>
      <c r="D107" t="s">
        <v>14</v>
      </c>
      <c r="E107" t="s">
        <v>15</v>
      </c>
      <c r="F107">
        <v>219</v>
      </c>
      <c r="G107">
        <v>42</v>
      </c>
      <c r="H107">
        <v>20</v>
      </c>
      <c r="I107">
        <f t="shared" si="8"/>
        <v>241</v>
      </c>
      <c r="J107">
        <v>21</v>
      </c>
      <c r="K107">
        <v>2</v>
      </c>
      <c r="L107" t="str">
        <f t="shared" si="9"/>
        <v>Correct</v>
      </c>
      <c r="M107">
        <f t="shared" si="10"/>
        <v>95.238095238095227</v>
      </c>
      <c r="N107">
        <f t="shared" si="6"/>
        <v>21.666666666666668</v>
      </c>
      <c r="O107">
        <f t="shared" si="11"/>
        <v>11.123076923076923</v>
      </c>
      <c r="P107" t="str">
        <f t="shared" si="7"/>
        <v>Low Stock</v>
      </c>
    </row>
    <row r="108" spans="1:16" hidden="1" x14ac:dyDescent="0.35">
      <c r="A108" s="4">
        <v>46146</v>
      </c>
      <c r="B108" t="s">
        <v>12</v>
      </c>
      <c r="C108" t="s">
        <v>13</v>
      </c>
      <c r="D108" t="s">
        <v>16</v>
      </c>
      <c r="E108" t="s">
        <v>15</v>
      </c>
      <c r="F108">
        <v>164</v>
      </c>
      <c r="G108">
        <v>37</v>
      </c>
      <c r="H108">
        <v>33</v>
      </c>
      <c r="I108">
        <f t="shared" si="8"/>
        <v>168</v>
      </c>
      <c r="J108">
        <v>48</v>
      </c>
      <c r="K108">
        <v>4</v>
      </c>
      <c r="L108" t="str">
        <f t="shared" si="9"/>
        <v>Correct</v>
      </c>
      <c r="M108">
        <f t="shared" si="10"/>
        <v>68.75</v>
      </c>
      <c r="N108">
        <f t="shared" si="6"/>
        <v>20.030303030303031</v>
      </c>
      <c r="O108">
        <f t="shared" si="11"/>
        <v>8.3872919818456886</v>
      </c>
      <c r="P108" t="str">
        <f t="shared" si="7"/>
        <v>Low Stock</v>
      </c>
    </row>
    <row r="109" spans="1:16" hidden="1" x14ac:dyDescent="0.35">
      <c r="A109" s="4">
        <v>46146</v>
      </c>
      <c r="B109" t="s">
        <v>12</v>
      </c>
      <c r="C109" t="s">
        <v>13</v>
      </c>
      <c r="D109" t="s">
        <v>18</v>
      </c>
      <c r="E109" t="s">
        <v>15</v>
      </c>
      <c r="F109">
        <v>183</v>
      </c>
      <c r="G109">
        <v>59</v>
      </c>
      <c r="H109">
        <v>49</v>
      </c>
      <c r="I109">
        <f t="shared" si="8"/>
        <v>193</v>
      </c>
      <c r="J109">
        <v>59</v>
      </c>
      <c r="K109">
        <v>4</v>
      </c>
      <c r="L109" t="str">
        <f t="shared" si="9"/>
        <v>Correct</v>
      </c>
      <c r="M109">
        <f t="shared" si="10"/>
        <v>83.050847457627114</v>
      </c>
      <c r="N109">
        <f t="shared" si="6"/>
        <v>33.34375</v>
      </c>
      <c r="O109">
        <f t="shared" si="11"/>
        <v>5.7881911902530456</v>
      </c>
      <c r="P109" t="str">
        <f t="shared" si="7"/>
        <v>Low Stock</v>
      </c>
    </row>
    <row r="110" spans="1:16" hidden="1" x14ac:dyDescent="0.35">
      <c r="A110" s="4">
        <v>46146</v>
      </c>
      <c r="B110" t="s">
        <v>12</v>
      </c>
      <c r="C110" t="s">
        <v>13</v>
      </c>
      <c r="D110" t="s">
        <v>20</v>
      </c>
      <c r="E110" t="s">
        <v>15</v>
      </c>
      <c r="F110">
        <v>186</v>
      </c>
      <c r="G110">
        <v>24</v>
      </c>
      <c r="H110">
        <v>27</v>
      </c>
      <c r="I110">
        <f t="shared" si="8"/>
        <v>183</v>
      </c>
      <c r="J110">
        <v>41</v>
      </c>
      <c r="K110">
        <v>3</v>
      </c>
      <c r="L110" t="str">
        <f t="shared" si="9"/>
        <v>Correct</v>
      </c>
      <c r="M110">
        <f t="shared" si="10"/>
        <v>65.853658536585371</v>
      </c>
      <c r="N110">
        <f t="shared" si="6"/>
        <v>34.515151515151516</v>
      </c>
      <c r="O110">
        <f t="shared" si="11"/>
        <v>5.3020193151887618</v>
      </c>
      <c r="P110" t="str">
        <f t="shared" si="7"/>
        <v>Low Stock</v>
      </c>
    </row>
    <row r="111" spans="1:16" hidden="1" x14ac:dyDescent="0.35">
      <c r="A111" s="4">
        <v>46146</v>
      </c>
      <c r="B111" t="s">
        <v>12</v>
      </c>
      <c r="C111" t="s">
        <v>13</v>
      </c>
      <c r="D111" t="s">
        <v>22</v>
      </c>
      <c r="E111" t="s">
        <v>15</v>
      </c>
      <c r="F111">
        <v>108</v>
      </c>
      <c r="G111">
        <v>37</v>
      </c>
      <c r="H111">
        <v>17</v>
      </c>
      <c r="I111">
        <f t="shared" si="8"/>
        <v>128</v>
      </c>
      <c r="J111">
        <v>24</v>
      </c>
      <c r="K111">
        <v>4</v>
      </c>
      <c r="L111" t="str">
        <f t="shared" si="9"/>
        <v>Correct</v>
      </c>
      <c r="M111">
        <f t="shared" si="10"/>
        <v>70.833333333333343</v>
      </c>
      <c r="N111">
        <f t="shared" si="6"/>
        <v>9.9032258064516121</v>
      </c>
      <c r="O111">
        <f t="shared" si="11"/>
        <v>12.925081433224756</v>
      </c>
      <c r="P111" t="str">
        <f t="shared" si="7"/>
        <v>Low Stock</v>
      </c>
    </row>
    <row r="112" spans="1:16" hidden="1" x14ac:dyDescent="0.35">
      <c r="A112" s="4">
        <v>46146</v>
      </c>
      <c r="B112" t="s">
        <v>12</v>
      </c>
      <c r="C112" t="s">
        <v>24</v>
      </c>
      <c r="D112" t="s">
        <v>14</v>
      </c>
      <c r="E112" t="s">
        <v>15</v>
      </c>
      <c r="F112">
        <v>130</v>
      </c>
      <c r="G112">
        <v>39</v>
      </c>
      <c r="H112">
        <v>14</v>
      </c>
      <c r="I112">
        <f t="shared" si="8"/>
        <v>155</v>
      </c>
      <c r="J112">
        <v>17</v>
      </c>
      <c r="K112">
        <v>3</v>
      </c>
      <c r="L112" t="str">
        <f t="shared" si="9"/>
        <v>Correct</v>
      </c>
      <c r="M112">
        <f t="shared" si="10"/>
        <v>82.35294117647058</v>
      </c>
      <c r="N112">
        <f t="shared" si="6"/>
        <v>21.35483870967742</v>
      </c>
      <c r="O112">
        <f t="shared" si="11"/>
        <v>7.2583081570996981</v>
      </c>
      <c r="P112" t="str">
        <f t="shared" si="7"/>
        <v>Low Stock</v>
      </c>
    </row>
    <row r="113" spans="1:16" hidden="1" x14ac:dyDescent="0.35">
      <c r="A113" s="4">
        <v>46146</v>
      </c>
      <c r="B113" t="s">
        <v>12</v>
      </c>
      <c r="C113" t="s">
        <v>24</v>
      </c>
      <c r="D113" t="s">
        <v>16</v>
      </c>
      <c r="E113" t="s">
        <v>15</v>
      </c>
      <c r="F113">
        <v>237</v>
      </c>
      <c r="G113">
        <v>20</v>
      </c>
      <c r="H113">
        <v>8</v>
      </c>
      <c r="I113">
        <f t="shared" si="8"/>
        <v>249</v>
      </c>
      <c r="J113">
        <v>14</v>
      </c>
      <c r="K113">
        <v>3</v>
      </c>
      <c r="L113" t="str">
        <f t="shared" si="9"/>
        <v>Correct</v>
      </c>
      <c r="M113">
        <f t="shared" si="10"/>
        <v>57.142857142857139</v>
      </c>
      <c r="N113">
        <f t="shared" si="6"/>
        <v>21.9</v>
      </c>
      <c r="O113">
        <f t="shared" si="11"/>
        <v>11.36986301369863</v>
      </c>
      <c r="P113" t="str">
        <f t="shared" si="7"/>
        <v>Low Stock</v>
      </c>
    </row>
    <row r="114" spans="1:16" hidden="1" x14ac:dyDescent="0.35">
      <c r="A114" s="4">
        <v>46146</v>
      </c>
      <c r="B114" t="s">
        <v>12</v>
      </c>
      <c r="C114" t="s">
        <v>24</v>
      </c>
      <c r="D114" t="s">
        <v>18</v>
      </c>
      <c r="E114" t="s">
        <v>15</v>
      </c>
      <c r="F114">
        <v>120</v>
      </c>
      <c r="G114">
        <v>15</v>
      </c>
      <c r="H114">
        <v>33</v>
      </c>
      <c r="I114">
        <f t="shared" si="8"/>
        <v>102</v>
      </c>
      <c r="J114">
        <v>47</v>
      </c>
      <c r="K114">
        <v>2</v>
      </c>
      <c r="L114" t="str">
        <f t="shared" si="9"/>
        <v>Correct</v>
      </c>
      <c r="M114">
        <f t="shared" si="10"/>
        <v>70.212765957446805</v>
      </c>
      <c r="N114">
        <f t="shared" si="6"/>
        <v>31.586206896551722</v>
      </c>
      <c r="O114">
        <f t="shared" si="11"/>
        <v>3.2292576419213974</v>
      </c>
      <c r="P114" t="str">
        <f t="shared" si="7"/>
        <v>Low Stock</v>
      </c>
    </row>
    <row r="115" spans="1:16" hidden="1" x14ac:dyDescent="0.35">
      <c r="A115" s="4">
        <v>46146</v>
      </c>
      <c r="B115" t="s">
        <v>12</v>
      </c>
      <c r="C115" t="s">
        <v>24</v>
      </c>
      <c r="D115" t="s">
        <v>20</v>
      </c>
      <c r="E115" t="s">
        <v>15</v>
      </c>
      <c r="F115">
        <v>136</v>
      </c>
      <c r="G115">
        <v>20</v>
      </c>
      <c r="H115">
        <v>20</v>
      </c>
      <c r="I115">
        <f t="shared" si="8"/>
        <v>136</v>
      </c>
      <c r="J115">
        <v>31</v>
      </c>
      <c r="K115">
        <v>4</v>
      </c>
      <c r="L115" t="str">
        <f t="shared" si="9"/>
        <v>Correct</v>
      </c>
      <c r="M115">
        <f t="shared" si="10"/>
        <v>64.516129032258064</v>
      </c>
      <c r="N115">
        <f t="shared" si="6"/>
        <v>34.200000000000003</v>
      </c>
      <c r="O115">
        <f t="shared" si="11"/>
        <v>3.9766081871345027</v>
      </c>
      <c r="P115" t="str">
        <f t="shared" si="7"/>
        <v>Low Stock</v>
      </c>
    </row>
    <row r="116" spans="1:16" hidden="1" x14ac:dyDescent="0.35">
      <c r="A116" s="4">
        <v>46146</v>
      </c>
      <c r="B116" t="s">
        <v>12</v>
      </c>
      <c r="C116" t="s">
        <v>24</v>
      </c>
      <c r="D116" t="s">
        <v>22</v>
      </c>
      <c r="E116" t="s">
        <v>15</v>
      </c>
      <c r="F116">
        <v>202</v>
      </c>
      <c r="G116">
        <v>41</v>
      </c>
      <c r="H116">
        <v>17</v>
      </c>
      <c r="I116">
        <f t="shared" si="8"/>
        <v>226</v>
      </c>
      <c r="J116">
        <v>17</v>
      </c>
      <c r="K116">
        <v>4</v>
      </c>
      <c r="L116" t="str">
        <f t="shared" si="9"/>
        <v>Correct</v>
      </c>
      <c r="M116">
        <f t="shared" si="10"/>
        <v>100</v>
      </c>
      <c r="N116">
        <f t="shared" si="6"/>
        <v>10.96551724137931</v>
      </c>
      <c r="O116">
        <f t="shared" si="11"/>
        <v>20.610062893081761</v>
      </c>
      <c r="P116" t="str">
        <f t="shared" si="7"/>
        <v>Healthy</v>
      </c>
    </row>
    <row r="117" spans="1:16" hidden="1" x14ac:dyDescent="0.35">
      <c r="A117" s="4">
        <v>46146</v>
      </c>
      <c r="B117" t="s">
        <v>12</v>
      </c>
      <c r="C117" t="s">
        <v>13</v>
      </c>
      <c r="D117" t="s">
        <v>14</v>
      </c>
      <c r="E117" t="s">
        <v>15</v>
      </c>
      <c r="F117">
        <v>103</v>
      </c>
      <c r="G117">
        <v>16</v>
      </c>
      <c r="H117">
        <v>16</v>
      </c>
      <c r="I117">
        <f t="shared" si="8"/>
        <v>103</v>
      </c>
      <c r="J117">
        <v>16</v>
      </c>
      <c r="K117">
        <v>2</v>
      </c>
      <c r="L117" t="str">
        <f t="shared" si="9"/>
        <v>Correct</v>
      </c>
      <c r="M117">
        <f t="shared" si="10"/>
        <v>100</v>
      </c>
      <c r="N117">
        <f t="shared" si="6"/>
        <v>21.666666666666668</v>
      </c>
      <c r="O117">
        <f t="shared" si="11"/>
        <v>4.7538461538461538</v>
      </c>
      <c r="P117" t="str">
        <f t="shared" si="7"/>
        <v>Low Stock</v>
      </c>
    </row>
    <row r="118" spans="1:16" hidden="1" x14ac:dyDescent="0.35">
      <c r="A118" s="4">
        <v>46146</v>
      </c>
      <c r="B118" t="s">
        <v>12</v>
      </c>
      <c r="C118" t="s">
        <v>25</v>
      </c>
      <c r="D118" t="s">
        <v>16</v>
      </c>
      <c r="E118" t="s">
        <v>15</v>
      </c>
      <c r="F118">
        <v>129</v>
      </c>
      <c r="G118">
        <v>27</v>
      </c>
      <c r="H118">
        <v>22</v>
      </c>
      <c r="I118">
        <f t="shared" si="8"/>
        <v>134</v>
      </c>
      <c r="J118">
        <v>26</v>
      </c>
      <c r="K118">
        <v>4</v>
      </c>
      <c r="L118" t="str">
        <f t="shared" si="9"/>
        <v>Correct</v>
      </c>
      <c r="M118">
        <f t="shared" si="10"/>
        <v>84.615384615384613</v>
      </c>
      <c r="N118">
        <f t="shared" si="6"/>
        <v>23.758620689655171</v>
      </c>
      <c r="O118">
        <f t="shared" si="11"/>
        <v>5.6400580551523953</v>
      </c>
      <c r="P118" t="str">
        <f t="shared" si="7"/>
        <v>Low Stock</v>
      </c>
    </row>
    <row r="119" spans="1:16" hidden="1" x14ac:dyDescent="0.35">
      <c r="A119" s="4">
        <v>46146</v>
      </c>
      <c r="B119" t="s">
        <v>12</v>
      </c>
      <c r="C119" t="s">
        <v>25</v>
      </c>
      <c r="D119" t="s">
        <v>18</v>
      </c>
      <c r="E119" t="s">
        <v>15</v>
      </c>
      <c r="F119">
        <v>125</v>
      </c>
      <c r="G119">
        <v>37</v>
      </c>
      <c r="H119">
        <v>28</v>
      </c>
      <c r="I119">
        <f t="shared" si="8"/>
        <v>134</v>
      </c>
      <c r="J119">
        <v>29</v>
      </c>
      <c r="K119">
        <v>1</v>
      </c>
      <c r="L119" t="str">
        <f t="shared" si="9"/>
        <v>Correct</v>
      </c>
      <c r="M119">
        <f t="shared" si="10"/>
        <v>96.551724137931032</v>
      </c>
      <c r="N119">
        <f t="shared" si="6"/>
        <v>31.142857142857142</v>
      </c>
      <c r="O119">
        <f t="shared" si="11"/>
        <v>4.3027522935779814</v>
      </c>
      <c r="P119" t="str">
        <f t="shared" si="7"/>
        <v>Low Stock</v>
      </c>
    </row>
    <row r="120" spans="1:16" hidden="1" x14ac:dyDescent="0.35">
      <c r="A120" s="4">
        <v>46146</v>
      </c>
      <c r="B120" t="s">
        <v>12</v>
      </c>
      <c r="C120" t="s">
        <v>25</v>
      </c>
      <c r="D120" t="s">
        <v>20</v>
      </c>
      <c r="E120" t="s">
        <v>15</v>
      </c>
      <c r="F120">
        <v>206</v>
      </c>
      <c r="G120">
        <v>5</v>
      </c>
      <c r="H120">
        <v>18</v>
      </c>
      <c r="I120">
        <f t="shared" si="8"/>
        <v>193</v>
      </c>
      <c r="J120">
        <v>30</v>
      </c>
      <c r="K120">
        <v>2</v>
      </c>
      <c r="L120" t="str">
        <f t="shared" si="9"/>
        <v>Correct</v>
      </c>
      <c r="M120">
        <f t="shared" si="10"/>
        <v>60</v>
      </c>
      <c r="N120">
        <f t="shared" si="6"/>
        <v>31.137931034482758</v>
      </c>
      <c r="O120">
        <f t="shared" si="11"/>
        <v>6.1982281284606868</v>
      </c>
      <c r="P120" t="str">
        <f t="shared" si="7"/>
        <v>Low Stock</v>
      </c>
    </row>
    <row r="121" spans="1:16" hidden="1" x14ac:dyDescent="0.35">
      <c r="A121" s="4">
        <v>46146</v>
      </c>
      <c r="B121" t="s">
        <v>12</v>
      </c>
      <c r="C121" t="s">
        <v>25</v>
      </c>
      <c r="D121" t="s">
        <v>22</v>
      </c>
      <c r="E121" t="s">
        <v>15</v>
      </c>
      <c r="F121">
        <v>243</v>
      </c>
      <c r="G121">
        <v>19</v>
      </c>
      <c r="H121">
        <v>18</v>
      </c>
      <c r="I121">
        <f t="shared" si="8"/>
        <v>244</v>
      </c>
      <c r="J121">
        <v>24</v>
      </c>
      <c r="K121">
        <v>2</v>
      </c>
      <c r="L121" t="str">
        <f t="shared" si="9"/>
        <v>Correct</v>
      </c>
      <c r="M121">
        <f t="shared" si="10"/>
        <v>75</v>
      </c>
      <c r="N121">
        <f t="shared" si="6"/>
        <v>11.3</v>
      </c>
      <c r="O121">
        <f t="shared" si="11"/>
        <v>21.592920353982301</v>
      </c>
      <c r="P121" t="str">
        <f t="shared" si="7"/>
        <v>Healthy</v>
      </c>
    </row>
    <row r="122" spans="1:16" hidden="1" x14ac:dyDescent="0.35">
      <c r="A122" s="4">
        <v>46146</v>
      </c>
      <c r="B122" t="s">
        <v>26</v>
      </c>
      <c r="C122" t="s">
        <v>27</v>
      </c>
      <c r="D122" t="s">
        <v>14</v>
      </c>
      <c r="E122" t="s">
        <v>15</v>
      </c>
      <c r="F122">
        <v>209</v>
      </c>
      <c r="G122">
        <v>11</v>
      </c>
      <c r="H122">
        <v>31</v>
      </c>
      <c r="I122">
        <f t="shared" si="8"/>
        <v>189</v>
      </c>
      <c r="J122">
        <v>31</v>
      </c>
      <c r="K122">
        <v>4</v>
      </c>
      <c r="L122" t="str">
        <f t="shared" si="9"/>
        <v>Correct</v>
      </c>
      <c r="M122">
        <f t="shared" si="10"/>
        <v>100</v>
      </c>
      <c r="N122">
        <f t="shared" si="6"/>
        <v>22.258064516129032</v>
      </c>
      <c r="O122">
        <f t="shared" si="11"/>
        <v>8.4913043478260875</v>
      </c>
      <c r="P122" t="str">
        <f t="shared" si="7"/>
        <v>Low Stock</v>
      </c>
    </row>
    <row r="123" spans="1:16" hidden="1" x14ac:dyDescent="0.35">
      <c r="A123" s="4">
        <v>46146</v>
      </c>
      <c r="B123" t="s">
        <v>26</v>
      </c>
      <c r="C123" t="s">
        <v>27</v>
      </c>
      <c r="D123" t="s">
        <v>16</v>
      </c>
      <c r="E123" t="s">
        <v>15</v>
      </c>
      <c r="F123">
        <v>130</v>
      </c>
      <c r="G123">
        <v>13</v>
      </c>
      <c r="H123">
        <v>29</v>
      </c>
      <c r="I123">
        <f t="shared" si="8"/>
        <v>114</v>
      </c>
      <c r="J123">
        <v>36</v>
      </c>
      <c r="K123">
        <v>2</v>
      </c>
      <c r="L123" t="str">
        <f t="shared" si="9"/>
        <v>Correct</v>
      </c>
      <c r="M123">
        <f t="shared" si="10"/>
        <v>80.555555555555557</v>
      </c>
      <c r="N123">
        <f t="shared" si="6"/>
        <v>20.172413793103448</v>
      </c>
      <c r="O123">
        <f t="shared" si="11"/>
        <v>5.6512820512820516</v>
      </c>
      <c r="P123" t="str">
        <f t="shared" si="7"/>
        <v>Low Stock</v>
      </c>
    </row>
    <row r="124" spans="1:16" hidden="1" x14ac:dyDescent="0.35">
      <c r="A124" s="4">
        <v>46146</v>
      </c>
      <c r="B124" t="s">
        <v>26</v>
      </c>
      <c r="C124" t="s">
        <v>27</v>
      </c>
      <c r="D124" t="s">
        <v>18</v>
      </c>
      <c r="E124" t="s">
        <v>15</v>
      </c>
      <c r="F124">
        <v>223</v>
      </c>
      <c r="G124">
        <v>20</v>
      </c>
      <c r="H124">
        <v>20</v>
      </c>
      <c r="I124">
        <f t="shared" si="8"/>
        <v>223</v>
      </c>
      <c r="J124">
        <v>20</v>
      </c>
      <c r="K124">
        <v>2</v>
      </c>
      <c r="L124" t="str">
        <f t="shared" si="9"/>
        <v>Correct</v>
      </c>
      <c r="M124">
        <f t="shared" si="10"/>
        <v>100</v>
      </c>
      <c r="N124">
        <f t="shared" si="6"/>
        <v>29.733333333333334</v>
      </c>
      <c r="O124">
        <f t="shared" si="11"/>
        <v>7.5</v>
      </c>
      <c r="P124" t="str">
        <f t="shared" si="7"/>
        <v>Low Stock</v>
      </c>
    </row>
    <row r="125" spans="1:16" hidden="1" x14ac:dyDescent="0.35">
      <c r="A125" s="4">
        <v>46146</v>
      </c>
      <c r="B125" t="s">
        <v>26</v>
      </c>
      <c r="C125" t="s">
        <v>27</v>
      </c>
      <c r="D125" t="s">
        <v>14</v>
      </c>
      <c r="E125" t="s">
        <v>15</v>
      </c>
      <c r="F125">
        <v>223</v>
      </c>
      <c r="G125">
        <v>26</v>
      </c>
      <c r="H125">
        <v>43</v>
      </c>
      <c r="I125">
        <f t="shared" si="8"/>
        <v>206</v>
      </c>
      <c r="J125">
        <v>56</v>
      </c>
      <c r="K125">
        <v>5</v>
      </c>
      <c r="L125" t="str">
        <f t="shared" si="9"/>
        <v>Correct</v>
      </c>
      <c r="M125">
        <f t="shared" si="10"/>
        <v>76.785714285714292</v>
      </c>
      <c r="N125">
        <f t="shared" si="6"/>
        <v>22.258064516129032</v>
      </c>
      <c r="O125">
        <f t="shared" si="11"/>
        <v>9.2550724637681157</v>
      </c>
      <c r="P125" t="str">
        <f t="shared" si="7"/>
        <v>Low Stock</v>
      </c>
    </row>
    <row r="126" spans="1:16" hidden="1" x14ac:dyDescent="0.35">
      <c r="A126" s="4">
        <v>46146</v>
      </c>
      <c r="B126" t="s">
        <v>26</v>
      </c>
      <c r="C126" t="s">
        <v>27</v>
      </c>
      <c r="D126" t="s">
        <v>22</v>
      </c>
      <c r="E126" t="s">
        <v>15</v>
      </c>
      <c r="F126">
        <v>179</v>
      </c>
      <c r="G126">
        <v>10</v>
      </c>
      <c r="H126">
        <v>6</v>
      </c>
      <c r="I126">
        <f t="shared" si="8"/>
        <v>183</v>
      </c>
      <c r="J126">
        <v>18</v>
      </c>
      <c r="K126">
        <v>3</v>
      </c>
      <c r="L126" t="str">
        <f t="shared" si="9"/>
        <v>Correct</v>
      </c>
      <c r="M126">
        <f t="shared" si="10"/>
        <v>33.333333333333329</v>
      </c>
      <c r="N126">
        <f t="shared" si="6"/>
        <v>11.566666666666666</v>
      </c>
      <c r="O126">
        <f t="shared" si="11"/>
        <v>15.821325648414986</v>
      </c>
      <c r="P126" t="str">
        <f t="shared" si="7"/>
        <v>Healthy</v>
      </c>
    </row>
    <row r="127" spans="1:16" hidden="1" x14ac:dyDescent="0.35">
      <c r="A127" s="4">
        <v>46146</v>
      </c>
      <c r="B127" t="s">
        <v>28</v>
      </c>
      <c r="C127" t="s">
        <v>29</v>
      </c>
      <c r="D127" t="s">
        <v>14</v>
      </c>
      <c r="E127" t="s">
        <v>15</v>
      </c>
      <c r="F127">
        <v>224</v>
      </c>
      <c r="G127">
        <v>21</v>
      </c>
      <c r="H127">
        <v>21</v>
      </c>
      <c r="I127">
        <f t="shared" si="8"/>
        <v>224</v>
      </c>
      <c r="J127">
        <v>29</v>
      </c>
      <c r="K127">
        <v>1</v>
      </c>
      <c r="L127" t="str">
        <f t="shared" si="9"/>
        <v>Correct</v>
      </c>
      <c r="M127">
        <f t="shared" si="10"/>
        <v>72.41379310344827</v>
      </c>
      <c r="N127">
        <f t="shared" si="6"/>
        <v>22.25</v>
      </c>
      <c r="O127">
        <f t="shared" si="11"/>
        <v>10.067415730337078</v>
      </c>
      <c r="P127" t="str">
        <f t="shared" si="7"/>
        <v>Low Stock</v>
      </c>
    </row>
    <row r="128" spans="1:16" hidden="1" x14ac:dyDescent="0.35">
      <c r="A128" s="4">
        <v>46146</v>
      </c>
      <c r="B128" t="s">
        <v>28</v>
      </c>
      <c r="C128" t="s">
        <v>29</v>
      </c>
      <c r="D128" t="s">
        <v>16</v>
      </c>
      <c r="E128" t="s">
        <v>15</v>
      </c>
      <c r="F128">
        <v>132</v>
      </c>
      <c r="G128">
        <v>7</v>
      </c>
      <c r="H128">
        <v>10</v>
      </c>
      <c r="I128">
        <f t="shared" si="8"/>
        <v>129</v>
      </c>
      <c r="J128">
        <v>13</v>
      </c>
      <c r="K128">
        <v>5</v>
      </c>
      <c r="L128" t="str">
        <f t="shared" si="9"/>
        <v>Correct</v>
      </c>
      <c r="M128">
        <f t="shared" si="10"/>
        <v>76.923076923076934</v>
      </c>
      <c r="N128">
        <f t="shared" si="6"/>
        <v>19.96551724137931</v>
      </c>
      <c r="O128">
        <f t="shared" si="11"/>
        <v>6.4611398963730569</v>
      </c>
      <c r="P128" t="str">
        <f t="shared" si="7"/>
        <v>Low Stock</v>
      </c>
    </row>
    <row r="129" spans="1:16" hidden="1" x14ac:dyDescent="0.35">
      <c r="A129" s="4">
        <v>46146</v>
      </c>
      <c r="B129" t="s">
        <v>28</v>
      </c>
      <c r="C129" t="s">
        <v>29</v>
      </c>
      <c r="D129" t="s">
        <v>14</v>
      </c>
      <c r="E129" t="s">
        <v>15</v>
      </c>
      <c r="F129">
        <v>133</v>
      </c>
      <c r="G129">
        <v>16</v>
      </c>
      <c r="H129">
        <v>44</v>
      </c>
      <c r="I129">
        <f t="shared" si="8"/>
        <v>105</v>
      </c>
      <c r="J129">
        <v>54</v>
      </c>
      <c r="K129">
        <v>2</v>
      </c>
      <c r="L129" t="str">
        <f t="shared" si="9"/>
        <v>Correct</v>
      </c>
      <c r="M129">
        <f t="shared" si="10"/>
        <v>81.481481481481481</v>
      </c>
      <c r="N129">
        <f t="shared" si="6"/>
        <v>22.25</v>
      </c>
      <c r="O129">
        <f t="shared" si="11"/>
        <v>4.7191011235955056</v>
      </c>
      <c r="P129" t="str">
        <f t="shared" si="7"/>
        <v>Low Stock</v>
      </c>
    </row>
    <row r="130" spans="1:16" hidden="1" x14ac:dyDescent="0.35">
      <c r="A130" s="4">
        <v>46146</v>
      </c>
      <c r="B130" t="s">
        <v>28</v>
      </c>
      <c r="C130" t="s">
        <v>29</v>
      </c>
      <c r="D130" t="s">
        <v>20</v>
      </c>
      <c r="E130" t="s">
        <v>15</v>
      </c>
      <c r="F130">
        <v>233</v>
      </c>
      <c r="G130">
        <v>45</v>
      </c>
      <c r="H130">
        <v>19</v>
      </c>
      <c r="I130">
        <f t="shared" si="8"/>
        <v>259</v>
      </c>
      <c r="J130">
        <v>23</v>
      </c>
      <c r="K130">
        <v>3</v>
      </c>
      <c r="L130" t="str">
        <f t="shared" si="9"/>
        <v>Correct</v>
      </c>
      <c r="M130">
        <f t="shared" si="10"/>
        <v>82.608695652173907</v>
      </c>
      <c r="N130">
        <f t="shared" ref="N130:N193" si="12">SUMIFS($H:$H,$B:$B,B130,$C:$C,C130,$D:$D,D130)/COUNTIFS($B:$B,B130,$C:$C,C130,$D:$D,D130)</f>
        <v>32.620689655172413</v>
      </c>
      <c r="O130">
        <f t="shared" si="11"/>
        <v>7.939746300211417</v>
      </c>
      <c r="P130" t="str">
        <f t="shared" ref="P130:P193" si="13">IF(O130&lt;15,"Low Stock",IF(O130&lt;=30,"Healthy","Overstock"))</f>
        <v>Low Stock</v>
      </c>
    </row>
    <row r="131" spans="1:16" hidden="1" x14ac:dyDescent="0.35">
      <c r="A131" s="4">
        <v>46146</v>
      </c>
      <c r="B131" t="s">
        <v>28</v>
      </c>
      <c r="C131" t="s">
        <v>29</v>
      </c>
      <c r="D131" t="s">
        <v>22</v>
      </c>
      <c r="E131" t="s">
        <v>15</v>
      </c>
      <c r="F131">
        <v>213</v>
      </c>
      <c r="G131">
        <v>26</v>
      </c>
      <c r="H131">
        <v>13</v>
      </c>
      <c r="I131">
        <f t="shared" ref="I131:I194" si="14">F131+G131-H131</f>
        <v>226</v>
      </c>
      <c r="J131">
        <v>13</v>
      </c>
      <c r="K131">
        <v>5</v>
      </c>
      <c r="L131" t="str">
        <f t="shared" ref="L131:L194" si="15">IF(I131&lt;0,"Need verification","Correct")</f>
        <v>Correct</v>
      </c>
      <c r="M131">
        <f t="shared" ref="M131:M194" si="16">IF(J131=0,0,(H131/J131)*100)</f>
        <v>100</v>
      </c>
      <c r="N131">
        <f t="shared" si="12"/>
        <v>11.678571428571429</v>
      </c>
      <c r="O131">
        <f t="shared" ref="O131:O194" si="17">IFERROR(I131/N131,0)</f>
        <v>19.351681957186543</v>
      </c>
      <c r="P131" t="str">
        <f t="shared" si="13"/>
        <v>Healthy</v>
      </c>
    </row>
    <row r="132" spans="1:16" hidden="1" x14ac:dyDescent="0.35">
      <c r="A132" s="4">
        <v>46146</v>
      </c>
      <c r="B132" t="s">
        <v>31</v>
      </c>
      <c r="C132" t="s">
        <v>32</v>
      </c>
      <c r="D132" t="s">
        <v>14</v>
      </c>
      <c r="E132" t="s">
        <v>15</v>
      </c>
      <c r="F132">
        <v>180</v>
      </c>
      <c r="G132">
        <v>35</v>
      </c>
      <c r="H132">
        <v>16</v>
      </c>
      <c r="I132">
        <f t="shared" si="14"/>
        <v>199</v>
      </c>
      <c r="J132">
        <v>23</v>
      </c>
      <c r="K132">
        <v>4</v>
      </c>
      <c r="L132" t="str">
        <f t="shared" si="15"/>
        <v>Correct</v>
      </c>
      <c r="M132">
        <f t="shared" si="16"/>
        <v>69.565217391304344</v>
      </c>
      <c r="N132">
        <f t="shared" si="12"/>
        <v>20.84375</v>
      </c>
      <c r="O132">
        <f t="shared" si="17"/>
        <v>9.5472263868065959</v>
      </c>
      <c r="P132" t="str">
        <f t="shared" si="13"/>
        <v>Low Stock</v>
      </c>
    </row>
    <row r="133" spans="1:16" hidden="1" x14ac:dyDescent="0.35">
      <c r="A133" s="4">
        <v>46146</v>
      </c>
      <c r="B133" t="s">
        <v>31</v>
      </c>
      <c r="C133" t="s">
        <v>32</v>
      </c>
      <c r="D133" t="s">
        <v>16</v>
      </c>
      <c r="E133" t="s">
        <v>15</v>
      </c>
      <c r="F133">
        <v>215</v>
      </c>
      <c r="G133">
        <v>36</v>
      </c>
      <c r="H133">
        <v>14</v>
      </c>
      <c r="I133">
        <f t="shared" si="14"/>
        <v>237</v>
      </c>
      <c r="J133">
        <v>16</v>
      </c>
      <c r="K133">
        <v>3</v>
      </c>
      <c r="L133" t="str">
        <f t="shared" si="15"/>
        <v>Correct</v>
      </c>
      <c r="M133">
        <f t="shared" si="16"/>
        <v>87.5</v>
      </c>
      <c r="N133">
        <f t="shared" si="12"/>
        <v>21.46875</v>
      </c>
      <c r="O133">
        <f t="shared" si="17"/>
        <v>11.039301310043669</v>
      </c>
      <c r="P133" t="str">
        <f t="shared" si="13"/>
        <v>Low Stock</v>
      </c>
    </row>
    <row r="134" spans="1:16" hidden="1" x14ac:dyDescent="0.35">
      <c r="A134" s="4">
        <v>46146</v>
      </c>
      <c r="B134" t="s">
        <v>31</v>
      </c>
      <c r="C134" t="s">
        <v>32</v>
      </c>
      <c r="D134" t="s">
        <v>18</v>
      </c>
      <c r="E134" t="s">
        <v>15</v>
      </c>
      <c r="F134">
        <v>164</v>
      </c>
      <c r="G134">
        <v>8</v>
      </c>
      <c r="H134">
        <v>23</v>
      </c>
      <c r="I134">
        <f t="shared" si="14"/>
        <v>149</v>
      </c>
      <c r="J134">
        <v>38</v>
      </c>
      <c r="K134">
        <v>2</v>
      </c>
      <c r="L134" t="str">
        <f t="shared" si="15"/>
        <v>Correct</v>
      </c>
      <c r="M134">
        <f t="shared" si="16"/>
        <v>60.526315789473685</v>
      </c>
      <c r="N134">
        <f t="shared" si="12"/>
        <v>30.586206896551722</v>
      </c>
      <c r="O134">
        <f t="shared" si="17"/>
        <v>4.8714768883878241</v>
      </c>
      <c r="P134" t="str">
        <f t="shared" si="13"/>
        <v>Low Stock</v>
      </c>
    </row>
    <row r="135" spans="1:16" hidden="1" x14ac:dyDescent="0.35">
      <c r="A135" s="4">
        <v>46146</v>
      </c>
      <c r="B135" t="s">
        <v>31</v>
      </c>
      <c r="C135" t="s">
        <v>32</v>
      </c>
      <c r="D135" t="s">
        <v>20</v>
      </c>
      <c r="E135" t="s">
        <v>15</v>
      </c>
      <c r="F135">
        <v>173</v>
      </c>
      <c r="G135">
        <v>42</v>
      </c>
      <c r="H135">
        <v>23</v>
      </c>
      <c r="I135">
        <f t="shared" si="14"/>
        <v>192</v>
      </c>
      <c r="J135">
        <v>31</v>
      </c>
      <c r="K135">
        <v>3</v>
      </c>
      <c r="L135" t="str">
        <f t="shared" si="15"/>
        <v>Correct</v>
      </c>
      <c r="M135">
        <f t="shared" si="16"/>
        <v>74.193548387096769</v>
      </c>
      <c r="N135">
        <f t="shared" si="12"/>
        <v>32.299999999999997</v>
      </c>
      <c r="O135">
        <f t="shared" si="17"/>
        <v>5.9442724458204337</v>
      </c>
      <c r="P135" t="str">
        <f t="shared" si="13"/>
        <v>Low Stock</v>
      </c>
    </row>
    <row r="136" spans="1:16" hidden="1" x14ac:dyDescent="0.35">
      <c r="A136" s="4">
        <v>46146</v>
      </c>
      <c r="B136" t="s">
        <v>31</v>
      </c>
      <c r="C136" t="s">
        <v>32</v>
      </c>
      <c r="D136" t="s">
        <v>22</v>
      </c>
      <c r="E136" t="s">
        <v>15</v>
      </c>
      <c r="F136">
        <v>242</v>
      </c>
      <c r="G136">
        <v>36</v>
      </c>
      <c r="H136">
        <v>6</v>
      </c>
      <c r="I136">
        <f t="shared" si="14"/>
        <v>272</v>
      </c>
      <c r="J136">
        <v>8</v>
      </c>
      <c r="K136">
        <v>1</v>
      </c>
      <c r="L136" t="str">
        <f t="shared" si="15"/>
        <v>Correct</v>
      </c>
      <c r="M136">
        <f t="shared" si="16"/>
        <v>75</v>
      </c>
      <c r="N136">
        <f t="shared" si="12"/>
        <v>10.413793103448276</v>
      </c>
      <c r="O136">
        <f t="shared" si="17"/>
        <v>26.119205298013245</v>
      </c>
      <c r="P136" t="str">
        <f t="shared" si="13"/>
        <v>Healthy</v>
      </c>
    </row>
    <row r="137" spans="1:16" hidden="1" x14ac:dyDescent="0.35">
      <c r="A137" s="4">
        <v>46146</v>
      </c>
      <c r="B137" t="s">
        <v>33</v>
      </c>
      <c r="C137" t="s">
        <v>34</v>
      </c>
      <c r="D137" t="s">
        <v>14</v>
      </c>
      <c r="E137" t="s">
        <v>15</v>
      </c>
      <c r="F137">
        <v>157</v>
      </c>
      <c r="G137">
        <v>1</v>
      </c>
      <c r="H137">
        <v>12</v>
      </c>
      <c r="I137">
        <f t="shared" si="14"/>
        <v>146</v>
      </c>
      <c r="J137">
        <v>19</v>
      </c>
      <c r="K137">
        <v>3</v>
      </c>
      <c r="L137" t="str">
        <f t="shared" si="15"/>
        <v>Correct</v>
      </c>
      <c r="M137">
        <f t="shared" si="16"/>
        <v>63.157894736842103</v>
      </c>
      <c r="N137">
        <f t="shared" si="12"/>
        <v>20.70967741935484</v>
      </c>
      <c r="O137">
        <f t="shared" si="17"/>
        <v>7.0498442367601246</v>
      </c>
      <c r="P137" t="str">
        <f t="shared" si="13"/>
        <v>Low Stock</v>
      </c>
    </row>
    <row r="138" spans="1:16" hidden="1" x14ac:dyDescent="0.35">
      <c r="A138" s="4">
        <v>46146</v>
      </c>
      <c r="B138" t="s">
        <v>33</v>
      </c>
      <c r="C138" t="s">
        <v>34</v>
      </c>
      <c r="D138" t="s">
        <v>16</v>
      </c>
      <c r="E138" t="s">
        <v>15</v>
      </c>
      <c r="F138">
        <v>136</v>
      </c>
      <c r="G138">
        <v>1</v>
      </c>
      <c r="H138">
        <v>31</v>
      </c>
      <c r="I138">
        <f t="shared" si="14"/>
        <v>106</v>
      </c>
      <c r="J138">
        <v>32</v>
      </c>
      <c r="K138">
        <v>4</v>
      </c>
      <c r="L138" t="str">
        <f t="shared" si="15"/>
        <v>Correct</v>
      </c>
      <c r="M138">
        <f t="shared" si="16"/>
        <v>96.875</v>
      </c>
      <c r="N138">
        <f t="shared" si="12"/>
        <v>22.142857142857142</v>
      </c>
      <c r="O138">
        <f t="shared" si="17"/>
        <v>4.7870967741935484</v>
      </c>
      <c r="P138" t="str">
        <f t="shared" si="13"/>
        <v>Low Stock</v>
      </c>
    </row>
    <row r="139" spans="1:16" hidden="1" x14ac:dyDescent="0.35">
      <c r="A139" s="4">
        <v>46146</v>
      </c>
      <c r="B139" t="s">
        <v>33</v>
      </c>
      <c r="C139" t="s">
        <v>34</v>
      </c>
      <c r="D139" t="s">
        <v>18</v>
      </c>
      <c r="E139" t="s">
        <v>15</v>
      </c>
      <c r="F139">
        <v>119</v>
      </c>
      <c r="G139">
        <v>48</v>
      </c>
      <c r="H139">
        <v>17</v>
      </c>
      <c r="I139">
        <f t="shared" si="14"/>
        <v>150</v>
      </c>
      <c r="J139">
        <v>18</v>
      </c>
      <c r="K139">
        <v>1</v>
      </c>
      <c r="L139" t="str">
        <f t="shared" si="15"/>
        <v>Correct</v>
      </c>
      <c r="M139">
        <f t="shared" si="16"/>
        <v>94.444444444444443</v>
      </c>
      <c r="N139">
        <f t="shared" si="12"/>
        <v>30.275862068965516</v>
      </c>
      <c r="O139">
        <f t="shared" si="17"/>
        <v>4.954441913439636</v>
      </c>
      <c r="P139" t="str">
        <f t="shared" si="13"/>
        <v>Low Stock</v>
      </c>
    </row>
    <row r="140" spans="1:16" hidden="1" x14ac:dyDescent="0.35">
      <c r="A140" s="4">
        <v>46146</v>
      </c>
      <c r="B140" t="s">
        <v>33</v>
      </c>
      <c r="C140" t="s">
        <v>34</v>
      </c>
      <c r="D140" t="s">
        <v>20</v>
      </c>
      <c r="E140" t="s">
        <v>15</v>
      </c>
      <c r="F140">
        <v>250</v>
      </c>
      <c r="G140">
        <v>24</v>
      </c>
      <c r="H140">
        <v>15</v>
      </c>
      <c r="I140">
        <f t="shared" si="14"/>
        <v>259</v>
      </c>
      <c r="J140">
        <v>30</v>
      </c>
      <c r="K140">
        <v>2</v>
      </c>
      <c r="L140" t="str">
        <f t="shared" si="15"/>
        <v>Correct</v>
      </c>
      <c r="M140">
        <f t="shared" si="16"/>
        <v>50</v>
      </c>
      <c r="N140">
        <f t="shared" si="12"/>
        <v>30.931034482758619</v>
      </c>
      <c r="O140">
        <f t="shared" si="17"/>
        <v>8.3734671125975471</v>
      </c>
      <c r="P140" t="str">
        <f t="shared" si="13"/>
        <v>Low Stock</v>
      </c>
    </row>
    <row r="141" spans="1:16" hidden="1" x14ac:dyDescent="0.35">
      <c r="A141" s="4">
        <v>46146</v>
      </c>
      <c r="B141" t="s">
        <v>12</v>
      </c>
      <c r="C141" t="s">
        <v>13</v>
      </c>
      <c r="D141" t="s">
        <v>22</v>
      </c>
      <c r="E141" t="s">
        <v>15</v>
      </c>
      <c r="F141">
        <v>251</v>
      </c>
      <c r="G141">
        <v>29</v>
      </c>
      <c r="H141">
        <v>18</v>
      </c>
      <c r="I141">
        <f t="shared" si="14"/>
        <v>262</v>
      </c>
      <c r="J141">
        <v>27</v>
      </c>
      <c r="K141">
        <v>5</v>
      </c>
      <c r="L141" t="str">
        <f t="shared" si="15"/>
        <v>Correct</v>
      </c>
      <c r="M141">
        <f t="shared" si="16"/>
        <v>66.666666666666657</v>
      </c>
      <c r="N141">
        <f t="shared" si="12"/>
        <v>9.9032258064516121</v>
      </c>
      <c r="O141">
        <f t="shared" si="17"/>
        <v>26.456026058631924</v>
      </c>
      <c r="P141" t="str">
        <f t="shared" si="13"/>
        <v>Healthy</v>
      </c>
    </row>
    <row r="142" spans="1:16" hidden="1" x14ac:dyDescent="0.35">
      <c r="A142" s="4">
        <v>46147</v>
      </c>
      <c r="B142" t="s">
        <v>12</v>
      </c>
      <c r="C142" t="s">
        <v>13</v>
      </c>
      <c r="D142" t="s">
        <v>14</v>
      </c>
      <c r="E142" t="s">
        <v>15</v>
      </c>
      <c r="F142">
        <v>241</v>
      </c>
      <c r="G142">
        <v>57</v>
      </c>
      <c r="H142">
        <v>27</v>
      </c>
      <c r="I142">
        <f t="shared" si="14"/>
        <v>271</v>
      </c>
      <c r="J142">
        <v>29</v>
      </c>
      <c r="K142">
        <v>5</v>
      </c>
      <c r="L142" t="str">
        <f t="shared" si="15"/>
        <v>Correct</v>
      </c>
      <c r="M142">
        <f t="shared" si="16"/>
        <v>93.103448275862064</v>
      </c>
      <c r="N142">
        <f t="shared" si="12"/>
        <v>21.666666666666668</v>
      </c>
      <c r="O142">
        <f t="shared" si="17"/>
        <v>12.507692307692308</v>
      </c>
      <c r="P142" t="str">
        <f t="shared" si="13"/>
        <v>Low Stock</v>
      </c>
    </row>
    <row r="143" spans="1:16" hidden="1" x14ac:dyDescent="0.35">
      <c r="A143" s="4">
        <v>46147</v>
      </c>
      <c r="B143" t="s">
        <v>12</v>
      </c>
      <c r="C143" t="s">
        <v>13</v>
      </c>
      <c r="D143" t="s">
        <v>16</v>
      </c>
      <c r="E143" t="s">
        <v>15</v>
      </c>
      <c r="F143">
        <v>168</v>
      </c>
      <c r="G143">
        <v>60</v>
      </c>
      <c r="H143">
        <v>20</v>
      </c>
      <c r="I143">
        <f t="shared" si="14"/>
        <v>208</v>
      </c>
      <c r="J143">
        <v>23</v>
      </c>
      <c r="K143">
        <v>2</v>
      </c>
      <c r="L143" t="str">
        <f t="shared" si="15"/>
        <v>Correct</v>
      </c>
      <c r="M143">
        <f t="shared" si="16"/>
        <v>86.956521739130437</v>
      </c>
      <c r="N143">
        <f t="shared" si="12"/>
        <v>20.030303030303031</v>
      </c>
      <c r="O143">
        <f t="shared" si="17"/>
        <v>10.384266263237519</v>
      </c>
      <c r="P143" t="str">
        <f t="shared" si="13"/>
        <v>Low Stock</v>
      </c>
    </row>
    <row r="144" spans="1:16" hidden="1" x14ac:dyDescent="0.35">
      <c r="A144" s="4">
        <v>46165</v>
      </c>
      <c r="B144" t="s">
        <v>12</v>
      </c>
      <c r="C144" t="s">
        <v>13</v>
      </c>
      <c r="D144" t="s">
        <v>18</v>
      </c>
      <c r="E144" t="s">
        <v>15</v>
      </c>
      <c r="F144">
        <v>193</v>
      </c>
      <c r="G144">
        <v>56</v>
      </c>
      <c r="H144">
        <v>46</v>
      </c>
      <c r="I144">
        <f t="shared" si="14"/>
        <v>203</v>
      </c>
      <c r="J144">
        <v>57</v>
      </c>
      <c r="K144">
        <v>5</v>
      </c>
      <c r="L144" t="str">
        <f t="shared" si="15"/>
        <v>Correct</v>
      </c>
      <c r="M144">
        <f t="shared" si="16"/>
        <v>80.701754385964904</v>
      </c>
      <c r="N144">
        <f t="shared" si="12"/>
        <v>33.34375</v>
      </c>
      <c r="O144">
        <f t="shared" si="17"/>
        <v>6.0880974695407684</v>
      </c>
      <c r="P144" t="str">
        <f t="shared" si="13"/>
        <v>Low Stock</v>
      </c>
    </row>
    <row r="145" spans="1:16" hidden="1" x14ac:dyDescent="0.35">
      <c r="A145" s="4">
        <v>46147</v>
      </c>
      <c r="B145" t="s">
        <v>12</v>
      </c>
      <c r="C145" t="s">
        <v>13</v>
      </c>
      <c r="D145" t="s">
        <v>20</v>
      </c>
      <c r="E145" t="s">
        <v>15</v>
      </c>
      <c r="F145">
        <v>183</v>
      </c>
      <c r="G145">
        <v>1</v>
      </c>
      <c r="H145">
        <v>45</v>
      </c>
      <c r="I145">
        <f t="shared" si="14"/>
        <v>139</v>
      </c>
      <c r="J145">
        <v>46</v>
      </c>
      <c r="K145">
        <v>1</v>
      </c>
      <c r="L145" t="str">
        <f t="shared" si="15"/>
        <v>Correct</v>
      </c>
      <c r="M145">
        <f t="shared" si="16"/>
        <v>97.826086956521735</v>
      </c>
      <c r="N145">
        <f t="shared" si="12"/>
        <v>34.515151515151516</v>
      </c>
      <c r="O145">
        <f t="shared" si="17"/>
        <v>4.0272168568920108</v>
      </c>
      <c r="P145" t="str">
        <f t="shared" si="13"/>
        <v>Low Stock</v>
      </c>
    </row>
    <row r="146" spans="1:16" hidden="1" x14ac:dyDescent="0.35">
      <c r="A146" s="4">
        <v>46147</v>
      </c>
      <c r="B146" t="s">
        <v>12</v>
      </c>
      <c r="C146" t="s">
        <v>13</v>
      </c>
      <c r="D146" t="s">
        <v>22</v>
      </c>
      <c r="E146" t="s">
        <v>15</v>
      </c>
      <c r="F146">
        <v>128</v>
      </c>
      <c r="G146">
        <v>33</v>
      </c>
      <c r="H146">
        <v>14</v>
      </c>
      <c r="I146">
        <f t="shared" si="14"/>
        <v>147</v>
      </c>
      <c r="J146">
        <v>28</v>
      </c>
      <c r="K146">
        <v>5</v>
      </c>
      <c r="L146" t="str">
        <f t="shared" si="15"/>
        <v>Correct</v>
      </c>
      <c r="M146">
        <f t="shared" si="16"/>
        <v>50</v>
      </c>
      <c r="N146">
        <f t="shared" si="12"/>
        <v>9.9032258064516121</v>
      </c>
      <c r="O146">
        <f t="shared" si="17"/>
        <v>14.843648208469057</v>
      </c>
      <c r="P146" t="str">
        <f t="shared" si="13"/>
        <v>Low Stock</v>
      </c>
    </row>
    <row r="147" spans="1:16" hidden="1" x14ac:dyDescent="0.35">
      <c r="A147" s="4">
        <v>46147</v>
      </c>
      <c r="B147" t="s">
        <v>12</v>
      </c>
      <c r="C147" t="s">
        <v>24</v>
      </c>
      <c r="D147" t="s">
        <v>14</v>
      </c>
      <c r="E147" t="s">
        <v>15</v>
      </c>
      <c r="F147">
        <v>155</v>
      </c>
      <c r="G147">
        <v>53</v>
      </c>
      <c r="H147">
        <v>16</v>
      </c>
      <c r="I147">
        <f t="shared" si="14"/>
        <v>192</v>
      </c>
      <c r="J147">
        <v>31</v>
      </c>
      <c r="K147">
        <v>1</v>
      </c>
      <c r="L147" t="str">
        <f t="shared" si="15"/>
        <v>Correct</v>
      </c>
      <c r="M147">
        <f t="shared" si="16"/>
        <v>51.612903225806448</v>
      </c>
      <c r="N147">
        <f t="shared" si="12"/>
        <v>21.35483870967742</v>
      </c>
      <c r="O147">
        <f t="shared" si="17"/>
        <v>8.9909365558912384</v>
      </c>
      <c r="P147" t="str">
        <f t="shared" si="13"/>
        <v>Low Stock</v>
      </c>
    </row>
    <row r="148" spans="1:16" hidden="1" x14ac:dyDescent="0.35">
      <c r="A148" s="4">
        <v>46147</v>
      </c>
      <c r="B148" t="s">
        <v>12</v>
      </c>
      <c r="C148" t="s">
        <v>24</v>
      </c>
      <c r="D148" t="s">
        <v>16</v>
      </c>
      <c r="E148" t="s">
        <v>15</v>
      </c>
      <c r="F148">
        <v>249</v>
      </c>
      <c r="G148">
        <v>3</v>
      </c>
      <c r="H148">
        <v>18</v>
      </c>
      <c r="I148">
        <f t="shared" si="14"/>
        <v>234</v>
      </c>
      <c r="J148">
        <v>26</v>
      </c>
      <c r="K148">
        <v>1</v>
      </c>
      <c r="L148" t="str">
        <f t="shared" si="15"/>
        <v>Correct</v>
      </c>
      <c r="M148">
        <f t="shared" si="16"/>
        <v>69.230769230769226</v>
      </c>
      <c r="N148">
        <f t="shared" si="12"/>
        <v>21.9</v>
      </c>
      <c r="O148">
        <f t="shared" si="17"/>
        <v>10.684931506849315</v>
      </c>
      <c r="P148" t="str">
        <f t="shared" si="13"/>
        <v>Low Stock</v>
      </c>
    </row>
    <row r="149" spans="1:16" hidden="1" x14ac:dyDescent="0.35">
      <c r="A149" s="4">
        <v>46147</v>
      </c>
      <c r="B149" t="s">
        <v>12</v>
      </c>
      <c r="C149" t="s">
        <v>24</v>
      </c>
      <c r="D149" t="s">
        <v>18</v>
      </c>
      <c r="E149" t="s">
        <v>15</v>
      </c>
      <c r="F149">
        <v>102</v>
      </c>
      <c r="G149">
        <v>27</v>
      </c>
      <c r="H149">
        <v>16</v>
      </c>
      <c r="I149">
        <f t="shared" si="14"/>
        <v>113</v>
      </c>
      <c r="J149">
        <v>25</v>
      </c>
      <c r="K149">
        <v>3</v>
      </c>
      <c r="L149" t="str">
        <f t="shared" si="15"/>
        <v>Correct</v>
      </c>
      <c r="M149">
        <f t="shared" si="16"/>
        <v>64</v>
      </c>
      <c r="N149">
        <f t="shared" si="12"/>
        <v>31.586206896551722</v>
      </c>
      <c r="O149">
        <f t="shared" si="17"/>
        <v>3.5775109170305677</v>
      </c>
      <c r="P149" t="str">
        <f t="shared" si="13"/>
        <v>Low Stock</v>
      </c>
    </row>
    <row r="150" spans="1:16" hidden="1" x14ac:dyDescent="0.35">
      <c r="A150" s="4">
        <v>46147</v>
      </c>
      <c r="B150" t="s">
        <v>12</v>
      </c>
      <c r="C150" t="s">
        <v>24</v>
      </c>
      <c r="D150" t="s">
        <v>20</v>
      </c>
      <c r="E150" t="s">
        <v>15</v>
      </c>
      <c r="F150">
        <v>136</v>
      </c>
      <c r="G150">
        <v>39</v>
      </c>
      <c r="H150">
        <v>38</v>
      </c>
      <c r="I150">
        <f t="shared" si="14"/>
        <v>137</v>
      </c>
      <c r="J150">
        <v>40</v>
      </c>
      <c r="K150">
        <v>2</v>
      </c>
      <c r="L150" t="str">
        <f t="shared" si="15"/>
        <v>Correct</v>
      </c>
      <c r="M150">
        <f t="shared" si="16"/>
        <v>95</v>
      </c>
      <c r="N150">
        <f t="shared" si="12"/>
        <v>34.200000000000003</v>
      </c>
      <c r="O150">
        <f t="shared" si="17"/>
        <v>4.0058479532163735</v>
      </c>
      <c r="P150" t="str">
        <f t="shared" si="13"/>
        <v>Low Stock</v>
      </c>
    </row>
    <row r="151" spans="1:16" hidden="1" x14ac:dyDescent="0.35">
      <c r="A151" s="4">
        <v>46147</v>
      </c>
      <c r="B151" t="s">
        <v>12</v>
      </c>
      <c r="C151" t="s">
        <v>24</v>
      </c>
      <c r="D151" t="s">
        <v>22</v>
      </c>
      <c r="E151" t="s">
        <v>15</v>
      </c>
      <c r="F151">
        <v>226</v>
      </c>
      <c r="G151">
        <v>10</v>
      </c>
      <c r="H151">
        <v>18</v>
      </c>
      <c r="I151">
        <f t="shared" si="14"/>
        <v>218</v>
      </c>
      <c r="J151">
        <v>26</v>
      </c>
      <c r="K151">
        <v>5</v>
      </c>
      <c r="L151" t="str">
        <f t="shared" si="15"/>
        <v>Correct</v>
      </c>
      <c r="M151">
        <f t="shared" si="16"/>
        <v>69.230769230769226</v>
      </c>
      <c r="N151">
        <f t="shared" si="12"/>
        <v>10.96551724137931</v>
      </c>
      <c r="O151">
        <f t="shared" si="17"/>
        <v>19.880503144654089</v>
      </c>
      <c r="P151" t="str">
        <f t="shared" si="13"/>
        <v>Healthy</v>
      </c>
    </row>
    <row r="152" spans="1:16" hidden="1" x14ac:dyDescent="0.35">
      <c r="A152" s="4">
        <v>46147</v>
      </c>
      <c r="B152" t="s">
        <v>12</v>
      </c>
      <c r="C152" t="s">
        <v>25</v>
      </c>
      <c r="D152" t="s">
        <v>14</v>
      </c>
      <c r="E152" t="s">
        <v>15</v>
      </c>
      <c r="F152">
        <v>103</v>
      </c>
      <c r="G152">
        <v>42</v>
      </c>
      <c r="H152">
        <v>21</v>
      </c>
      <c r="I152">
        <f t="shared" si="14"/>
        <v>124</v>
      </c>
      <c r="J152">
        <v>25</v>
      </c>
      <c r="K152">
        <v>1</v>
      </c>
      <c r="L152" t="str">
        <f t="shared" si="15"/>
        <v>Correct</v>
      </c>
      <c r="M152">
        <f t="shared" si="16"/>
        <v>84</v>
      </c>
      <c r="N152">
        <f t="shared" si="12"/>
        <v>20.7</v>
      </c>
      <c r="O152">
        <f t="shared" si="17"/>
        <v>5.9903381642512077</v>
      </c>
      <c r="P152" t="str">
        <f t="shared" si="13"/>
        <v>Low Stock</v>
      </c>
    </row>
    <row r="153" spans="1:16" hidden="1" x14ac:dyDescent="0.35">
      <c r="A153" s="4">
        <v>46147</v>
      </c>
      <c r="B153" t="s">
        <v>12</v>
      </c>
      <c r="C153" t="s">
        <v>25</v>
      </c>
      <c r="D153" t="s">
        <v>16</v>
      </c>
      <c r="E153" t="s">
        <v>15</v>
      </c>
      <c r="F153">
        <v>134</v>
      </c>
      <c r="G153">
        <v>37</v>
      </c>
      <c r="H153">
        <v>13</v>
      </c>
      <c r="I153">
        <f t="shared" si="14"/>
        <v>158</v>
      </c>
      <c r="J153">
        <v>14</v>
      </c>
      <c r="K153">
        <v>4</v>
      </c>
      <c r="L153" t="str">
        <f t="shared" si="15"/>
        <v>Correct</v>
      </c>
      <c r="M153">
        <f t="shared" si="16"/>
        <v>92.857142857142861</v>
      </c>
      <c r="N153">
        <f t="shared" si="12"/>
        <v>23.758620689655171</v>
      </c>
      <c r="O153">
        <f t="shared" si="17"/>
        <v>6.6502177068214809</v>
      </c>
      <c r="P153" t="str">
        <f t="shared" si="13"/>
        <v>Low Stock</v>
      </c>
    </row>
    <row r="154" spans="1:16" hidden="1" x14ac:dyDescent="0.35">
      <c r="A154" s="4">
        <v>46147</v>
      </c>
      <c r="B154" t="s">
        <v>12</v>
      </c>
      <c r="C154" t="s">
        <v>25</v>
      </c>
      <c r="D154" t="s">
        <v>18</v>
      </c>
      <c r="E154" t="s">
        <v>15</v>
      </c>
      <c r="F154">
        <v>134</v>
      </c>
      <c r="G154">
        <v>33</v>
      </c>
      <c r="H154">
        <v>30</v>
      </c>
      <c r="I154">
        <f t="shared" si="14"/>
        <v>137</v>
      </c>
      <c r="J154">
        <v>40</v>
      </c>
      <c r="K154">
        <v>4</v>
      </c>
      <c r="L154" t="str">
        <f t="shared" si="15"/>
        <v>Correct</v>
      </c>
      <c r="M154">
        <f t="shared" si="16"/>
        <v>75</v>
      </c>
      <c r="N154">
        <f t="shared" si="12"/>
        <v>31.142857142857142</v>
      </c>
      <c r="O154">
        <f t="shared" si="17"/>
        <v>4.3990825688073398</v>
      </c>
      <c r="P154" t="str">
        <f t="shared" si="13"/>
        <v>Low Stock</v>
      </c>
    </row>
    <row r="155" spans="1:16" hidden="1" x14ac:dyDescent="0.35">
      <c r="A155" s="4">
        <v>46147</v>
      </c>
      <c r="B155" t="s">
        <v>12</v>
      </c>
      <c r="C155" t="s">
        <v>25</v>
      </c>
      <c r="D155" t="s">
        <v>20</v>
      </c>
      <c r="E155" t="s">
        <v>15</v>
      </c>
      <c r="F155">
        <v>193</v>
      </c>
      <c r="G155">
        <v>35</v>
      </c>
      <c r="H155">
        <v>22</v>
      </c>
      <c r="I155">
        <f t="shared" si="14"/>
        <v>206</v>
      </c>
      <c r="J155">
        <v>22</v>
      </c>
      <c r="K155">
        <v>3</v>
      </c>
      <c r="L155" t="str">
        <f t="shared" si="15"/>
        <v>Correct</v>
      </c>
      <c r="M155">
        <f t="shared" si="16"/>
        <v>100</v>
      </c>
      <c r="N155">
        <f t="shared" si="12"/>
        <v>31.137931034482758</v>
      </c>
      <c r="O155">
        <f t="shared" si="17"/>
        <v>6.6157253599114068</v>
      </c>
      <c r="P155" t="str">
        <f t="shared" si="13"/>
        <v>Low Stock</v>
      </c>
    </row>
    <row r="156" spans="1:16" hidden="1" x14ac:dyDescent="0.35">
      <c r="A156" s="4">
        <v>46147</v>
      </c>
      <c r="B156" t="s">
        <v>12</v>
      </c>
      <c r="C156" t="s">
        <v>25</v>
      </c>
      <c r="D156" t="s">
        <v>22</v>
      </c>
      <c r="E156" t="s">
        <v>15</v>
      </c>
      <c r="F156">
        <v>244</v>
      </c>
      <c r="G156">
        <v>37</v>
      </c>
      <c r="H156">
        <v>13</v>
      </c>
      <c r="I156">
        <f t="shared" si="14"/>
        <v>268</v>
      </c>
      <c r="J156">
        <v>18</v>
      </c>
      <c r="K156">
        <v>1</v>
      </c>
      <c r="L156" t="str">
        <f t="shared" si="15"/>
        <v>Correct</v>
      </c>
      <c r="M156">
        <f t="shared" si="16"/>
        <v>72.222222222222214</v>
      </c>
      <c r="N156">
        <f t="shared" si="12"/>
        <v>11.3</v>
      </c>
      <c r="O156">
        <f t="shared" si="17"/>
        <v>23.716814159292035</v>
      </c>
      <c r="P156" t="str">
        <f t="shared" si="13"/>
        <v>Healthy</v>
      </c>
    </row>
    <row r="157" spans="1:16" hidden="1" x14ac:dyDescent="0.35">
      <c r="A157" s="4">
        <v>46147</v>
      </c>
      <c r="B157" t="s">
        <v>26</v>
      </c>
      <c r="C157" t="s">
        <v>27</v>
      </c>
      <c r="D157" t="s">
        <v>14</v>
      </c>
      <c r="E157" t="s">
        <v>15</v>
      </c>
      <c r="F157">
        <v>189</v>
      </c>
      <c r="G157">
        <v>47</v>
      </c>
      <c r="H157">
        <v>17</v>
      </c>
      <c r="I157">
        <f t="shared" si="14"/>
        <v>219</v>
      </c>
      <c r="J157">
        <v>32</v>
      </c>
      <c r="K157">
        <v>4</v>
      </c>
      <c r="L157" t="str">
        <f t="shared" si="15"/>
        <v>Correct</v>
      </c>
      <c r="M157">
        <f t="shared" si="16"/>
        <v>53.125</v>
      </c>
      <c r="N157">
        <f t="shared" si="12"/>
        <v>22.258064516129032</v>
      </c>
      <c r="O157">
        <f t="shared" si="17"/>
        <v>9.839130434782609</v>
      </c>
      <c r="P157" t="str">
        <f t="shared" si="13"/>
        <v>Low Stock</v>
      </c>
    </row>
    <row r="158" spans="1:16" hidden="1" x14ac:dyDescent="0.35">
      <c r="A158" s="4">
        <v>46147</v>
      </c>
      <c r="B158" t="s">
        <v>26</v>
      </c>
      <c r="C158" t="s">
        <v>27</v>
      </c>
      <c r="D158" t="s">
        <v>16</v>
      </c>
      <c r="E158" t="s">
        <v>15</v>
      </c>
      <c r="F158">
        <v>114</v>
      </c>
      <c r="G158">
        <v>26</v>
      </c>
      <c r="H158">
        <v>26</v>
      </c>
      <c r="I158">
        <f t="shared" si="14"/>
        <v>114</v>
      </c>
      <c r="J158">
        <v>27</v>
      </c>
      <c r="K158">
        <v>3</v>
      </c>
      <c r="L158" t="str">
        <f t="shared" si="15"/>
        <v>Correct</v>
      </c>
      <c r="M158">
        <f t="shared" si="16"/>
        <v>96.296296296296291</v>
      </c>
      <c r="N158">
        <f t="shared" si="12"/>
        <v>20.172413793103448</v>
      </c>
      <c r="O158">
        <f t="shared" si="17"/>
        <v>5.6512820512820516</v>
      </c>
      <c r="P158" t="str">
        <f t="shared" si="13"/>
        <v>Low Stock</v>
      </c>
    </row>
    <row r="159" spans="1:16" hidden="1" x14ac:dyDescent="0.35">
      <c r="A159" s="4">
        <v>46147</v>
      </c>
      <c r="B159" t="s">
        <v>26</v>
      </c>
      <c r="C159" t="s">
        <v>27</v>
      </c>
      <c r="D159" t="s">
        <v>18</v>
      </c>
      <c r="E159" t="s">
        <v>15</v>
      </c>
      <c r="F159">
        <v>223</v>
      </c>
      <c r="G159">
        <v>43</v>
      </c>
      <c r="H159">
        <v>31</v>
      </c>
      <c r="I159">
        <f t="shared" si="14"/>
        <v>235</v>
      </c>
      <c r="J159">
        <v>44</v>
      </c>
      <c r="K159">
        <v>4</v>
      </c>
      <c r="L159" t="str">
        <f t="shared" si="15"/>
        <v>Correct</v>
      </c>
      <c r="M159">
        <f t="shared" si="16"/>
        <v>70.454545454545453</v>
      </c>
      <c r="N159">
        <f t="shared" si="12"/>
        <v>29.733333333333334</v>
      </c>
      <c r="O159">
        <f t="shared" si="17"/>
        <v>7.9035874439461882</v>
      </c>
      <c r="P159" t="str">
        <f t="shared" si="13"/>
        <v>Low Stock</v>
      </c>
    </row>
    <row r="160" spans="1:16" hidden="1" x14ac:dyDescent="0.35">
      <c r="A160" s="4">
        <v>46147</v>
      </c>
      <c r="B160" t="s">
        <v>26</v>
      </c>
      <c r="C160" t="s">
        <v>27</v>
      </c>
      <c r="D160" t="s">
        <v>20</v>
      </c>
      <c r="E160" t="s">
        <v>15</v>
      </c>
      <c r="F160">
        <v>206</v>
      </c>
      <c r="G160">
        <v>57</v>
      </c>
      <c r="H160">
        <v>36</v>
      </c>
      <c r="I160">
        <f t="shared" si="14"/>
        <v>227</v>
      </c>
      <c r="J160">
        <v>47</v>
      </c>
      <c r="K160">
        <v>5</v>
      </c>
      <c r="L160" t="str">
        <f t="shared" si="15"/>
        <v>Correct</v>
      </c>
      <c r="M160">
        <f t="shared" si="16"/>
        <v>76.59574468085107</v>
      </c>
      <c r="N160">
        <f t="shared" si="12"/>
        <v>30.724137931034484</v>
      </c>
      <c r="O160">
        <f t="shared" si="17"/>
        <v>7.3883277216610548</v>
      </c>
      <c r="P160" t="str">
        <f t="shared" si="13"/>
        <v>Low Stock</v>
      </c>
    </row>
    <row r="161" spans="1:16" hidden="1" x14ac:dyDescent="0.35">
      <c r="A161" s="4">
        <v>46147</v>
      </c>
      <c r="B161" t="s">
        <v>26</v>
      </c>
      <c r="C161" t="s">
        <v>27</v>
      </c>
      <c r="D161" t="s">
        <v>22</v>
      </c>
      <c r="E161" t="s">
        <v>15</v>
      </c>
      <c r="F161">
        <v>183</v>
      </c>
      <c r="G161">
        <v>11</v>
      </c>
      <c r="H161">
        <v>10</v>
      </c>
      <c r="I161">
        <f t="shared" si="14"/>
        <v>184</v>
      </c>
      <c r="J161">
        <v>23</v>
      </c>
      <c r="K161">
        <v>1</v>
      </c>
      <c r="L161" t="str">
        <f t="shared" si="15"/>
        <v>Correct</v>
      </c>
      <c r="M161">
        <f t="shared" si="16"/>
        <v>43.478260869565219</v>
      </c>
      <c r="N161">
        <f t="shared" si="12"/>
        <v>11.566666666666666</v>
      </c>
      <c r="O161">
        <f t="shared" si="17"/>
        <v>15.907780979827089</v>
      </c>
      <c r="P161" t="str">
        <f t="shared" si="13"/>
        <v>Healthy</v>
      </c>
    </row>
    <row r="162" spans="1:16" hidden="1" x14ac:dyDescent="0.35">
      <c r="A162" s="4">
        <v>46147</v>
      </c>
      <c r="B162" t="s">
        <v>28</v>
      </c>
      <c r="C162" t="s">
        <v>29</v>
      </c>
      <c r="D162" t="s">
        <v>14</v>
      </c>
      <c r="E162" t="s">
        <v>15</v>
      </c>
      <c r="F162">
        <v>224</v>
      </c>
      <c r="G162">
        <v>50</v>
      </c>
      <c r="H162">
        <v>28</v>
      </c>
      <c r="I162">
        <f t="shared" si="14"/>
        <v>246</v>
      </c>
      <c r="J162">
        <v>41</v>
      </c>
      <c r="K162">
        <v>3</v>
      </c>
      <c r="L162" t="str">
        <f t="shared" si="15"/>
        <v>Correct</v>
      </c>
      <c r="M162">
        <f t="shared" si="16"/>
        <v>68.292682926829272</v>
      </c>
      <c r="N162">
        <f t="shared" si="12"/>
        <v>22.25</v>
      </c>
      <c r="O162">
        <f t="shared" si="17"/>
        <v>11.056179775280899</v>
      </c>
      <c r="P162" t="str">
        <f t="shared" si="13"/>
        <v>Low Stock</v>
      </c>
    </row>
    <row r="163" spans="1:16" hidden="1" x14ac:dyDescent="0.35">
      <c r="A163" s="4">
        <v>46147</v>
      </c>
      <c r="B163" t="s">
        <v>28</v>
      </c>
      <c r="C163" t="s">
        <v>29</v>
      </c>
      <c r="D163" t="s">
        <v>16</v>
      </c>
      <c r="E163" t="s">
        <v>15</v>
      </c>
      <c r="F163">
        <v>129</v>
      </c>
      <c r="G163">
        <v>7</v>
      </c>
      <c r="H163">
        <v>15</v>
      </c>
      <c r="I163">
        <f t="shared" si="14"/>
        <v>121</v>
      </c>
      <c r="J163">
        <v>24</v>
      </c>
      <c r="K163">
        <v>3</v>
      </c>
      <c r="L163" t="str">
        <f t="shared" si="15"/>
        <v>Correct</v>
      </c>
      <c r="M163">
        <f t="shared" si="16"/>
        <v>62.5</v>
      </c>
      <c r="N163">
        <f t="shared" si="12"/>
        <v>19.96551724137931</v>
      </c>
      <c r="O163">
        <f t="shared" si="17"/>
        <v>6.0604490500863557</v>
      </c>
      <c r="P163" t="str">
        <f t="shared" si="13"/>
        <v>Low Stock</v>
      </c>
    </row>
    <row r="164" spans="1:16" hidden="1" x14ac:dyDescent="0.35">
      <c r="A164" s="4">
        <v>46147</v>
      </c>
      <c r="B164" t="s">
        <v>28</v>
      </c>
      <c r="C164" t="s">
        <v>29</v>
      </c>
      <c r="D164" t="s">
        <v>18</v>
      </c>
      <c r="E164" t="s">
        <v>15</v>
      </c>
      <c r="F164">
        <v>105</v>
      </c>
      <c r="G164">
        <v>22</v>
      </c>
      <c r="H164">
        <v>41</v>
      </c>
      <c r="I164">
        <f t="shared" si="14"/>
        <v>86</v>
      </c>
      <c r="J164">
        <v>48</v>
      </c>
      <c r="K164">
        <v>4</v>
      </c>
      <c r="L164" t="str">
        <f t="shared" si="15"/>
        <v>Correct</v>
      </c>
      <c r="M164">
        <f t="shared" si="16"/>
        <v>85.416666666666657</v>
      </c>
      <c r="N164">
        <f t="shared" si="12"/>
        <v>31.206896551724139</v>
      </c>
      <c r="O164">
        <f t="shared" si="17"/>
        <v>2.7558011049723756</v>
      </c>
      <c r="P164" t="str">
        <f t="shared" si="13"/>
        <v>Low Stock</v>
      </c>
    </row>
    <row r="165" spans="1:16" hidden="1" x14ac:dyDescent="0.35">
      <c r="A165" s="4">
        <v>46147</v>
      </c>
      <c r="B165" t="s">
        <v>28</v>
      </c>
      <c r="C165" t="s">
        <v>29</v>
      </c>
      <c r="D165" t="s">
        <v>20</v>
      </c>
      <c r="E165" t="s">
        <v>15</v>
      </c>
      <c r="F165">
        <v>259</v>
      </c>
      <c r="G165">
        <v>4</v>
      </c>
      <c r="H165">
        <v>19</v>
      </c>
      <c r="I165">
        <f t="shared" si="14"/>
        <v>244</v>
      </c>
      <c r="J165">
        <v>29</v>
      </c>
      <c r="K165">
        <v>2</v>
      </c>
      <c r="L165" t="str">
        <f t="shared" si="15"/>
        <v>Correct</v>
      </c>
      <c r="M165">
        <f t="shared" si="16"/>
        <v>65.517241379310349</v>
      </c>
      <c r="N165">
        <f t="shared" si="12"/>
        <v>32.620689655172413</v>
      </c>
      <c r="O165">
        <f t="shared" si="17"/>
        <v>7.4799154334038054</v>
      </c>
      <c r="P165" t="str">
        <f t="shared" si="13"/>
        <v>Low Stock</v>
      </c>
    </row>
    <row r="166" spans="1:16" hidden="1" x14ac:dyDescent="0.35">
      <c r="A166" s="4">
        <v>46147</v>
      </c>
      <c r="B166" t="s">
        <v>28</v>
      </c>
      <c r="C166" t="s">
        <v>29</v>
      </c>
      <c r="D166" t="s">
        <v>14</v>
      </c>
      <c r="E166" t="s">
        <v>15</v>
      </c>
      <c r="F166">
        <v>226</v>
      </c>
      <c r="G166">
        <v>55</v>
      </c>
      <c r="H166">
        <v>6</v>
      </c>
      <c r="I166">
        <f t="shared" si="14"/>
        <v>275</v>
      </c>
      <c r="J166">
        <v>7</v>
      </c>
      <c r="K166">
        <v>3</v>
      </c>
      <c r="L166" t="str">
        <f t="shared" si="15"/>
        <v>Correct</v>
      </c>
      <c r="M166">
        <f t="shared" si="16"/>
        <v>85.714285714285708</v>
      </c>
      <c r="N166">
        <f t="shared" si="12"/>
        <v>22.25</v>
      </c>
      <c r="O166">
        <f t="shared" si="17"/>
        <v>12.359550561797754</v>
      </c>
      <c r="P166" t="str">
        <f t="shared" si="13"/>
        <v>Low Stock</v>
      </c>
    </row>
    <row r="167" spans="1:16" hidden="1" x14ac:dyDescent="0.35">
      <c r="A167" s="4">
        <v>46147</v>
      </c>
      <c r="B167" t="s">
        <v>31</v>
      </c>
      <c r="C167" t="s">
        <v>32</v>
      </c>
      <c r="D167" t="s">
        <v>14</v>
      </c>
      <c r="E167" t="s">
        <v>15</v>
      </c>
      <c r="F167">
        <v>199</v>
      </c>
      <c r="G167">
        <v>24</v>
      </c>
      <c r="H167">
        <v>17</v>
      </c>
      <c r="I167">
        <f t="shared" si="14"/>
        <v>206</v>
      </c>
      <c r="J167">
        <v>17</v>
      </c>
      <c r="K167">
        <v>1</v>
      </c>
      <c r="L167" t="str">
        <f t="shared" si="15"/>
        <v>Correct</v>
      </c>
      <c r="M167">
        <f t="shared" si="16"/>
        <v>100</v>
      </c>
      <c r="N167">
        <f t="shared" si="12"/>
        <v>20.84375</v>
      </c>
      <c r="O167">
        <f t="shared" si="17"/>
        <v>9.8830584707646185</v>
      </c>
      <c r="P167" t="str">
        <f t="shared" si="13"/>
        <v>Low Stock</v>
      </c>
    </row>
    <row r="168" spans="1:16" hidden="1" x14ac:dyDescent="0.35">
      <c r="A168" s="4">
        <v>46147</v>
      </c>
      <c r="B168" t="s">
        <v>31</v>
      </c>
      <c r="C168" t="s">
        <v>32</v>
      </c>
      <c r="D168" t="s">
        <v>16</v>
      </c>
      <c r="E168" t="s">
        <v>15</v>
      </c>
      <c r="F168">
        <v>237</v>
      </c>
      <c r="G168">
        <v>53</v>
      </c>
      <c r="H168">
        <v>31</v>
      </c>
      <c r="I168">
        <f t="shared" si="14"/>
        <v>259</v>
      </c>
      <c r="J168">
        <v>41</v>
      </c>
      <c r="K168">
        <v>5</v>
      </c>
      <c r="L168" t="str">
        <f t="shared" si="15"/>
        <v>Correct</v>
      </c>
      <c r="M168">
        <f t="shared" si="16"/>
        <v>75.609756097560975</v>
      </c>
      <c r="N168">
        <f t="shared" si="12"/>
        <v>21.46875</v>
      </c>
      <c r="O168">
        <f t="shared" si="17"/>
        <v>12.064046579330421</v>
      </c>
      <c r="P168" t="str">
        <f t="shared" si="13"/>
        <v>Low Stock</v>
      </c>
    </row>
    <row r="169" spans="1:16" hidden="1" x14ac:dyDescent="0.35">
      <c r="A169" s="4">
        <v>46147</v>
      </c>
      <c r="B169" t="s">
        <v>31</v>
      </c>
      <c r="C169" t="s">
        <v>32</v>
      </c>
      <c r="D169" t="s">
        <v>18</v>
      </c>
      <c r="E169" t="s">
        <v>15</v>
      </c>
      <c r="F169">
        <v>149</v>
      </c>
      <c r="G169">
        <v>22</v>
      </c>
      <c r="H169">
        <v>47</v>
      </c>
      <c r="I169">
        <f t="shared" si="14"/>
        <v>124</v>
      </c>
      <c r="J169">
        <v>56</v>
      </c>
      <c r="K169">
        <v>3</v>
      </c>
      <c r="L169" t="str">
        <f t="shared" si="15"/>
        <v>Correct</v>
      </c>
      <c r="M169">
        <f t="shared" si="16"/>
        <v>83.928571428571431</v>
      </c>
      <c r="N169">
        <f t="shared" si="12"/>
        <v>30.586206896551722</v>
      </c>
      <c r="O169">
        <f t="shared" si="17"/>
        <v>4.0541149943630215</v>
      </c>
      <c r="P169" t="str">
        <f t="shared" si="13"/>
        <v>Low Stock</v>
      </c>
    </row>
    <row r="170" spans="1:16" hidden="1" x14ac:dyDescent="0.35">
      <c r="A170" s="4">
        <v>46147</v>
      </c>
      <c r="B170" t="s">
        <v>31</v>
      </c>
      <c r="C170" t="s">
        <v>32</v>
      </c>
      <c r="D170" t="s">
        <v>20</v>
      </c>
      <c r="E170" t="s">
        <v>15</v>
      </c>
      <c r="F170">
        <v>192</v>
      </c>
      <c r="G170">
        <v>3</v>
      </c>
      <c r="H170">
        <v>23</v>
      </c>
      <c r="I170">
        <f t="shared" si="14"/>
        <v>172</v>
      </c>
      <c r="J170">
        <v>32</v>
      </c>
      <c r="K170">
        <v>4</v>
      </c>
      <c r="L170" t="str">
        <f t="shared" si="15"/>
        <v>Correct</v>
      </c>
      <c r="M170">
        <f t="shared" si="16"/>
        <v>71.875</v>
      </c>
      <c r="N170">
        <f t="shared" si="12"/>
        <v>32.299999999999997</v>
      </c>
      <c r="O170">
        <f t="shared" si="17"/>
        <v>5.3250773993808052</v>
      </c>
      <c r="P170" t="str">
        <f t="shared" si="13"/>
        <v>Low Stock</v>
      </c>
    </row>
    <row r="171" spans="1:16" hidden="1" x14ac:dyDescent="0.35">
      <c r="A171" s="4">
        <v>46147</v>
      </c>
      <c r="B171" t="s">
        <v>31</v>
      </c>
      <c r="C171" t="s">
        <v>32</v>
      </c>
      <c r="D171" t="s">
        <v>22</v>
      </c>
      <c r="E171" t="s">
        <v>15</v>
      </c>
      <c r="F171">
        <v>272</v>
      </c>
      <c r="G171">
        <v>44</v>
      </c>
      <c r="H171">
        <v>3</v>
      </c>
      <c r="I171">
        <f t="shared" si="14"/>
        <v>313</v>
      </c>
      <c r="J171">
        <v>18</v>
      </c>
      <c r="K171">
        <v>1</v>
      </c>
      <c r="L171" t="str">
        <f t="shared" si="15"/>
        <v>Correct</v>
      </c>
      <c r="M171">
        <f t="shared" si="16"/>
        <v>16.666666666666664</v>
      </c>
      <c r="N171">
        <f t="shared" si="12"/>
        <v>10.413793103448276</v>
      </c>
      <c r="O171">
        <f t="shared" si="17"/>
        <v>30.056291390728475</v>
      </c>
      <c r="P171" t="str">
        <f t="shared" si="13"/>
        <v>Overstock</v>
      </c>
    </row>
    <row r="172" spans="1:16" hidden="1" x14ac:dyDescent="0.35">
      <c r="A172" s="4">
        <v>46147</v>
      </c>
      <c r="B172" t="s">
        <v>33</v>
      </c>
      <c r="C172" t="s">
        <v>34</v>
      </c>
      <c r="D172" t="s">
        <v>14</v>
      </c>
      <c r="E172" t="s">
        <v>15</v>
      </c>
      <c r="F172">
        <v>146</v>
      </c>
      <c r="G172">
        <v>24</v>
      </c>
      <c r="H172">
        <v>30</v>
      </c>
      <c r="I172">
        <f t="shared" si="14"/>
        <v>140</v>
      </c>
      <c r="J172">
        <v>39</v>
      </c>
      <c r="K172">
        <v>3</v>
      </c>
      <c r="L172" t="str">
        <f t="shared" si="15"/>
        <v>Correct</v>
      </c>
      <c r="M172">
        <f t="shared" si="16"/>
        <v>76.923076923076934</v>
      </c>
      <c r="N172">
        <f t="shared" si="12"/>
        <v>20.70967741935484</v>
      </c>
      <c r="O172">
        <f t="shared" si="17"/>
        <v>6.7601246105919</v>
      </c>
      <c r="P172" t="str">
        <f t="shared" si="13"/>
        <v>Low Stock</v>
      </c>
    </row>
    <row r="173" spans="1:16" hidden="1" x14ac:dyDescent="0.35">
      <c r="A173" s="4">
        <v>46147</v>
      </c>
      <c r="B173" t="s">
        <v>33</v>
      </c>
      <c r="C173" t="s">
        <v>34</v>
      </c>
      <c r="D173" t="s">
        <v>16</v>
      </c>
      <c r="E173" t="s">
        <v>15</v>
      </c>
      <c r="F173">
        <v>106</v>
      </c>
      <c r="G173">
        <v>41</v>
      </c>
      <c r="H173">
        <v>22</v>
      </c>
      <c r="I173">
        <f t="shared" si="14"/>
        <v>125</v>
      </c>
      <c r="J173">
        <v>28</v>
      </c>
      <c r="K173">
        <v>5</v>
      </c>
      <c r="L173" t="str">
        <f t="shared" si="15"/>
        <v>Correct</v>
      </c>
      <c r="M173">
        <f t="shared" si="16"/>
        <v>78.571428571428569</v>
      </c>
      <c r="N173">
        <f t="shared" si="12"/>
        <v>22.142857142857142</v>
      </c>
      <c r="O173">
        <f t="shared" si="17"/>
        <v>5.645161290322581</v>
      </c>
      <c r="P173" t="str">
        <f t="shared" si="13"/>
        <v>Low Stock</v>
      </c>
    </row>
    <row r="174" spans="1:16" hidden="1" x14ac:dyDescent="0.35">
      <c r="A174" s="4">
        <v>46147</v>
      </c>
      <c r="B174" t="s">
        <v>33</v>
      </c>
      <c r="C174" t="s">
        <v>34</v>
      </c>
      <c r="D174" t="s">
        <v>18</v>
      </c>
      <c r="E174" t="s">
        <v>15</v>
      </c>
      <c r="F174">
        <v>150</v>
      </c>
      <c r="G174">
        <v>3</v>
      </c>
      <c r="H174">
        <v>37</v>
      </c>
      <c r="I174">
        <f t="shared" si="14"/>
        <v>116</v>
      </c>
      <c r="J174">
        <v>39</v>
      </c>
      <c r="K174">
        <v>1</v>
      </c>
      <c r="L174" t="str">
        <f t="shared" si="15"/>
        <v>Correct</v>
      </c>
      <c r="M174">
        <f t="shared" si="16"/>
        <v>94.871794871794862</v>
      </c>
      <c r="N174">
        <f t="shared" si="12"/>
        <v>30.275862068965516</v>
      </c>
      <c r="O174">
        <f t="shared" si="17"/>
        <v>3.8314350797266514</v>
      </c>
      <c r="P174" t="str">
        <f t="shared" si="13"/>
        <v>Low Stock</v>
      </c>
    </row>
    <row r="175" spans="1:16" hidden="1" x14ac:dyDescent="0.35">
      <c r="A175" s="4">
        <v>46147</v>
      </c>
      <c r="B175" t="s">
        <v>33</v>
      </c>
      <c r="C175" t="s">
        <v>34</v>
      </c>
      <c r="D175" t="s">
        <v>20</v>
      </c>
      <c r="E175" t="s">
        <v>15</v>
      </c>
      <c r="F175">
        <v>259</v>
      </c>
      <c r="G175">
        <v>50</v>
      </c>
      <c r="H175">
        <v>31</v>
      </c>
      <c r="I175">
        <f t="shared" si="14"/>
        <v>278</v>
      </c>
      <c r="J175">
        <v>32</v>
      </c>
      <c r="K175">
        <v>5</v>
      </c>
      <c r="L175" t="str">
        <f t="shared" si="15"/>
        <v>Correct</v>
      </c>
      <c r="M175">
        <f t="shared" si="16"/>
        <v>96.875</v>
      </c>
      <c r="N175">
        <f t="shared" si="12"/>
        <v>30.931034482758619</v>
      </c>
      <c r="O175">
        <f t="shared" si="17"/>
        <v>8.98773690078038</v>
      </c>
      <c r="P175" t="str">
        <f t="shared" si="13"/>
        <v>Low Stock</v>
      </c>
    </row>
    <row r="176" spans="1:16" hidden="1" x14ac:dyDescent="0.35">
      <c r="A176" s="4">
        <v>46147</v>
      </c>
      <c r="B176" t="s">
        <v>33</v>
      </c>
      <c r="C176" t="s">
        <v>34</v>
      </c>
      <c r="D176" t="s">
        <v>22</v>
      </c>
      <c r="E176" t="s">
        <v>15</v>
      </c>
      <c r="F176">
        <v>262</v>
      </c>
      <c r="G176">
        <v>34</v>
      </c>
      <c r="H176">
        <v>7</v>
      </c>
      <c r="I176">
        <f t="shared" si="14"/>
        <v>289</v>
      </c>
      <c r="J176">
        <v>18</v>
      </c>
      <c r="K176">
        <v>2</v>
      </c>
      <c r="L176" t="str">
        <f t="shared" si="15"/>
        <v>Correct</v>
      </c>
      <c r="M176">
        <f t="shared" si="16"/>
        <v>38.888888888888893</v>
      </c>
      <c r="N176">
        <f t="shared" si="12"/>
        <v>10.25</v>
      </c>
      <c r="O176">
        <f t="shared" si="17"/>
        <v>28.195121951219512</v>
      </c>
      <c r="P176" t="str">
        <f t="shared" si="13"/>
        <v>Healthy</v>
      </c>
    </row>
    <row r="177" spans="1:16" hidden="1" x14ac:dyDescent="0.35">
      <c r="A177" s="4">
        <v>46148</v>
      </c>
      <c r="B177" t="s">
        <v>12</v>
      </c>
      <c r="C177" t="s">
        <v>13</v>
      </c>
      <c r="D177" t="s">
        <v>14</v>
      </c>
      <c r="E177" t="s">
        <v>15</v>
      </c>
      <c r="F177">
        <v>271</v>
      </c>
      <c r="G177">
        <v>23</v>
      </c>
      <c r="H177">
        <v>30</v>
      </c>
      <c r="I177">
        <f t="shared" si="14"/>
        <v>264</v>
      </c>
      <c r="J177">
        <v>24</v>
      </c>
      <c r="K177">
        <v>2</v>
      </c>
      <c r="L177" t="str">
        <f t="shared" si="15"/>
        <v>Correct</v>
      </c>
      <c r="M177">
        <f t="shared" si="16"/>
        <v>125</v>
      </c>
      <c r="N177">
        <f t="shared" si="12"/>
        <v>21.666666666666668</v>
      </c>
      <c r="O177">
        <f t="shared" si="17"/>
        <v>12.184615384615384</v>
      </c>
      <c r="P177" t="str">
        <f t="shared" si="13"/>
        <v>Low Stock</v>
      </c>
    </row>
    <row r="178" spans="1:16" hidden="1" x14ac:dyDescent="0.35">
      <c r="A178" s="4">
        <v>46148</v>
      </c>
      <c r="B178" t="s">
        <v>12</v>
      </c>
      <c r="C178" t="s">
        <v>13</v>
      </c>
      <c r="D178" t="s">
        <v>16</v>
      </c>
      <c r="E178" t="s">
        <v>15</v>
      </c>
      <c r="F178">
        <v>208</v>
      </c>
      <c r="G178">
        <v>46</v>
      </c>
      <c r="H178">
        <v>12</v>
      </c>
      <c r="I178">
        <f t="shared" si="14"/>
        <v>242</v>
      </c>
      <c r="J178">
        <v>13</v>
      </c>
      <c r="K178">
        <v>4</v>
      </c>
      <c r="L178" t="str">
        <f t="shared" si="15"/>
        <v>Correct</v>
      </c>
      <c r="M178">
        <f t="shared" si="16"/>
        <v>92.307692307692307</v>
      </c>
      <c r="N178">
        <f t="shared" si="12"/>
        <v>20.030303030303031</v>
      </c>
      <c r="O178">
        <f t="shared" si="17"/>
        <v>12.081694402420574</v>
      </c>
      <c r="P178" t="str">
        <f t="shared" si="13"/>
        <v>Low Stock</v>
      </c>
    </row>
    <row r="179" spans="1:16" hidden="1" x14ac:dyDescent="0.35">
      <c r="A179" s="4">
        <v>46148</v>
      </c>
      <c r="B179" t="s">
        <v>12</v>
      </c>
      <c r="C179" t="s">
        <v>13</v>
      </c>
      <c r="D179" t="s">
        <v>18</v>
      </c>
      <c r="E179" t="s">
        <v>15</v>
      </c>
      <c r="F179">
        <v>203</v>
      </c>
      <c r="G179">
        <v>28</v>
      </c>
      <c r="H179">
        <v>29</v>
      </c>
      <c r="I179">
        <f t="shared" si="14"/>
        <v>202</v>
      </c>
      <c r="J179">
        <v>34</v>
      </c>
      <c r="K179">
        <v>3</v>
      </c>
      <c r="L179" t="str">
        <f t="shared" si="15"/>
        <v>Correct</v>
      </c>
      <c r="M179">
        <f t="shared" si="16"/>
        <v>85.294117647058826</v>
      </c>
      <c r="N179">
        <f t="shared" si="12"/>
        <v>33.34375</v>
      </c>
      <c r="O179">
        <f t="shared" si="17"/>
        <v>6.0581068416119965</v>
      </c>
      <c r="P179" t="str">
        <f t="shared" si="13"/>
        <v>Low Stock</v>
      </c>
    </row>
    <row r="180" spans="1:16" hidden="1" x14ac:dyDescent="0.35">
      <c r="A180" s="4">
        <v>46148</v>
      </c>
      <c r="B180" t="s">
        <v>12</v>
      </c>
      <c r="C180" t="s">
        <v>13</v>
      </c>
      <c r="D180" t="s">
        <v>20</v>
      </c>
      <c r="E180" t="s">
        <v>15</v>
      </c>
      <c r="F180">
        <v>139</v>
      </c>
      <c r="G180">
        <v>49</v>
      </c>
      <c r="H180">
        <v>34</v>
      </c>
      <c r="I180">
        <f t="shared" si="14"/>
        <v>154</v>
      </c>
      <c r="J180">
        <v>47</v>
      </c>
      <c r="K180">
        <v>4</v>
      </c>
      <c r="L180" t="str">
        <f t="shared" si="15"/>
        <v>Correct</v>
      </c>
      <c r="M180">
        <f t="shared" si="16"/>
        <v>72.340425531914903</v>
      </c>
      <c r="N180">
        <f t="shared" si="12"/>
        <v>34.515151515151516</v>
      </c>
      <c r="O180">
        <f t="shared" si="17"/>
        <v>4.4618086040386302</v>
      </c>
      <c r="P180" t="str">
        <f t="shared" si="13"/>
        <v>Low Stock</v>
      </c>
    </row>
    <row r="181" spans="1:16" hidden="1" x14ac:dyDescent="0.35">
      <c r="A181" s="4">
        <v>46148</v>
      </c>
      <c r="B181" t="s">
        <v>12</v>
      </c>
      <c r="C181" t="s">
        <v>13</v>
      </c>
      <c r="D181" t="s">
        <v>22</v>
      </c>
      <c r="E181" t="s">
        <v>15</v>
      </c>
      <c r="F181">
        <v>147</v>
      </c>
      <c r="G181">
        <v>10</v>
      </c>
      <c r="H181">
        <v>14</v>
      </c>
      <c r="I181">
        <f t="shared" si="14"/>
        <v>143</v>
      </c>
      <c r="J181">
        <v>14</v>
      </c>
      <c r="K181">
        <v>4</v>
      </c>
      <c r="L181" t="str">
        <f t="shared" si="15"/>
        <v>Correct</v>
      </c>
      <c r="M181">
        <f t="shared" si="16"/>
        <v>100</v>
      </c>
      <c r="N181">
        <f t="shared" si="12"/>
        <v>9.9032258064516121</v>
      </c>
      <c r="O181">
        <f t="shared" si="17"/>
        <v>14.439739413680783</v>
      </c>
      <c r="P181" t="str">
        <f t="shared" si="13"/>
        <v>Low Stock</v>
      </c>
    </row>
    <row r="182" spans="1:16" hidden="1" x14ac:dyDescent="0.35">
      <c r="A182" s="4">
        <v>46148</v>
      </c>
      <c r="B182" t="s">
        <v>12</v>
      </c>
      <c r="C182" t="s">
        <v>24</v>
      </c>
      <c r="D182" t="s">
        <v>14</v>
      </c>
      <c r="E182" t="s">
        <v>15</v>
      </c>
      <c r="F182">
        <v>192</v>
      </c>
      <c r="G182">
        <v>54</v>
      </c>
      <c r="H182">
        <v>22</v>
      </c>
      <c r="I182">
        <f t="shared" si="14"/>
        <v>224</v>
      </c>
      <c r="J182">
        <v>33</v>
      </c>
      <c r="K182">
        <v>2</v>
      </c>
      <c r="L182" t="str">
        <f t="shared" si="15"/>
        <v>Correct</v>
      </c>
      <c r="M182">
        <f t="shared" si="16"/>
        <v>66.666666666666657</v>
      </c>
      <c r="N182">
        <f t="shared" si="12"/>
        <v>21.35483870967742</v>
      </c>
      <c r="O182">
        <f t="shared" si="17"/>
        <v>10.489425981873111</v>
      </c>
      <c r="P182" t="str">
        <f t="shared" si="13"/>
        <v>Low Stock</v>
      </c>
    </row>
    <row r="183" spans="1:16" hidden="1" x14ac:dyDescent="0.35">
      <c r="A183" s="4">
        <v>46148</v>
      </c>
      <c r="B183" t="s">
        <v>12</v>
      </c>
      <c r="C183" t="s">
        <v>24</v>
      </c>
      <c r="D183" t="s">
        <v>16</v>
      </c>
      <c r="E183" t="s">
        <v>15</v>
      </c>
      <c r="F183">
        <v>234</v>
      </c>
      <c r="G183">
        <v>23</v>
      </c>
      <c r="H183">
        <v>33</v>
      </c>
      <c r="I183">
        <f t="shared" si="14"/>
        <v>224</v>
      </c>
      <c r="J183">
        <v>42</v>
      </c>
      <c r="K183">
        <v>3</v>
      </c>
      <c r="L183" t="str">
        <f t="shared" si="15"/>
        <v>Correct</v>
      </c>
      <c r="M183">
        <f t="shared" si="16"/>
        <v>78.571428571428569</v>
      </c>
      <c r="N183">
        <f t="shared" si="12"/>
        <v>21.9</v>
      </c>
      <c r="O183">
        <f t="shared" si="17"/>
        <v>10.228310502283106</v>
      </c>
      <c r="P183" t="str">
        <f t="shared" si="13"/>
        <v>Low Stock</v>
      </c>
    </row>
    <row r="184" spans="1:16" hidden="1" x14ac:dyDescent="0.35">
      <c r="A184" s="4">
        <v>46148</v>
      </c>
      <c r="B184" t="s">
        <v>12</v>
      </c>
      <c r="C184" t="s">
        <v>24</v>
      </c>
      <c r="D184" t="s">
        <v>18</v>
      </c>
      <c r="E184" t="s">
        <v>15</v>
      </c>
      <c r="F184">
        <v>113</v>
      </c>
      <c r="G184">
        <v>56</v>
      </c>
      <c r="H184">
        <v>26</v>
      </c>
      <c r="I184">
        <f t="shared" si="14"/>
        <v>143</v>
      </c>
      <c r="J184">
        <v>33</v>
      </c>
      <c r="K184">
        <v>5</v>
      </c>
      <c r="L184" t="str">
        <f t="shared" si="15"/>
        <v>Correct</v>
      </c>
      <c r="M184">
        <f t="shared" si="16"/>
        <v>78.787878787878782</v>
      </c>
      <c r="N184">
        <f t="shared" si="12"/>
        <v>31.586206896551722</v>
      </c>
      <c r="O184">
        <f t="shared" si="17"/>
        <v>4.5272925764192138</v>
      </c>
      <c r="P184" t="str">
        <f t="shared" si="13"/>
        <v>Low Stock</v>
      </c>
    </row>
    <row r="185" spans="1:16" hidden="1" x14ac:dyDescent="0.35">
      <c r="A185" s="4">
        <v>46148</v>
      </c>
      <c r="B185" t="s">
        <v>12</v>
      </c>
      <c r="C185" t="s">
        <v>24</v>
      </c>
      <c r="D185" t="s">
        <v>20</v>
      </c>
      <c r="E185" t="s">
        <v>15</v>
      </c>
      <c r="F185">
        <v>137</v>
      </c>
      <c r="G185">
        <v>19</v>
      </c>
      <c r="H185">
        <v>33</v>
      </c>
      <c r="I185">
        <f t="shared" si="14"/>
        <v>123</v>
      </c>
      <c r="J185">
        <v>33</v>
      </c>
      <c r="K185">
        <v>4</v>
      </c>
      <c r="L185" t="str">
        <f t="shared" si="15"/>
        <v>Correct</v>
      </c>
      <c r="M185">
        <f t="shared" si="16"/>
        <v>100</v>
      </c>
      <c r="N185">
        <f t="shared" si="12"/>
        <v>34.200000000000003</v>
      </c>
      <c r="O185">
        <f t="shared" si="17"/>
        <v>3.5964912280701751</v>
      </c>
      <c r="P185" t="str">
        <f t="shared" si="13"/>
        <v>Low Stock</v>
      </c>
    </row>
    <row r="186" spans="1:16" hidden="1" x14ac:dyDescent="0.35">
      <c r="A186" s="4">
        <v>46148</v>
      </c>
      <c r="B186" t="s">
        <v>12</v>
      </c>
      <c r="C186" t="s">
        <v>24</v>
      </c>
      <c r="D186" t="s">
        <v>22</v>
      </c>
      <c r="E186" t="s">
        <v>15</v>
      </c>
      <c r="F186">
        <v>218</v>
      </c>
      <c r="G186">
        <v>38</v>
      </c>
      <c r="H186">
        <v>5</v>
      </c>
      <c r="I186">
        <f t="shared" si="14"/>
        <v>251</v>
      </c>
      <c r="J186">
        <v>20</v>
      </c>
      <c r="K186">
        <v>1</v>
      </c>
      <c r="L186" t="str">
        <f t="shared" si="15"/>
        <v>Correct</v>
      </c>
      <c r="M186">
        <f t="shared" si="16"/>
        <v>25</v>
      </c>
      <c r="N186">
        <f t="shared" si="12"/>
        <v>10.96551724137931</v>
      </c>
      <c r="O186">
        <f t="shared" si="17"/>
        <v>22.889937106918239</v>
      </c>
      <c r="P186" t="str">
        <f t="shared" si="13"/>
        <v>Healthy</v>
      </c>
    </row>
    <row r="187" spans="1:16" hidden="1" x14ac:dyDescent="0.35">
      <c r="A187" s="4">
        <v>46148</v>
      </c>
      <c r="B187" t="s">
        <v>12</v>
      </c>
      <c r="C187" t="s">
        <v>25</v>
      </c>
      <c r="D187" t="s">
        <v>14</v>
      </c>
      <c r="E187" t="s">
        <v>15</v>
      </c>
      <c r="F187">
        <v>124</v>
      </c>
      <c r="G187">
        <v>33</v>
      </c>
      <c r="H187">
        <v>18</v>
      </c>
      <c r="I187">
        <f t="shared" si="14"/>
        <v>139</v>
      </c>
      <c r="J187">
        <v>31</v>
      </c>
      <c r="K187">
        <v>2</v>
      </c>
      <c r="L187" t="str">
        <f t="shared" si="15"/>
        <v>Correct</v>
      </c>
      <c r="M187">
        <f t="shared" si="16"/>
        <v>58.064516129032263</v>
      </c>
      <c r="N187">
        <f t="shared" si="12"/>
        <v>20.7</v>
      </c>
      <c r="O187">
        <f t="shared" si="17"/>
        <v>6.7149758454106285</v>
      </c>
      <c r="P187" t="str">
        <f t="shared" si="13"/>
        <v>Low Stock</v>
      </c>
    </row>
    <row r="188" spans="1:16" hidden="1" x14ac:dyDescent="0.35">
      <c r="A188" s="4">
        <v>46148</v>
      </c>
      <c r="B188" t="s">
        <v>12</v>
      </c>
      <c r="C188" t="s">
        <v>25</v>
      </c>
      <c r="D188" t="s">
        <v>16</v>
      </c>
      <c r="E188" t="s">
        <v>15</v>
      </c>
      <c r="F188">
        <v>158</v>
      </c>
      <c r="G188">
        <v>33</v>
      </c>
      <c r="H188">
        <v>24</v>
      </c>
      <c r="I188">
        <f t="shared" si="14"/>
        <v>167</v>
      </c>
      <c r="J188">
        <v>27</v>
      </c>
      <c r="K188">
        <v>1</v>
      </c>
      <c r="L188" t="str">
        <f t="shared" si="15"/>
        <v>Correct</v>
      </c>
      <c r="M188">
        <f t="shared" si="16"/>
        <v>88.888888888888886</v>
      </c>
      <c r="N188">
        <f t="shared" si="12"/>
        <v>23.758620689655171</v>
      </c>
      <c r="O188">
        <f t="shared" si="17"/>
        <v>7.0290275761973877</v>
      </c>
      <c r="P188" t="str">
        <f t="shared" si="13"/>
        <v>Low Stock</v>
      </c>
    </row>
    <row r="189" spans="1:16" hidden="1" x14ac:dyDescent="0.35">
      <c r="A189" s="4">
        <v>46148</v>
      </c>
      <c r="B189" t="s">
        <v>12</v>
      </c>
      <c r="C189" t="s">
        <v>25</v>
      </c>
      <c r="D189" t="s">
        <v>18</v>
      </c>
      <c r="E189" t="s">
        <v>15</v>
      </c>
      <c r="F189">
        <v>138</v>
      </c>
      <c r="G189">
        <v>46</v>
      </c>
      <c r="H189">
        <v>47</v>
      </c>
      <c r="I189">
        <f t="shared" si="14"/>
        <v>137</v>
      </c>
      <c r="J189">
        <v>50</v>
      </c>
      <c r="K189">
        <v>4</v>
      </c>
      <c r="L189" t="str">
        <f t="shared" si="15"/>
        <v>Correct</v>
      </c>
      <c r="M189">
        <f t="shared" si="16"/>
        <v>94</v>
      </c>
      <c r="N189">
        <f t="shared" si="12"/>
        <v>31.142857142857142</v>
      </c>
      <c r="O189">
        <f t="shared" si="17"/>
        <v>4.3990825688073398</v>
      </c>
      <c r="P189" t="str">
        <f t="shared" si="13"/>
        <v>Low Stock</v>
      </c>
    </row>
    <row r="190" spans="1:16" hidden="1" x14ac:dyDescent="0.35">
      <c r="A190" s="4">
        <v>46148</v>
      </c>
      <c r="B190" t="s">
        <v>12</v>
      </c>
      <c r="C190" t="s">
        <v>25</v>
      </c>
      <c r="D190" t="s">
        <v>20</v>
      </c>
      <c r="E190" t="s">
        <v>15</v>
      </c>
      <c r="F190">
        <v>206</v>
      </c>
      <c r="G190">
        <v>22</v>
      </c>
      <c r="H190">
        <v>36</v>
      </c>
      <c r="I190">
        <f t="shared" si="14"/>
        <v>192</v>
      </c>
      <c r="J190">
        <v>40</v>
      </c>
      <c r="K190">
        <v>4</v>
      </c>
      <c r="L190" t="str">
        <f t="shared" si="15"/>
        <v>Correct</v>
      </c>
      <c r="M190">
        <f t="shared" si="16"/>
        <v>90</v>
      </c>
      <c r="N190">
        <f t="shared" si="12"/>
        <v>31.137931034482758</v>
      </c>
      <c r="O190">
        <f t="shared" si="17"/>
        <v>6.1661129568106317</v>
      </c>
      <c r="P190" t="str">
        <f t="shared" si="13"/>
        <v>Low Stock</v>
      </c>
    </row>
    <row r="191" spans="1:16" hidden="1" x14ac:dyDescent="0.35">
      <c r="A191" s="4">
        <v>46148</v>
      </c>
      <c r="B191" t="s">
        <v>12</v>
      </c>
      <c r="C191" t="s">
        <v>25</v>
      </c>
      <c r="D191" t="s">
        <v>22</v>
      </c>
      <c r="E191" t="s">
        <v>15</v>
      </c>
      <c r="F191">
        <v>268</v>
      </c>
      <c r="G191">
        <v>16</v>
      </c>
      <c r="H191">
        <v>5</v>
      </c>
      <c r="I191">
        <f t="shared" si="14"/>
        <v>279</v>
      </c>
      <c r="J191">
        <v>18</v>
      </c>
      <c r="K191">
        <v>4</v>
      </c>
      <c r="L191" t="str">
        <f t="shared" si="15"/>
        <v>Correct</v>
      </c>
      <c r="M191">
        <f t="shared" si="16"/>
        <v>27.777777777777779</v>
      </c>
      <c r="N191">
        <f t="shared" si="12"/>
        <v>11.3</v>
      </c>
      <c r="O191">
        <f t="shared" si="17"/>
        <v>24.690265486725661</v>
      </c>
      <c r="P191" t="str">
        <f t="shared" si="13"/>
        <v>Healthy</v>
      </c>
    </row>
    <row r="192" spans="1:16" hidden="1" x14ac:dyDescent="0.35">
      <c r="A192" s="4">
        <v>46148</v>
      </c>
      <c r="B192" t="s">
        <v>26</v>
      </c>
      <c r="C192" t="s">
        <v>27</v>
      </c>
      <c r="D192" t="s">
        <v>14</v>
      </c>
      <c r="E192" t="s">
        <v>15</v>
      </c>
      <c r="F192">
        <v>219</v>
      </c>
      <c r="G192">
        <v>59</v>
      </c>
      <c r="H192">
        <v>29</v>
      </c>
      <c r="I192">
        <f t="shared" si="14"/>
        <v>249</v>
      </c>
      <c r="J192">
        <v>31</v>
      </c>
      <c r="K192">
        <v>2</v>
      </c>
      <c r="L192" t="str">
        <f t="shared" si="15"/>
        <v>Correct</v>
      </c>
      <c r="M192">
        <f t="shared" si="16"/>
        <v>93.548387096774192</v>
      </c>
      <c r="N192">
        <f t="shared" si="12"/>
        <v>22.258064516129032</v>
      </c>
      <c r="O192">
        <f t="shared" si="17"/>
        <v>11.18695652173913</v>
      </c>
      <c r="P192" t="str">
        <f t="shared" si="13"/>
        <v>Low Stock</v>
      </c>
    </row>
    <row r="193" spans="1:16" hidden="1" x14ac:dyDescent="0.35">
      <c r="A193" s="4">
        <v>46148</v>
      </c>
      <c r="B193" t="s">
        <v>26</v>
      </c>
      <c r="C193" t="s">
        <v>27</v>
      </c>
      <c r="D193" t="s">
        <v>16</v>
      </c>
      <c r="E193" t="s">
        <v>15</v>
      </c>
      <c r="F193">
        <v>114</v>
      </c>
      <c r="G193">
        <v>35</v>
      </c>
      <c r="H193">
        <v>29</v>
      </c>
      <c r="I193">
        <f t="shared" si="14"/>
        <v>120</v>
      </c>
      <c r="J193">
        <v>32</v>
      </c>
      <c r="K193">
        <v>4</v>
      </c>
      <c r="L193" t="str">
        <f t="shared" si="15"/>
        <v>Correct</v>
      </c>
      <c r="M193">
        <f t="shared" si="16"/>
        <v>90.625</v>
      </c>
      <c r="N193">
        <f t="shared" si="12"/>
        <v>20.172413793103448</v>
      </c>
      <c r="O193">
        <f t="shared" si="17"/>
        <v>5.9487179487179489</v>
      </c>
      <c r="P193" t="str">
        <f t="shared" si="13"/>
        <v>Low Stock</v>
      </c>
    </row>
    <row r="194" spans="1:16" hidden="1" x14ac:dyDescent="0.35">
      <c r="A194" s="4">
        <v>46148</v>
      </c>
      <c r="B194" t="s">
        <v>26</v>
      </c>
      <c r="C194" t="s">
        <v>27</v>
      </c>
      <c r="D194" t="s">
        <v>18</v>
      </c>
      <c r="E194" t="s">
        <v>15</v>
      </c>
      <c r="F194">
        <v>235</v>
      </c>
      <c r="G194">
        <v>22</v>
      </c>
      <c r="H194">
        <v>33</v>
      </c>
      <c r="I194">
        <f t="shared" si="14"/>
        <v>224</v>
      </c>
      <c r="J194">
        <v>46</v>
      </c>
      <c r="K194">
        <v>4</v>
      </c>
      <c r="L194" t="str">
        <f t="shared" si="15"/>
        <v>Correct</v>
      </c>
      <c r="M194">
        <f t="shared" si="16"/>
        <v>71.739130434782609</v>
      </c>
      <c r="N194">
        <f t="shared" ref="N194:N257" si="18">SUMIFS($H:$H,$B:$B,B194,$C:$C,C194,$D:$D,D194)/COUNTIFS($B:$B,B194,$C:$C,C194,$D:$D,D194)</f>
        <v>29.733333333333334</v>
      </c>
      <c r="O194">
        <f t="shared" si="17"/>
        <v>7.5336322869955152</v>
      </c>
      <c r="P194" t="str">
        <f t="shared" ref="P194:P257" si="19">IF(O194&lt;15,"Low Stock",IF(O194&lt;=30,"Healthy","Overstock"))</f>
        <v>Low Stock</v>
      </c>
    </row>
    <row r="195" spans="1:16" hidden="1" x14ac:dyDescent="0.35">
      <c r="A195" s="4">
        <v>46148</v>
      </c>
      <c r="B195" t="s">
        <v>26</v>
      </c>
      <c r="C195" t="s">
        <v>27</v>
      </c>
      <c r="D195" t="s">
        <v>20</v>
      </c>
      <c r="E195" t="s">
        <v>15</v>
      </c>
      <c r="F195">
        <v>227</v>
      </c>
      <c r="G195">
        <v>36</v>
      </c>
      <c r="H195">
        <v>24</v>
      </c>
      <c r="I195">
        <f t="shared" ref="I195:I258" si="20">F195+G195-H195</f>
        <v>239</v>
      </c>
      <c r="J195">
        <v>37</v>
      </c>
      <c r="K195">
        <v>1</v>
      </c>
      <c r="L195" t="str">
        <f t="shared" ref="L195:L258" si="21">IF(I195&lt;0,"Need verification","Correct")</f>
        <v>Correct</v>
      </c>
      <c r="M195">
        <f t="shared" ref="M195:M258" si="22">IF(J195=0,0,(H195/J195)*100)</f>
        <v>64.86486486486487</v>
      </c>
      <c r="N195">
        <f t="shared" si="18"/>
        <v>30.724137931034484</v>
      </c>
      <c r="O195">
        <f t="shared" ref="O195:O258" si="23">IFERROR(I195/N195,0)</f>
        <v>7.7789001122334449</v>
      </c>
      <c r="P195" t="str">
        <f t="shared" si="19"/>
        <v>Low Stock</v>
      </c>
    </row>
    <row r="196" spans="1:16" hidden="1" x14ac:dyDescent="0.35">
      <c r="A196" s="4">
        <v>46148</v>
      </c>
      <c r="B196" t="s">
        <v>26</v>
      </c>
      <c r="C196" t="s">
        <v>27</v>
      </c>
      <c r="D196" t="s">
        <v>22</v>
      </c>
      <c r="E196" t="s">
        <v>15</v>
      </c>
      <c r="F196">
        <v>184</v>
      </c>
      <c r="G196">
        <v>14</v>
      </c>
      <c r="H196">
        <v>16</v>
      </c>
      <c r="I196">
        <f t="shared" si="20"/>
        <v>182</v>
      </c>
      <c r="J196">
        <v>25</v>
      </c>
      <c r="K196">
        <v>5</v>
      </c>
      <c r="L196" t="str">
        <f t="shared" si="21"/>
        <v>Correct</v>
      </c>
      <c r="M196">
        <f t="shared" si="22"/>
        <v>64</v>
      </c>
      <c r="N196">
        <f t="shared" si="18"/>
        <v>11.566666666666666</v>
      </c>
      <c r="O196">
        <f t="shared" si="23"/>
        <v>15.734870317002882</v>
      </c>
      <c r="P196" t="str">
        <f t="shared" si="19"/>
        <v>Healthy</v>
      </c>
    </row>
    <row r="197" spans="1:16" hidden="1" x14ac:dyDescent="0.35">
      <c r="A197" s="4">
        <v>46148</v>
      </c>
      <c r="B197" t="s">
        <v>28</v>
      </c>
      <c r="C197" t="s">
        <v>29</v>
      </c>
      <c r="D197" t="s">
        <v>14</v>
      </c>
      <c r="E197" t="s">
        <v>15</v>
      </c>
      <c r="F197">
        <v>246</v>
      </c>
      <c r="G197">
        <v>12</v>
      </c>
      <c r="H197">
        <v>28</v>
      </c>
      <c r="I197">
        <f t="shared" si="20"/>
        <v>230</v>
      </c>
      <c r="J197">
        <v>34</v>
      </c>
      <c r="K197">
        <v>3</v>
      </c>
      <c r="L197" t="str">
        <f t="shared" si="21"/>
        <v>Correct</v>
      </c>
      <c r="M197">
        <f t="shared" si="22"/>
        <v>82.35294117647058</v>
      </c>
      <c r="N197">
        <f t="shared" si="18"/>
        <v>22.25</v>
      </c>
      <c r="O197">
        <f t="shared" si="23"/>
        <v>10.337078651685394</v>
      </c>
      <c r="P197" t="str">
        <f t="shared" si="19"/>
        <v>Low Stock</v>
      </c>
    </row>
    <row r="198" spans="1:16" hidden="1" x14ac:dyDescent="0.35">
      <c r="A198" s="4">
        <v>46148</v>
      </c>
      <c r="B198" t="s">
        <v>28</v>
      </c>
      <c r="C198" t="s">
        <v>29</v>
      </c>
      <c r="D198" t="s">
        <v>16</v>
      </c>
      <c r="E198" t="s">
        <v>15</v>
      </c>
      <c r="F198">
        <v>121</v>
      </c>
      <c r="G198">
        <v>19</v>
      </c>
      <c r="H198">
        <v>22</v>
      </c>
      <c r="I198">
        <f t="shared" si="20"/>
        <v>118</v>
      </c>
      <c r="J198">
        <v>25</v>
      </c>
      <c r="K198">
        <v>1</v>
      </c>
      <c r="L198" t="str">
        <f t="shared" si="21"/>
        <v>Correct</v>
      </c>
      <c r="M198">
        <f t="shared" si="22"/>
        <v>88</v>
      </c>
      <c r="N198">
        <f t="shared" si="18"/>
        <v>19.96551724137931</v>
      </c>
      <c r="O198">
        <f t="shared" si="23"/>
        <v>5.9101899827288431</v>
      </c>
      <c r="P198" t="str">
        <f t="shared" si="19"/>
        <v>Low Stock</v>
      </c>
    </row>
    <row r="199" spans="1:16" hidden="1" x14ac:dyDescent="0.35">
      <c r="A199" s="4">
        <v>46148</v>
      </c>
      <c r="B199" t="s">
        <v>28</v>
      </c>
      <c r="C199" t="s">
        <v>29</v>
      </c>
      <c r="D199" t="s">
        <v>18</v>
      </c>
      <c r="E199" t="s">
        <v>15</v>
      </c>
      <c r="F199">
        <v>86</v>
      </c>
      <c r="G199">
        <v>60</v>
      </c>
      <c r="H199">
        <v>39</v>
      </c>
      <c r="I199">
        <f t="shared" si="20"/>
        <v>107</v>
      </c>
      <c r="J199">
        <v>43</v>
      </c>
      <c r="K199">
        <v>3</v>
      </c>
      <c r="L199" t="str">
        <f t="shared" si="21"/>
        <v>Correct</v>
      </c>
      <c r="M199">
        <f t="shared" si="22"/>
        <v>90.697674418604649</v>
      </c>
      <c r="N199">
        <f t="shared" si="18"/>
        <v>31.206896551724139</v>
      </c>
      <c r="O199">
        <f t="shared" si="23"/>
        <v>3.4287292817679558</v>
      </c>
      <c r="P199" t="str">
        <f t="shared" si="19"/>
        <v>Low Stock</v>
      </c>
    </row>
    <row r="200" spans="1:16" hidden="1" x14ac:dyDescent="0.35">
      <c r="A200" s="4">
        <v>46148</v>
      </c>
      <c r="B200" t="s">
        <v>28</v>
      </c>
      <c r="C200" t="s">
        <v>29</v>
      </c>
      <c r="D200" t="s">
        <v>20</v>
      </c>
      <c r="E200" t="s">
        <v>15</v>
      </c>
      <c r="F200">
        <v>244</v>
      </c>
      <c r="G200">
        <v>10</v>
      </c>
      <c r="H200">
        <v>45</v>
      </c>
      <c r="I200">
        <f t="shared" si="20"/>
        <v>209</v>
      </c>
      <c r="J200">
        <v>48</v>
      </c>
      <c r="K200">
        <v>2</v>
      </c>
      <c r="L200" t="str">
        <f t="shared" si="21"/>
        <v>Correct</v>
      </c>
      <c r="M200">
        <f t="shared" si="22"/>
        <v>93.75</v>
      </c>
      <c r="N200">
        <f t="shared" si="18"/>
        <v>32.620689655172413</v>
      </c>
      <c r="O200">
        <f t="shared" si="23"/>
        <v>6.4069767441860463</v>
      </c>
      <c r="P200" t="str">
        <f t="shared" si="19"/>
        <v>Low Stock</v>
      </c>
    </row>
    <row r="201" spans="1:16" hidden="1" x14ac:dyDescent="0.35">
      <c r="A201" s="4">
        <v>46148</v>
      </c>
      <c r="B201" t="s">
        <v>28</v>
      </c>
      <c r="C201" t="s">
        <v>29</v>
      </c>
      <c r="D201" t="s">
        <v>22</v>
      </c>
      <c r="E201" t="s">
        <v>15</v>
      </c>
      <c r="F201">
        <v>275</v>
      </c>
      <c r="G201">
        <v>35</v>
      </c>
      <c r="H201">
        <v>17</v>
      </c>
      <c r="I201">
        <f t="shared" si="20"/>
        <v>293</v>
      </c>
      <c r="J201">
        <v>21</v>
      </c>
      <c r="K201">
        <v>4</v>
      </c>
      <c r="L201" t="str">
        <f t="shared" si="21"/>
        <v>Correct</v>
      </c>
      <c r="M201">
        <f t="shared" si="22"/>
        <v>80.952380952380949</v>
      </c>
      <c r="N201">
        <f t="shared" si="18"/>
        <v>11.678571428571429</v>
      </c>
      <c r="O201">
        <f t="shared" si="23"/>
        <v>25.088685015290519</v>
      </c>
      <c r="P201" t="str">
        <f t="shared" si="19"/>
        <v>Healthy</v>
      </c>
    </row>
    <row r="202" spans="1:16" hidden="1" x14ac:dyDescent="0.35">
      <c r="A202" s="4">
        <v>46148</v>
      </c>
      <c r="B202" t="s">
        <v>31</v>
      </c>
      <c r="C202" t="s">
        <v>32</v>
      </c>
      <c r="D202" t="s">
        <v>14</v>
      </c>
      <c r="E202" t="s">
        <v>15</v>
      </c>
      <c r="F202">
        <v>206</v>
      </c>
      <c r="G202">
        <v>18</v>
      </c>
      <c r="H202">
        <v>33</v>
      </c>
      <c r="I202">
        <f t="shared" si="20"/>
        <v>191</v>
      </c>
      <c r="J202">
        <v>36</v>
      </c>
      <c r="K202">
        <v>1</v>
      </c>
      <c r="L202" t="str">
        <f t="shared" si="21"/>
        <v>Correct</v>
      </c>
      <c r="M202">
        <f t="shared" si="22"/>
        <v>91.666666666666657</v>
      </c>
      <c r="N202">
        <f t="shared" si="18"/>
        <v>20.84375</v>
      </c>
      <c r="O202">
        <f t="shared" si="23"/>
        <v>9.1634182908545725</v>
      </c>
      <c r="P202" t="str">
        <f t="shared" si="19"/>
        <v>Low Stock</v>
      </c>
    </row>
    <row r="203" spans="1:16" hidden="1" x14ac:dyDescent="0.35">
      <c r="A203" s="4">
        <v>46148</v>
      </c>
      <c r="B203" t="s">
        <v>31</v>
      </c>
      <c r="C203" t="s">
        <v>32</v>
      </c>
      <c r="D203" t="s">
        <v>16</v>
      </c>
      <c r="E203" t="s">
        <v>15</v>
      </c>
      <c r="F203">
        <v>259</v>
      </c>
      <c r="G203">
        <v>5</v>
      </c>
      <c r="H203">
        <v>21</v>
      </c>
      <c r="I203">
        <f t="shared" si="20"/>
        <v>243</v>
      </c>
      <c r="J203">
        <v>34</v>
      </c>
      <c r="K203">
        <v>2</v>
      </c>
      <c r="L203" t="str">
        <f t="shared" si="21"/>
        <v>Correct</v>
      </c>
      <c r="M203">
        <f t="shared" si="22"/>
        <v>61.764705882352942</v>
      </c>
      <c r="N203">
        <f t="shared" si="18"/>
        <v>21.46875</v>
      </c>
      <c r="O203">
        <f t="shared" si="23"/>
        <v>11.318777292576419</v>
      </c>
      <c r="P203" t="str">
        <f t="shared" si="19"/>
        <v>Low Stock</v>
      </c>
    </row>
    <row r="204" spans="1:16" hidden="1" x14ac:dyDescent="0.35">
      <c r="A204" s="4">
        <v>46148</v>
      </c>
      <c r="B204" t="s">
        <v>31</v>
      </c>
      <c r="C204" t="s">
        <v>32</v>
      </c>
      <c r="D204" t="s">
        <v>18</v>
      </c>
      <c r="E204" t="s">
        <v>15</v>
      </c>
      <c r="F204">
        <v>124</v>
      </c>
      <c r="G204">
        <v>27</v>
      </c>
      <c r="H204">
        <v>38</v>
      </c>
      <c r="I204">
        <f t="shared" si="20"/>
        <v>113</v>
      </c>
      <c r="J204">
        <v>47</v>
      </c>
      <c r="K204">
        <v>2</v>
      </c>
      <c r="L204" t="str">
        <f t="shared" si="21"/>
        <v>Correct</v>
      </c>
      <c r="M204">
        <f t="shared" si="22"/>
        <v>80.851063829787222</v>
      </c>
      <c r="N204">
        <f t="shared" si="18"/>
        <v>30.586206896551722</v>
      </c>
      <c r="O204">
        <f t="shared" si="23"/>
        <v>3.6944757609921086</v>
      </c>
      <c r="P204" t="str">
        <f t="shared" si="19"/>
        <v>Low Stock</v>
      </c>
    </row>
    <row r="205" spans="1:16" hidden="1" x14ac:dyDescent="0.35">
      <c r="A205" s="4">
        <v>46148</v>
      </c>
      <c r="B205" t="s">
        <v>31</v>
      </c>
      <c r="C205" t="s">
        <v>32</v>
      </c>
      <c r="D205" t="s">
        <v>20</v>
      </c>
      <c r="E205" t="s">
        <v>15</v>
      </c>
      <c r="F205">
        <v>172</v>
      </c>
      <c r="G205">
        <v>10</v>
      </c>
      <c r="H205">
        <v>17</v>
      </c>
      <c r="I205">
        <f t="shared" si="20"/>
        <v>165</v>
      </c>
      <c r="J205">
        <v>21</v>
      </c>
      <c r="K205">
        <v>1</v>
      </c>
      <c r="L205" t="str">
        <f t="shared" si="21"/>
        <v>Correct</v>
      </c>
      <c r="M205">
        <f t="shared" si="22"/>
        <v>80.952380952380949</v>
      </c>
      <c r="N205">
        <f t="shared" si="18"/>
        <v>32.299999999999997</v>
      </c>
      <c r="O205">
        <f t="shared" si="23"/>
        <v>5.1083591331269353</v>
      </c>
      <c r="P205" t="str">
        <f t="shared" si="19"/>
        <v>Low Stock</v>
      </c>
    </row>
    <row r="206" spans="1:16" hidden="1" x14ac:dyDescent="0.35">
      <c r="A206" s="4">
        <v>46148</v>
      </c>
      <c r="B206" t="s">
        <v>31</v>
      </c>
      <c r="C206" t="s">
        <v>32</v>
      </c>
      <c r="D206" t="s">
        <v>22</v>
      </c>
      <c r="E206" t="s">
        <v>15</v>
      </c>
      <c r="F206">
        <v>313</v>
      </c>
      <c r="G206">
        <v>36</v>
      </c>
      <c r="H206">
        <v>18</v>
      </c>
      <c r="I206">
        <f t="shared" si="20"/>
        <v>331</v>
      </c>
      <c r="J206">
        <v>25</v>
      </c>
      <c r="K206">
        <v>2</v>
      </c>
      <c r="L206" t="str">
        <f t="shared" si="21"/>
        <v>Correct</v>
      </c>
      <c r="M206">
        <f t="shared" si="22"/>
        <v>72</v>
      </c>
      <c r="N206">
        <f t="shared" si="18"/>
        <v>10.413793103448276</v>
      </c>
      <c r="O206">
        <f t="shared" si="23"/>
        <v>31.784768211920529</v>
      </c>
      <c r="P206" t="str">
        <f t="shared" si="19"/>
        <v>Overstock</v>
      </c>
    </row>
    <row r="207" spans="1:16" hidden="1" x14ac:dyDescent="0.35">
      <c r="A207" s="4">
        <v>46148</v>
      </c>
      <c r="B207" t="s">
        <v>33</v>
      </c>
      <c r="C207" t="s">
        <v>34</v>
      </c>
      <c r="D207" t="s">
        <v>14</v>
      </c>
      <c r="E207" t="s">
        <v>15</v>
      </c>
      <c r="F207">
        <v>140</v>
      </c>
      <c r="G207">
        <v>38</v>
      </c>
      <c r="H207">
        <v>25</v>
      </c>
      <c r="I207">
        <f t="shared" si="20"/>
        <v>153</v>
      </c>
      <c r="J207">
        <v>31</v>
      </c>
      <c r="K207">
        <v>1</v>
      </c>
      <c r="L207" t="str">
        <f t="shared" si="21"/>
        <v>Correct</v>
      </c>
      <c r="M207">
        <f t="shared" si="22"/>
        <v>80.645161290322577</v>
      </c>
      <c r="N207">
        <f t="shared" si="18"/>
        <v>20.70967741935484</v>
      </c>
      <c r="O207">
        <f t="shared" si="23"/>
        <v>7.3878504672897192</v>
      </c>
      <c r="P207" t="str">
        <f t="shared" si="19"/>
        <v>Low Stock</v>
      </c>
    </row>
    <row r="208" spans="1:16" hidden="1" x14ac:dyDescent="0.35">
      <c r="A208" s="4">
        <v>46148</v>
      </c>
      <c r="B208" t="s">
        <v>33</v>
      </c>
      <c r="C208" t="s">
        <v>34</v>
      </c>
      <c r="D208" t="s">
        <v>16</v>
      </c>
      <c r="E208" t="s">
        <v>15</v>
      </c>
      <c r="F208">
        <v>125</v>
      </c>
      <c r="G208">
        <v>45</v>
      </c>
      <c r="H208">
        <v>25</v>
      </c>
      <c r="I208">
        <f t="shared" si="20"/>
        <v>145</v>
      </c>
      <c r="J208">
        <v>38</v>
      </c>
      <c r="K208">
        <v>5</v>
      </c>
      <c r="L208" t="str">
        <f t="shared" si="21"/>
        <v>Correct</v>
      </c>
      <c r="M208">
        <f t="shared" si="22"/>
        <v>65.789473684210535</v>
      </c>
      <c r="N208">
        <f t="shared" si="18"/>
        <v>22.142857142857142</v>
      </c>
      <c r="O208">
        <f t="shared" si="23"/>
        <v>6.5483870967741939</v>
      </c>
      <c r="P208" t="str">
        <f t="shared" si="19"/>
        <v>Low Stock</v>
      </c>
    </row>
    <row r="209" spans="1:16" hidden="1" x14ac:dyDescent="0.35">
      <c r="A209" s="4">
        <v>46148</v>
      </c>
      <c r="B209" t="s">
        <v>33</v>
      </c>
      <c r="C209" t="s">
        <v>34</v>
      </c>
      <c r="D209" t="s">
        <v>18</v>
      </c>
      <c r="E209" t="s">
        <v>15</v>
      </c>
      <c r="F209">
        <v>116</v>
      </c>
      <c r="G209">
        <v>12</v>
      </c>
      <c r="H209">
        <v>34</v>
      </c>
      <c r="I209">
        <f t="shared" si="20"/>
        <v>94</v>
      </c>
      <c r="J209">
        <v>43</v>
      </c>
      <c r="K209">
        <v>1</v>
      </c>
      <c r="L209" t="str">
        <f t="shared" si="21"/>
        <v>Correct</v>
      </c>
      <c r="M209">
        <f t="shared" si="22"/>
        <v>79.069767441860463</v>
      </c>
      <c r="N209">
        <f t="shared" si="18"/>
        <v>30.275862068965516</v>
      </c>
      <c r="O209">
        <f t="shared" si="23"/>
        <v>3.1047835990888384</v>
      </c>
      <c r="P209" t="str">
        <f t="shared" si="19"/>
        <v>Low Stock</v>
      </c>
    </row>
    <row r="210" spans="1:16" hidden="1" x14ac:dyDescent="0.35">
      <c r="A210" s="4">
        <v>46148</v>
      </c>
      <c r="B210" t="s">
        <v>33</v>
      </c>
      <c r="C210" t="s">
        <v>34</v>
      </c>
      <c r="D210" t="s">
        <v>20</v>
      </c>
      <c r="E210" t="s">
        <v>15</v>
      </c>
      <c r="F210">
        <v>278</v>
      </c>
      <c r="G210">
        <v>40</v>
      </c>
      <c r="H210">
        <v>39</v>
      </c>
      <c r="I210">
        <f t="shared" si="20"/>
        <v>279</v>
      </c>
      <c r="J210">
        <v>50</v>
      </c>
      <c r="K210">
        <v>5</v>
      </c>
      <c r="L210" t="str">
        <f t="shared" si="21"/>
        <v>Correct</v>
      </c>
      <c r="M210">
        <f t="shared" si="22"/>
        <v>78</v>
      </c>
      <c r="N210">
        <f t="shared" si="18"/>
        <v>30.931034482758619</v>
      </c>
      <c r="O210">
        <f t="shared" si="23"/>
        <v>9.0200668896321066</v>
      </c>
      <c r="P210" t="str">
        <f t="shared" si="19"/>
        <v>Low Stock</v>
      </c>
    </row>
    <row r="211" spans="1:16" hidden="1" x14ac:dyDescent="0.35">
      <c r="A211" s="4">
        <v>46148</v>
      </c>
      <c r="B211" t="s">
        <v>33</v>
      </c>
      <c r="C211" t="s">
        <v>34</v>
      </c>
      <c r="D211" t="s">
        <v>22</v>
      </c>
      <c r="E211" t="s">
        <v>15</v>
      </c>
      <c r="F211">
        <v>289</v>
      </c>
      <c r="G211">
        <v>4</v>
      </c>
      <c r="H211">
        <v>15</v>
      </c>
      <c r="I211">
        <f t="shared" si="20"/>
        <v>278</v>
      </c>
      <c r="J211">
        <v>25</v>
      </c>
      <c r="K211">
        <v>3</v>
      </c>
      <c r="L211" t="str">
        <f t="shared" si="21"/>
        <v>Correct</v>
      </c>
      <c r="M211">
        <f t="shared" si="22"/>
        <v>60</v>
      </c>
      <c r="N211">
        <f t="shared" si="18"/>
        <v>10.25</v>
      </c>
      <c r="O211">
        <f t="shared" si="23"/>
        <v>27.121951219512194</v>
      </c>
      <c r="P211" t="str">
        <f t="shared" si="19"/>
        <v>Healthy</v>
      </c>
    </row>
    <row r="212" spans="1:16" hidden="1" x14ac:dyDescent="0.35">
      <c r="A212" s="4">
        <v>46149</v>
      </c>
      <c r="B212" t="s">
        <v>12</v>
      </c>
      <c r="C212" t="s">
        <v>13</v>
      </c>
      <c r="D212" t="s">
        <v>14</v>
      </c>
      <c r="E212" t="s">
        <v>15</v>
      </c>
      <c r="F212">
        <v>280</v>
      </c>
      <c r="G212">
        <v>31</v>
      </c>
      <c r="H212">
        <v>13</v>
      </c>
      <c r="I212">
        <f t="shared" si="20"/>
        <v>298</v>
      </c>
      <c r="J212">
        <v>20</v>
      </c>
      <c r="K212">
        <v>2</v>
      </c>
      <c r="L212" t="str">
        <f t="shared" si="21"/>
        <v>Correct</v>
      </c>
      <c r="M212">
        <f t="shared" si="22"/>
        <v>65</v>
      </c>
      <c r="N212">
        <f t="shared" si="18"/>
        <v>21.666666666666668</v>
      </c>
      <c r="O212">
        <f t="shared" si="23"/>
        <v>13.753846153846153</v>
      </c>
      <c r="P212" t="str">
        <f t="shared" si="19"/>
        <v>Low Stock</v>
      </c>
    </row>
    <row r="213" spans="1:16" hidden="1" x14ac:dyDescent="0.35">
      <c r="A213" s="4">
        <v>46149</v>
      </c>
      <c r="B213" t="s">
        <v>12</v>
      </c>
      <c r="C213" t="s">
        <v>13</v>
      </c>
      <c r="D213" t="s">
        <v>16</v>
      </c>
      <c r="E213" t="s">
        <v>15</v>
      </c>
      <c r="F213">
        <v>242</v>
      </c>
      <c r="G213">
        <v>2</v>
      </c>
      <c r="H213">
        <v>21</v>
      </c>
      <c r="I213">
        <f t="shared" si="20"/>
        <v>223</v>
      </c>
      <c r="J213">
        <v>24</v>
      </c>
      <c r="K213">
        <v>2</v>
      </c>
      <c r="L213" t="str">
        <f t="shared" si="21"/>
        <v>Correct</v>
      </c>
      <c r="M213">
        <f t="shared" si="22"/>
        <v>87.5</v>
      </c>
      <c r="N213">
        <f t="shared" si="18"/>
        <v>20.030303030303031</v>
      </c>
      <c r="O213">
        <f t="shared" si="23"/>
        <v>11.133131618759455</v>
      </c>
      <c r="P213" t="str">
        <f t="shared" si="19"/>
        <v>Low Stock</v>
      </c>
    </row>
    <row r="214" spans="1:16" hidden="1" x14ac:dyDescent="0.35">
      <c r="A214" s="4">
        <v>46149</v>
      </c>
      <c r="B214" t="s">
        <v>12</v>
      </c>
      <c r="C214" t="s">
        <v>13</v>
      </c>
      <c r="D214" t="s">
        <v>18</v>
      </c>
      <c r="E214" t="s">
        <v>15</v>
      </c>
      <c r="F214">
        <v>202</v>
      </c>
      <c r="G214">
        <v>1</v>
      </c>
      <c r="H214">
        <v>39</v>
      </c>
      <c r="I214">
        <f t="shared" si="20"/>
        <v>164</v>
      </c>
      <c r="J214">
        <v>53</v>
      </c>
      <c r="K214">
        <v>2</v>
      </c>
      <c r="L214" t="str">
        <f t="shared" si="21"/>
        <v>Correct</v>
      </c>
      <c r="M214">
        <f t="shared" si="22"/>
        <v>73.584905660377359</v>
      </c>
      <c r="N214">
        <f t="shared" si="18"/>
        <v>33.34375</v>
      </c>
      <c r="O214">
        <f t="shared" si="23"/>
        <v>4.9184629803186501</v>
      </c>
      <c r="P214" t="str">
        <f t="shared" si="19"/>
        <v>Low Stock</v>
      </c>
    </row>
    <row r="215" spans="1:16" hidden="1" x14ac:dyDescent="0.35">
      <c r="A215" s="4">
        <v>46149</v>
      </c>
      <c r="B215" t="s">
        <v>12</v>
      </c>
      <c r="C215" t="s">
        <v>13</v>
      </c>
      <c r="D215" t="s">
        <v>20</v>
      </c>
      <c r="E215" t="s">
        <v>15</v>
      </c>
      <c r="F215">
        <v>154</v>
      </c>
      <c r="G215">
        <v>4</v>
      </c>
      <c r="H215">
        <v>30</v>
      </c>
      <c r="I215">
        <f t="shared" si="20"/>
        <v>128</v>
      </c>
      <c r="J215">
        <v>45</v>
      </c>
      <c r="K215">
        <v>3</v>
      </c>
      <c r="L215" t="str">
        <f t="shared" si="21"/>
        <v>Correct</v>
      </c>
      <c r="M215">
        <f t="shared" si="22"/>
        <v>66.666666666666657</v>
      </c>
      <c r="N215">
        <f t="shared" si="18"/>
        <v>34.515151515151516</v>
      </c>
      <c r="O215">
        <f t="shared" si="23"/>
        <v>3.7085162423178226</v>
      </c>
      <c r="P215" t="str">
        <f t="shared" si="19"/>
        <v>Low Stock</v>
      </c>
    </row>
    <row r="216" spans="1:16" hidden="1" x14ac:dyDescent="0.35">
      <c r="A216" s="4">
        <v>46149</v>
      </c>
      <c r="B216" t="s">
        <v>12</v>
      </c>
      <c r="C216" t="s">
        <v>13</v>
      </c>
      <c r="D216" t="s">
        <v>22</v>
      </c>
      <c r="E216" t="s">
        <v>15</v>
      </c>
      <c r="F216">
        <v>143</v>
      </c>
      <c r="G216">
        <v>30</v>
      </c>
      <c r="H216">
        <v>15</v>
      </c>
      <c r="I216">
        <f t="shared" si="20"/>
        <v>158</v>
      </c>
      <c r="J216">
        <v>17</v>
      </c>
      <c r="K216">
        <v>2</v>
      </c>
      <c r="L216" t="str">
        <f t="shared" si="21"/>
        <v>Correct</v>
      </c>
      <c r="M216">
        <f t="shared" si="22"/>
        <v>88.235294117647058</v>
      </c>
      <c r="N216">
        <f t="shared" si="18"/>
        <v>9.9032258064516121</v>
      </c>
      <c r="O216">
        <f t="shared" si="23"/>
        <v>15.954397394136809</v>
      </c>
      <c r="P216" t="str">
        <f t="shared" si="19"/>
        <v>Healthy</v>
      </c>
    </row>
    <row r="217" spans="1:16" hidden="1" x14ac:dyDescent="0.35">
      <c r="A217" s="4">
        <v>46149</v>
      </c>
      <c r="B217" t="s">
        <v>12</v>
      </c>
      <c r="C217" t="s">
        <v>24</v>
      </c>
      <c r="D217" t="s">
        <v>14</v>
      </c>
      <c r="E217" t="s">
        <v>15</v>
      </c>
      <c r="F217">
        <v>224</v>
      </c>
      <c r="G217">
        <v>15</v>
      </c>
      <c r="H217">
        <v>23</v>
      </c>
      <c r="I217">
        <f t="shared" si="20"/>
        <v>216</v>
      </c>
      <c r="J217">
        <v>37</v>
      </c>
      <c r="K217">
        <v>3</v>
      </c>
      <c r="L217" t="str">
        <f t="shared" si="21"/>
        <v>Correct</v>
      </c>
      <c r="M217">
        <f t="shared" si="22"/>
        <v>62.162162162162161</v>
      </c>
      <c r="N217">
        <f t="shared" si="18"/>
        <v>21.35483870967742</v>
      </c>
      <c r="O217">
        <f t="shared" si="23"/>
        <v>10.114803625377643</v>
      </c>
      <c r="P217" t="str">
        <f t="shared" si="19"/>
        <v>Low Stock</v>
      </c>
    </row>
    <row r="218" spans="1:16" hidden="1" x14ac:dyDescent="0.35">
      <c r="A218" s="4">
        <v>46149</v>
      </c>
      <c r="B218" t="s">
        <v>12</v>
      </c>
      <c r="C218" t="s">
        <v>24</v>
      </c>
      <c r="D218" t="s">
        <v>16</v>
      </c>
      <c r="E218" t="s">
        <v>15</v>
      </c>
      <c r="F218">
        <v>224</v>
      </c>
      <c r="G218">
        <v>4</v>
      </c>
      <c r="H218">
        <v>21</v>
      </c>
      <c r="I218">
        <f t="shared" si="20"/>
        <v>207</v>
      </c>
      <c r="J218">
        <v>25</v>
      </c>
      <c r="K218">
        <v>4</v>
      </c>
      <c r="L218" t="str">
        <f t="shared" si="21"/>
        <v>Correct</v>
      </c>
      <c r="M218">
        <f t="shared" si="22"/>
        <v>84</v>
      </c>
      <c r="N218">
        <f t="shared" si="18"/>
        <v>21.9</v>
      </c>
      <c r="O218">
        <f t="shared" si="23"/>
        <v>9.4520547945205493</v>
      </c>
      <c r="P218" t="str">
        <f t="shared" si="19"/>
        <v>Low Stock</v>
      </c>
    </row>
    <row r="219" spans="1:16" hidden="1" x14ac:dyDescent="0.35">
      <c r="A219" s="4">
        <v>46149</v>
      </c>
      <c r="B219" t="s">
        <v>12</v>
      </c>
      <c r="C219" t="s">
        <v>24</v>
      </c>
      <c r="D219" t="s">
        <v>18</v>
      </c>
      <c r="E219" t="s">
        <v>15</v>
      </c>
      <c r="F219">
        <v>143</v>
      </c>
      <c r="G219">
        <v>5</v>
      </c>
      <c r="H219">
        <v>41</v>
      </c>
      <c r="I219">
        <f t="shared" si="20"/>
        <v>107</v>
      </c>
      <c r="J219">
        <v>45</v>
      </c>
      <c r="K219">
        <v>2</v>
      </c>
      <c r="L219" t="str">
        <f t="shared" si="21"/>
        <v>Correct</v>
      </c>
      <c r="M219">
        <f t="shared" si="22"/>
        <v>91.111111111111114</v>
      </c>
      <c r="N219">
        <f t="shared" si="18"/>
        <v>31.586206896551722</v>
      </c>
      <c r="O219">
        <f t="shared" si="23"/>
        <v>3.3875545851528388</v>
      </c>
      <c r="P219" t="str">
        <f t="shared" si="19"/>
        <v>Low Stock</v>
      </c>
    </row>
    <row r="220" spans="1:16" hidden="1" x14ac:dyDescent="0.35">
      <c r="A220" s="4">
        <v>46149</v>
      </c>
      <c r="B220" t="s">
        <v>12</v>
      </c>
      <c r="C220" t="s">
        <v>24</v>
      </c>
      <c r="D220" t="s">
        <v>20</v>
      </c>
      <c r="E220" t="s">
        <v>15</v>
      </c>
      <c r="F220">
        <v>123</v>
      </c>
      <c r="G220">
        <v>32</v>
      </c>
      <c r="H220">
        <v>27</v>
      </c>
      <c r="I220">
        <f t="shared" si="20"/>
        <v>128</v>
      </c>
      <c r="J220">
        <v>28</v>
      </c>
      <c r="K220">
        <v>4</v>
      </c>
      <c r="L220" t="str">
        <f t="shared" si="21"/>
        <v>Correct</v>
      </c>
      <c r="M220">
        <f t="shared" si="22"/>
        <v>96.428571428571431</v>
      </c>
      <c r="N220">
        <f t="shared" si="18"/>
        <v>34.200000000000003</v>
      </c>
      <c r="O220">
        <f t="shared" si="23"/>
        <v>3.742690058479532</v>
      </c>
      <c r="P220" t="str">
        <f t="shared" si="19"/>
        <v>Low Stock</v>
      </c>
    </row>
    <row r="221" spans="1:16" hidden="1" x14ac:dyDescent="0.35">
      <c r="A221" s="4">
        <v>46149</v>
      </c>
      <c r="B221" t="s">
        <v>12</v>
      </c>
      <c r="C221" t="s">
        <v>24</v>
      </c>
      <c r="D221" t="s">
        <v>22</v>
      </c>
      <c r="E221" t="s">
        <v>15</v>
      </c>
      <c r="F221">
        <v>251</v>
      </c>
      <c r="G221">
        <v>25</v>
      </c>
      <c r="H221">
        <v>18</v>
      </c>
      <c r="I221">
        <f t="shared" si="20"/>
        <v>258</v>
      </c>
      <c r="J221">
        <v>33</v>
      </c>
      <c r="K221">
        <v>5</v>
      </c>
      <c r="L221" t="str">
        <f t="shared" si="21"/>
        <v>Correct</v>
      </c>
      <c r="M221">
        <f t="shared" si="22"/>
        <v>54.54545454545454</v>
      </c>
      <c r="N221">
        <f t="shared" si="18"/>
        <v>10.96551724137931</v>
      </c>
      <c r="O221">
        <f t="shared" si="23"/>
        <v>23.528301886792455</v>
      </c>
      <c r="P221" t="str">
        <f t="shared" si="19"/>
        <v>Healthy</v>
      </c>
    </row>
    <row r="222" spans="1:16" hidden="1" x14ac:dyDescent="0.35">
      <c r="A222" s="4">
        <v>46149</v>
      </c>
      <c r="B222" t="s">
        <v>12</v>
      </c>
      <c r="C222" t="s">
        <v>25</v>
      </c>
      <c r="D222" t="s">
        <v>14</v>
      </c>
      <c r="E222" t="s">
        <v>15</v>
      </c>
      <c r="F222">
        <v>139</v>
      </c>
      <c r="G222">
        <v>46</v>
      </c>
      <c r="H222">
        <v>13</v>
      </c>
      <c r="I222">
        <f t="shared" si="20"/>
        <v>172</v>
      </c>
      <c r="J222">
        <v>26</v>
      </c>
      <c r="K222">
        <v>4</v>
      </c>
      <c r="L222" t="str">
        <f t="shared" si="21"/>
        <v>Correct</v>
      </c>
      <c r="M222">
        <f t="shared" si="22"/>
        <v>50</v>
      </c>
      <c r="N222">
        <f t="shared" si="18"/>
        <v>20.7</v>
      </c>
      <c r="O222">
        <f t="shared" si="23"/>
        <v>8.3091787439613523</v>
      </c>
      <c r="P222" t="str">
        <f t="shared" si="19"/>
        <v>Low Stock</v>
      </c>
    </row>
    <row r="223" spans="1:16" hidden="1" x14ac:dyDescent="0.35">
      <c r="A223" s="4">
        <v>46149</v>
      </c>
      <c r="B223" t="s">
        <v>12</v>
      </c>
      <c r="C223" t="s">
        <v>25</v>
      </c>
      <c r="D223" t="s">
        <v>16</v>
      </c>
      <c r="E223" t="s">
        <v>17</v>
      </c>
      <c r="F223">
        <v>167</v>
      </c>
      <c r="G223">
        <v>17</v>
      </c>
      <c r="H223">
        <v>32</v>
      </c>
      <c r="I223">
        <f t="shared" si="20"/>
        <v>152</v>
      </c>
      <c r="J223">
        <v>44</v>
      </c>
      <c r="K223">
        <v>5</v>
      </c>
      <c r="L223" t="str">
        <f t="shared" si="21"/>
        <v>Correct</v>
      </c>
      <c r="M223">
        <f t="shared" si="22"/>
        <v>72.727272727272734</v>
      </c>
      <c r="N223">
        <f t="shared" si="18"/>
        <v>23.758620689655171</v>
      </c>
      <c r="O223">
        <f t="shared" si="23"/>
        <v>6.3976777939042098</v>
      </c>
      <c r="P223" t="str">
        <f t="shared" si="19"/>
        <v>Low Stock</v>
      </c>
    </row>
    <row r="224" spans="1:16" x14ac:dyDescent="0.35">
      <c r="A224" s="4">
        <v>46149</v>
      </c>
      <c r="B224" t="s">
        <v>12</v>
      </c>
      <c r="C224" t="s">
        <v>25</v>
      </c>
      <c r="D224" t="s">
        <v>18</v>
      </c>
      <c r="E224" t="s">
        <v>19</v>
      </c>
      <c r="F224">
        <v>137</v>
      </c>
      <c r="G224">
        <v>31</v>
      </c>
      <c r="H224">
        <v>22</v>
      </c>
      <c r="I224">
        <f t="shared" si="20"/>
        <v>146</v>
      </c>
      <c r="J224">
        <v>33</v>
      </c>
      <c r="K224">
        <v>5</v>
      </c>
      <c r="L224" t="str">
        <f t="shared" si="21"/>
        <v>Correct</v>
      </c>
      <c r="M224">
        <f t="shared" si="22"/>
        <v>66.666666666666657</v>
      </c>
      <c r="N224">
        <f t="shared" si="18"/>
        <v>31.142857142857142</v>
      </c>
      <c r="O224">
        <f t="shared" si="23"/>
        <v>4.6880733944954125</v>
      </c>
      <c r="P224" t="str">
        <f t="shared" si="19"/>
        <v>Low Stock</v>
      </c>
    </row>
    <row r="225" spans="1:16" hidden="1" x14ac:dyDescent="0.35">
      <c r="A225" s="4">
        <v>46149</v>
      </c>
      <c r="B225" t="s">
        <v>12</v>
      </c>
      <c r="C225" t="s">
        <v>25</v>
      </c>
      <c r="D225" t="s">
        <v>20</v>
      </c>
      <c r="E225" t="s">
        <v>21</v>
      </c>
      <c r="F225">
        <v>192</v>
      </c>
      <c r="G225">
        <v>24</v>
      </c>
      <c r="H225">
        <v>48</v>
      </c>
      <c r="I225">
        <f t="shared" si="20"/>
        <v>168</v>
      </c>
      <c r="J225">
        <v>52</v>
      </c>
      <c r="K225">
        <v>1</v>
      </c>
      <c r="L225" t="str">
        <f t="shared" si="21"/>
        <v>Correct</v>
      </c>
      <c r="M225">
        <f t="shared" si="22"/>
        <v>92.307692307692307</v>
      </c>
      <c r="N225">
        <f t="shared" si="18"/>
        <v>31.137931034482758</v>
      </c>
      <c r="O225">
        <f t="shared" si="23"/>
        <v>5.3953488372093021</v>
      </c>
      <c r="P225" t="str">
        <f t="shared" si="19"/>
        <v>Low Stock</v>
      </c>
    </row>
    <row r="226" spans="1:16" hidden="1" x14ac:dyDescent="0.35">
      <c r="A226" s="4">
        <v>46149</v>
      </c>
      <c r="B226" t="s">
        <v>12</v>
      </c>
      <c r="C226" t="s">
        <v>25</v>
      </c>
      <c r="D226" t="s">
        <v>22</v>
      </c>
      <c r="E226" t="s">
        <v>23</v>
      </c>
      <c r="F226">
        <v>279</v>
      </c>
      <c r="G226">
        <v>21</v>
      </c>
      <c r="H226">
        <v>5</v>
      </c>
      <c r="I226">
        <f t="shared" si="20"/>
        <v>295</v>
      </c>
      <c r="J226">
        <v>6</v>
      </c>
      <c r="K226">
        <v>2</v>
      </c>
      <c r="L226" t="str">
        <f t="shared" si="21"/>
        <v>Correct</v>
      </c>
      <c r="M226">
        <f t="shared" si="22"/>
        <v>83.333333333333343</v>
      </c>
      <c r="N226">
        <f t="shared" si="18"/>
        <v>11.3</v>
      </c>
      <c r="O226">
        <f t="shared" si="23"/>
        <v>26.106194690265486</v>
      </c>
      <c r="P226" t="str">
        <f t="shared" si="19"/>
        <v>Healthy</v>
      </c>
    </row>
    <row r="227" spans="1:16" hidden="1" x14ac:dyDescent="0.35">
      <c r="A227" s="4">
        <v>46149</v>
      </c>
      <c r="B227" t="s">
        <v>26</v>
      </c>
      <c r="C227" t="s">
        <v>27</v>
      </c>
      <c r="D227" t="s">
        <v>14</v>
      </c>
      <c r="E227" t="s">
        <v>15</v>
      </c>
      <c r="F227">
        <v>249</v>
      </c>
      <c r="G227">
        <v>17</v>
      </c>
      <c r="H227">
        <v>23</v>
      </c>
      <c r="I227">
        <f t="shared" si="20"/>
        <v>243</v>
      </c>
      <c r="J227">
        <v>30</v>
      </c>
      <c r="K227">
        <v>2</v>
      </c>
      <c r="L227" t="str">
        <f t="shared" si="21"/>
        <v>Correct</v>
      </c>
      <c r="M227">
        <f t="shared" si="22"/>
        <v>76.666666666666671</v>
      </c>
      <c r="N227">
        <f t="shared" si="18"/>
        <v>22.258064516129032</v>
      </c>
      <c r="O227">
        <f t="shared" si="23"/>
        <v>10.917391304347825</v>
      </c>
      <c r="P227" t="str">
        <f t="shared" si="19"/>
        <v>Low Stock</v>
      </c>
    </row>
    <row r="228" spans="1:16" hidden="1" x14ac:dyDescent="0.35">
      <c r="A228" s="4">
        <v>46149</v>
      </c>
      <c r="B228" t="s">
        <v>26</v>
      </c>
      <c r="C228" t="s">
        <v>27</v>
      </c>
      <c r="D228" t="s">
        <v>16</v>
      </c>
      <c r="E228" t="s">
        <v>17</v>
      </c>
      <c r="F228">
        <v>120</v>
      </c>
      <c r="G228">
        <v>46</v>
      </c>
      <c r="H228">
        <v>15</v>
      </c>
      <c r="I228">
        <f t="shared" si="20"/>
        <v>151</v>
      </c>
      <c r="J228">
        <v>25</v>
      </c>
      <c r="K228">
        <v>5</v>
      </c>
      <c r="L228" t="str">
        <f t="shared" si="21"/>
        <v>Correct</v>
      </c>
      <c r="M228">
        <f t="shared" si="22"/>
        <v>60</v>
      </c>
      <c r="N228">
        <f t="shared" si="18"/>
        <v>20.172413793103448</v>
      </c>
      <c r="O228">
        <f t="shared" si="23"/>
        <v>7.4854700854700855</v>
      </c>
      <c r="P228" t="str">
        <f t="shared" si="19"/>
        <v>Low Stock</v>
      </c>
    </row>
    <row r="229" spans="1:16" x14ac:dyDescent="0.35">
      <c r="A229" s="4">
        <v>46149</v>
      </c>
      <c r="B229" t="s">
        <v>26</v>
      </c>
      <c r="C229" t="s">
        <v>27</v>
      </c>
      <c r="D229" t="s">
        <v>18</v>
      </c>
      <c r="E229" t="s">
        <v>19</v>
      </c>
      <c r="F229">
        <v>224</v>
      </c>
      <c r="G229">
        <v>3</v>
      </c>
      <c r="H229">
        <v>49</v>
      </c>
      <c r="I229">
        <f t="shared" si="20"/>
        <v>178</v>
      </c>
      <c r="J229">
        <v>53</v>
      </c>
      <c r="K229">
        <v>1</v>
      </c>
      <c r="L229" t="str">
        <f t="shared" si="21"/>
        <v>Correct</v>
      </c>
      <c r="M229">
        <f t="shared" si="22"/>
        <v>92.452830188679243</v>
      </c>
      <c r="N229">
        <f t="shared" si="18"/>
        <v>29.733333333333334</v>
      </c>
      <c r="O229">
        <f t="shared" si="23"/>
        <v>5.9865470852017939</v>
      </c>
      <c r="P229" t="str">
        <f t="shared" si="19"/>
        <v>Low Stock</v>
      </c>
    </row>
    <row r="230" spans="1:16" hidden="1" x14ac:dyDescent="0.35">
      <c r="A230" s="4">
        <v>46149</v>
      </c>
      <c r="B230" t="s">
        <v>26</v>
      </c>
      <c r="C230" t="s">
        <v>27</v>
      </c>
      <c r="D230" t="s">
        <v>20</v>
      </c>
      <c r="E230" t="s">
        <v>21</v>
      </c>
      <c r="F230">
        <v>239</v>
      </c>
      <c r="G230">
        <v>27</v>
      </c>
      <c r="H230">
        <v>34</v>
      </c>
      <c r="I230">
        <f t="shared" si="20"/>
        <v>232</v>
      </c>
      <c r="J230">
        <v>34</v>
      </c>
      <c r="K230">
        <v>3</v>
      </c>
      <c r="L230" t="str">
        <f t="shared" si="21"/>
        <v>Correct</v>
      </c>
      <c r="M230">
        <f t="shared" si="22"/>
        <v>100</v>
      </c>
      <c r="N230">
        <f t="shared" si="18"/>
        <v>30.724137931034484</v>
      </c>
      <c r="O230">
        <f t="shared" si="23"/>
        <v>7.5510662177328838</v>
      </c>
      <c r="P230" t="str">
        <f t="shared" si="19"/>
        <v>Low Stock</v>
      </c>
    </row>
    <row r="231" spans="1:16" hidden="1" x14ac:dyDescent="0.35">
      <c r="A231" s="4">
        <v>46149</v>
      </c>
      <c r="B231" t="s">
        <v>26</v>
      </c>
      <c r="C231" t="s">
        <v>27</v>
      </c>
      <c r="D231" t="s">
        <v>22</v>
      </c>
      <c r="E231" t="s">
        <v>23</v>
      </c>
      <c r="F231">
        <v>182</v>
      </c>
      <c r="G231">
        <v>34</v>
      </c>
      <c r="H231">
        <v>6</v>
      </c>
      <c r="I231">
        <f t="shared" si="20"/>
        <v>210</v>
      </c>
      <c r="J231">
        <v>13</v>
      </c>
      <c r="K231">
        <v>3</v>
      </c>
      <c r="L231" t="str">
        <f t="shared" si="21"/>
        <v>Correct</v>
      </c>
      <c r="M231">
        <f t="shared" si="22"/>
        <v>46.153846153846153</v>
      </c>
      <c r="N231">
        <f t="shared" si="18"/>
        <v>11.566666666666666</v>
      </c>
      <c r="O231">
        <f t="shared" si="23"/>
        <v>18.155619596541786</v>
      </c>
      <c r="P231" t="str">
        <f t="shared" si="19"/>
        <v>Healthy</v>
      </c>
    </row>
    <row r="232" spans="1:16" hidden="1" x14ac:dyDescent="0.35">
      <c r="A232" s="4">
        <v>46149</v>
      </c>
      <c r="B232" t="s">
        <v>28</v>
      </c>
      <c r="C232" t="s">
        <v>29</v>
      </c>
      <c r="D232" t="s">
        <v>14</v>
      </c>
      <c r="E232" t="s">
        <v>15</v>
      </c>
      <c r="F232">
        <v>230</v>
      </c>
      <c r="G232">
        <v>25</v>
      </c>
      <c r="H232">
        <v>30</v>
      </c>
      <c r="I232">
        <f t="shared" si="20"/>
        <v>225</v>
      </c>
      <c r="J232">
        <v>27</v>
      </c>
      <c r="K232">
        <v>5</v>
      </c>
      <c r="L232" t="str">
        <f t="shared" si="21"/>
        <v>Correct</v>
      </c>
      <c r="M232">
        <f t="shared" si="22"/>
        <v>111.11111111111111</v>
      </c>
      <c r="N232">
        <f t="shared" si="18"/>
        <v>22.25</v>
      </c>
      <c r="O232">
        <f t="shared" si="23"/>
        <v>10.112359550561798</v>
      </c>
      <c r="P232" t="str">
        <f t="shared" si="19"/>
        <v>Low Stock</v>
      </c>
    </row>
    <row r="233" spans="1:16" hidden="1" x14ac:dyDescent="0.35">
      <c r="A233" s="4">
        <v>46149</v>
      </c>
      <c r="B233" t="s">
        <v>28</v>
      </c>
      <c r="C233" t="s">
        <v>29</v>
      </c>
      <c r="D233" t="s">
        <v>16</v>
      </c>
      <c r="E233" t="s">
        <v>17</v>
      </c>
      <c r="F233">
        <v>118</v>
      </c>
      <c r="G233">
        <v>45</v>
      </c>
      <c r="H233">
        <v>12</v>
      </c>
      <c r="I233">
        <f t="shared" si="20"/>
        <v>151</v>
      </c>
      <c r="J233">
        <v>25</v>
      </c>
      <c r="K233">
        <v>2</v>
      </c>
      <c r="L233" t="str">
        <f t="shared" si="21"/>
        <v>Correct</v>
      </c>
      <c r="M233">
        <f t="shared" si="22"/>
        <v>48</v>
      </c>
      <c r="N233">
        <f t="shared" si="18"/>
        <v>19.96551724137931</v>
      </c>
      <c r="O233">
        <f t="shared" si="23"/>
        <v>7.5630397236614852</v>
      </c>
      <c r="P233" t="str">
        <f t="shared" si="19"/>
        <v>Low Stock</v>
      </c>
    </row>
    <row r="234" spans="1:16" x14ac:dyDescent="0.35">
      <c r="A234" s="4">
        <v>46149</v>
      </c>
      <c r="B234" t="s">
        <v>28</v>
      </c>
      <c r="C234" t="s">
        <v>29</v>
      </c>
      <c r="D234" t="s">
        <v>18</v>
      </c>
      <c r="E234" t="s">
        <v>19</v>
      </c>
      <c r="F234">
        <v>107</v>
      </c>
      <c r="G234">
        <v>33</v>
      </c>
      <c r="H234">
        <v>30</v>
      </c>
      <c r="I234">
        <f t="shared" si="20"/>
        <v>110</v>
      </c>
      <c r="J234">
        <v>36</v>
      </c>
      <c r="K234">
        <v>1</v>
      </c>
      <c r="L234" t="str">
        <f t="shared" si="21"/>
        <v>Correct</v>
      </c>
      <c r="M234">
        <f t="shared" si="22"/>
        <v>83.333333333333343</v>
      </c>
      <c r="N234">
        <f t="shared" si="18"/>
        <v>31.206896551724139</v>
      </c>
      <c r="O234">
        <f t="shared" si="23"/>
        <v>3.5248618784530388</v>
      </c>
      <c r="P234" t="str">
        <f t="shared" si="19"/>
        <v>Low Stock</v>
      </c>
    </row>
    <row r="235" spans="1:16" hidden="1" x14ac:dyDescent="0.35">
      <c r="A235" s="4">
        <v>46149</v>
      </c>
      <c r="B235" t="s">
        <v>28</v>
      </c>
      <c r="C235" t="s">
        <v>29</v>
      </c>
      <c r="D235" t="s">
        <v>20</v>
      </c>
      <c r="E235" t="s">
        <v>21</v>
      </c>
      <c r="F235">
        <v>209</v>
      </c>
      <c r="G235">
        <v>17</v>
      </c>
      <c r="H235">
        <v>35</v>
      </c>
      <c r="I235">
        <f t="shared" si="20"/>
        <v>191</v>
      </c>
      <c r="J235">
        <v>39</v>
      </c>
      <c r="K235">
        <v>1</v>
      </c>
      <c r="L235" t="str">
        <f t="shared" si="21"/>
        <v>Correct</v>
      </c>
      <c r="M235">
        <f t="shared" si="22"/>
        <v>89.743589743589752</v>
      </c>
      <c r="N235">
        <f t="shared" si="18"/>
        <v>32.620689655172413</v>
      </c>
      <c r="O235">
        <f t="shared" si="23"/>
        <v>5.8551797040169138</v>
      </c>
      <c r="P235" t="str">
        <f t="shared" si="19"/>
        <v>Low Stock</v>
      </c>
    </row>
    <row r="236" spans="1:16" hidden="1" x14ac:dyDescent="0.35">
      <c r="A236" s="4">
        <v>46149</v>
      </c>
      <c r="B236" t="s">
        <v>28</v>
      </c>
      <c r="C236" t="s">
        <v>29</v>
      </c>
      <c r="D236" t="s">
        <v>22</v>
      </c>
      <c r="E236" t="s">
        <v>23</v>
      </c>
      <c r="F236">
        <v>293</v>
      </c>
      <c r="G236">
        <v>50</v>
      </c>
      <c r="H236">
        <v>14</v>
      </c>
      <c r="I236">
        <f t="shared" si="20"/>
        <v>329</v>
      </c>
      <c r="J236">
        <v>0</v>
      </c>
      <c r="K236">
        <v>3</v>
      </c>
      <c r="L236" t="str">
        <f t="shared" si="21"/>
        <v>Correct</v>
      </c>
      <c r="M236">
        <f t="shared" si="22"/>
        <v>0</v>
      </c>
      <c r="N236">
        <f t="shared" si="18"/>
        <v>11.678571428571429</v>
      </c>
      <c r="O236">
        <f t="shared" si="23"/>
        <v>28.171253822629968</v>
      </c>
      <c r="P236" t="str">
        <f t="shared" si="19"/>
        <v>Healthy</v>
      </c>
    </row>
    <row r="237" spans="1:16" hidden="1" x14ac:dyDescent="0.35">
      <c r="A237" s="4">
        <v>46149</v>
      </c>
      <c r="B237" t="s">
        <v>31</v>
      </c>
      <c r="C237" t="s">
        <v>32</v>
      </c>
      <c r="D237" t="s">
        <v>14</v>
      </c>
      <c r="E237" t="s">
        <v>15</v>
      </c>
      <c r="F237">
        <v>191</v>
      </c>
      <c r="G237">
        <v>30</v>
      </c>
      <c r="H237">
        <v>23</v>
      </c>
      <c r="I237">
        <f t="shared" si="20"/>
        <v>198</v>
      </c>
      <c r="J237">
        <v>36</v>
      </c>
      <c r="K237">
        <v>5</v>
      </c>
      <c r="L237" t="str">
        <f t="shared" si="21"/>
        <v>Correct</v>
      </c>
      <c r="M237">
        <f t="shared" si="22"/>
        <v>63.888888888888886</v>
      </c>
      <c r="N237">
        <f t="shared" si="18"/>
        <v>20.84375</v>
      </c>
      <c r="O237">
        <f t="shared" si="23"/>
        <v>9.4992503748125934</v>
      </c>
      <c r="P237" t="str">
        <f t="shared" si="19"/>
        <v>Low Stock</v>
      </c>
    </row>
    <row r="238" spans="1:16" hidden="1" x14ac:dyDescent="0.35">
      <c r="A238" s="4">
        <v>46149</v>
      </c>
      <c r="B238" t="s">
        <v>31</v>
      </c>
      <c r="C238" t="s">
        <v>32</v>
      </c>
      <c r="D238" t="s">
        <v>16</v>
      </c>
      <c r="E238" t="s">
        <v>17</v>
      </c>
      <c r="F238">
        <v>243</v>
      </c>
      <c r="G238">
        <v>24</v>
      </c>
      <c r="H238">
        <v>27</v>
      </c>
      <c r="I238">
        <f t="shared" si="20"/>
        <v>240</v>
      </c>
      <c r="J238">
        <v>33</v>
      </c>
      <c r="K238">
        <v>4</v>
      </c>
      <c r="L238" t="str">
        <f t="shared" si="21"/>
        <v>Correct</v>
      </c>
      <c r="M238">
        <f t="shared" si="22"/>
        <v>81.818181818181827</v>
      </c>
      <c r="N238">
        <f t="shared" si="18"/>
        <v>21.46875</v>
      </c>
      <c r="O238">
        <f t="shared" si="23"/>
        <v>11.179039301310043</v>
      </c>
      <c r="P238" t="str">
        <f t="shared" si="19"/>
        <v>Low Stock</v>
      </c>
    </row>
    <row r="239" spans="1:16" x14ac:dyDescent="0.35">
      <c r="A239" s="4">
        <v>46149</v>
      </c>
      <c r="B239" t="s">
        <v>31</v>
      </c>
      <c r="C239" t="s">
        <v>32</v>
      </c>
      <c r="D239" t="s">
        <v>18</v>
      </c>
      <c r="E239" t="s">
        <v>19</v>
      </c>
      <c r="F239">
        <v>113</v>
      </c>
      <c r="G239">
        <v>28</v>
      </c>
      <c r="H239">
        <v>16</v>
      </c>
      <c r="I239">
        <f t="shared" si="20"/>
        <v>125</v>
      </c>
      <c r="J239">
        <v>27</v>
      </c>
      <c r="K239">
        <v>5</v>
      </c>
      <c r="L239" t="str">
        <f t="shared" si="21"/>
        <v>Correct</v>
      </c>
      <c r="M239">
        <f t="shared" si="22"/>
        <v>59.259259259259252</v>
      </c>
      <c r="N239">
        <f t="shared" si="18"/>
        <v>30.586206896551722</v>
      </c>
      <c r="O239">
        <f t="shared" si="23"/>
        <v>4.0868094701240141</v>
      </c>
      <c r="P239" t="str">
        <f t="shared" si="19"/>
        <v>Low Stock</v>
      </c>
    </row>
    <row r="240" spans="1:16" hidden="1" x14ac:dyDescent="0.35">
      <c r="A240" s="4">
        <v>46149</v>
      </c>
      <c r="B240" t="s">
        <v>31</v>
      </c>
      <c r="C240" t="s">
        <v>32</v>
      </c>
      <c r="D240" t="s">
        <v>20</v>
      </c>
      <c r="E240" t="s">
        <v>21</v>
      </c>
      <c r="F240">
        <v>165</v>
      </c>
      <c r="G240">
        <v>12</v>
      </c>
      <c r="H240">
        <v>22</v>
      </c>
      <c r="I240">
        <f t="shared" si="20"/>
        <v>155</v>
      </c>
      <c r="J240">
        <v>26</v>
      </c>
      <c r="K240">
        <v>3</v>
      </c>
      <c r="L240" t="str">
        <f t="shared" si="21"/>
        <v>Correct</v>
      </c>
      <c r="M240">
        <f t="shared" si="22"/>
        <v>84.615384615384613</v>
      </c>
      <c r="N240">
        <f t="shared" si="18"/>
        <v>32.299999999999997</v>
      </c>
      <c r="O240">
        <f t="shared" si="23"/>
        <v>4.7987616099071211</v>
      </c>
      <c r="P240" t="str">
        <f t="shared" si="19"/>
        <v>Low Stock</v>
      </c>
    </row>
    <row r="241" spans="1:16" hidden="1" x14ac:dyDescent="0.35">
      <c r="A241" s="4">
        <v>46149</v>
      </c>
      <c r="B241" t="s">
        <v>31</v>
      </c>
      <c r="C241" t="s">
        <v>32</v>
      </c>
      <c r="D241" t="s">
        <v>22</v>
      </c>
      <c r="E241" t="s">
        <v>23</v>
      </c>
      <c r="F241">
        <v>331</v>
      </c>
      <c r="G241">
        <v>7</v>
      </c>
      <c r="H241">
        <v>11</v>
      </c>
      <c r="I241">
        <f t="shared" si="20"/>
        <v>327</v>
      </c>
      <c r="J241">
        <v>20</v>
      </c>
      <c r="K241">
        <v>5</v>
      </c>
      <c r="L241" t="str">
        <f t="shared" si="21"/>
        <v>Correct</v>
      </c>
      <c r="M241">
        <f t="shared" si="22"/>
        <v>55.000000000000007</v>
      </c>
      <c r="N241">
        <f t="shared" si="18"/>
        <v>10.413793103448276</v>
      </c>
      <c r="O241">
        <f t="shared" si="23"/>
        <v>31.400662251655628</v>
      </c>
      <c r="P241" t="str">
        <f t="shared" si="19"/>
        <v>Overstock</v>
      </c>
    </row>
    <row r="242" spans="1:16" hidden="1" x14ac:dyDescent="0.35">
      <c r="A242" s="4">
        <v>46149</v>
      </c>
      <c r="B242" t="s">
        <v>33</v>
      </c>
      <c r="C242" t="s">
        <v>34</v>
      </c>
      <c r="D242" t="s">
        <v>14</v>
      </c>
      <c r="E242" t="s">
        <v>15</v>
      </c>
      <c r="F242">
        <v>153</v>
      </c>
      <c r="G242">
        <v>1</v>
      </c>
      <c r="H242">
        <v>29</v>
      </c>
      <c r="I242">
        <f t="shared" si="20"/>
        <v>125</v>
      </c>
      <c r="J242">
        <v>43</v>
      </c>
      <c r="K242">
        <v>2</v>
      </c>
      <c r="L242" t="str">
        <f t="shared" si="21"/>
        <v>Correct</v>
      </c>
      <c r="M242">
        <f t="shared" si="22"/>
        <v>67.441860465116278</v>
      </c>
      <c r="N242">
        <f t="shared" si="18"/>
        <v>20.70967741935484</v>
      </c>
      <c r="O242">
        <f t="shared" si="23"/>
        <v>6.0358255451713392</v>
      </c>
      <c r="P242" t="str">
        <f t="shared" si="19"/>
        <v>Low Stock</v>
      </c>
    </row>
    <row r="243" spans="1:16" hidden="1" x14ac:dyDescent="0.35">
      <c r="A243" s="4">
        <v>46149</v>
      </c>
      <c r="B243" t="s">
        <v>12</v>
      </c>
      <c r="C243" t="s">
        <v>13</v>
      </c>
      <c r="D243" t="s">
        <v>16</v>
      </c>
      <c r="E243" t="s">
        <v>17</v>
      </c>
      <c r="F243">
        <v>145</v>
      </c>
      <c r="G243">
        <v>49</v>
      </c>
      <c r="H243">
        <v>26</v>
      </c>
      <c r="I243">
        <f t="shared" si="20"/>
        <v>168</v>
      </c>
      <c r="J243">
        <v>31</v>
      </c>
      <c r="K243">
        <v>5</v>
      </c>
      <c r="L243" t="str">
        <f t="shared" si="21"/>
        <v>Correct</v>
      </c>
      <c r="M243">
        <f t="shared" si="22"/>
        <v>83.870967741935488</v>
      </c>
      <c r="N243">
        <f t="shared" si="18"/>
        <v>20.030303030303031</v>
      </c>
      <c r="O243">
        <f t="shared" si="23"/>
        <v>8.3872919818456886</v>
      </c>
      <c r="P243" t="str">
        <f t="shared" si="19"/>
        <v>Low Stock</v>
      </c>
    </row>
    <row r="244" spans="1:16" x14ac:dyDescent="0.35">
      <c r="A244" s="4">
        <v>46149</v>
      </c>
      <c r="B244" t="s">
        <v>33</v>
      </c>
      <c r="C244" t="s">
        <v>34</v>
      </c>
      <c r="D244" t="s">
        <v>18</v>
      </c>
      <c r="E244" t="s">
        <v>19</v>
      </c>
      <c r="F244">
        <v>94</v>
      </c>
      <c r="G244">
        <v>55</v>
      </c>
      <c r="H244">
        <v>44</v>
      </c>
      <c r="I244">
        <f t="shared" si="20"/>
        <v>105</v>
      </c>
      <c r="J244">
        <v>44</v>
      </c>
      <c r="K244">
        <v>3</v>
      </c>
      <c r="L244" t="str">
        <f t="shared" si="21"/>
        <v>Correct</v>
      </c>
      <c r="M244">
        <f t="shared" si="22"/>
        <v>100</v>
      </c>
      <c r="N244">
        <f t="shared" si="18"/>
        <v>30.275862068965516</v>
      </c>
      <c r="O244">
        <f t="shared" si="23"/>
        <v>3.4681093394077451</v>
      </c>
      <c r="P244" t="str">
        <f t="shared" si="19"/>
        <v>Low Stock</v>
      </c>
    </row>
    <row r="245" spans="1:16" hidden="1" x14ac:dyDescent="0.35">
      <c r="A245" s="4">
        <v>46149</v>
      </c>
      <c r="B245" t="s">
        <v>33</v>
      </c>
      <c r="C245" t="s">
        <v>34</v>
      </c>
      <c r="D245" t="s">
        <v>20</v>
      </c>
      <c r="E245" t="s">
        <v>21</v>
      </c>
      <c r="F245">
        <v>279</v>
      </c>
      <c r="G245">
        <v>7</v>
      </c>
      <c r="H245">
        <v>41</v>
      </c>
      <c r="I245">
        <f t="shared" si="20"/>
        <v>245</v>
      </c>
      <c r="J245">
        <v>55</v>
      </c>
      <c r="K245">
        <v>5</v>
      </c>
      <c r="L245" t="str">
        <f t="shared" si="21"/>
        <v>Correct</v>
      </c>
      <c r="M245">
        <f t="shared" si="22"/>
        <v>74.545454545454547</v>
      </c>
      <c r="N245">
        <f t="shared" si="18"/>
        <v>30.931034482758619</v>
      </c>
      <c r="O245">
        <f t="shared" si="23"/>
        <v>7.9208472686733558</v>
      </c>
      <c r="P245" t="str">
        <f t="shared" si="19"/>
        <v>Low Stock</v>
      </c>
    </row>
    <row r="246" spans="1:16" hidden="1" x14ac:dyDescent="0.35">
      <c r="A246" s="4">
        <v>46149</v>
      </c>
      <c r="B246" t="s">
        <v>33</v>
      </c>
      <c r="C246" t="s">
        <v>34</v>
      </c>
      <c r="D246" t="s">
        <v>22</v>
      </c>
      <c r="E246" t="s">
        <v>23</v>
      </c>
      <c r="F246">
        <v>278</v>
      </c>
      <c r="G246">
        <v>8</v>
      </c>
      <c r="H246">
        <v>6</v>
      </c>
      <c r="I246">
        <f t="shared" si="20"/>
        <v>280</v>
      </c>
      <c r="J246">
        <v>13</v>
      </c>
      <c r="K246">
        <v>4</v>
      </c>
      <c r="L246" t="str">
        <f t="shared" si="21"/>
        <v>Correct</v>
      </c>
      <c r="M246">
        <f t="shared" si="22"/>
        <v>46.153846153846153</v>
      </c>
      <c r="N246">
        <f t="shared" si="18"/>
        <v>10.25</v>
      </c>
      <c r="O246">
        <f t="shared" si="23"/>
        <v>27.317073170731707</v>
      </c>
      <c r="P246" t="str">
        <f t="shared" si="19"/>
        <v>Healthy</v>
      </c>
    </row>
    <row r="247" spans="1:16" hidden="1" x14ac:dyDescent="0.35">
      <c r="A247" s="4">
        <v>46150</v>
      </c>
      <c r="B247" t="s">
        <v>12</v>
      </c>
      <c r="C247" t="s">
        <v>13</v>
      </c>
      <c r="D247" t="s">
        <v>14</v>
      </c>
      <c r="E247" t="s">
        <v>15</v>
      </c>
      <c r="F247">
        <v>298</v>
      </c>
      <c r="G247">
        <v>51</v>
      </c>
      <c r="H247">
        <v>23</v>
      </c>
      <c r="I247">
        <f t="shared" si="20"/>
        <v>326</v>
      </c>
      <c r="J247">
        <v>25</v>
      </c>
      <c r="K247">
        <v>3</v>
      </c>
      <c r="L247" t="str">
        <f t="shared" si="21"/>
        <v>Correct</v>
      </c>
      <c r="M247">
        <f t="shared" si="22"/>
        <v>92</v>
      </c>
      <c r="N247">
        <f t="shared" si="18"/>
        <v>21.666666666666668</v>
      </c>
      <c r="O247">
        <f t="shared" si="23"/>
        <v>15.046153846153846</v>
      </c>
      <c r="P247" t="str">
        <f t="shared" si="19"/>
        <v>Healthy</v>
      </c>
    </row>
    <row r="248" spans="1:16" hidden="1" x14ac:dyDescent="0.35">
      <c r="A248" s="4">
        <v>46150</v>
      </c>
      <c r="B248" t="s">
        <v>12</v>
      </c>
      <c r="C248" t="s">
        <v>13</v>
      </c>
      <c r="D248" t="s">
        <v>16</v>
      </c>
      <c r="E248" t="s">
        <v>17</v>
      </c>
      <c r="F248">
        <v>223</v>
      </c>
      <c r="G248">
        <v>24</v>
      </c>
      <c r="H248">
        <v>29</v>
      </c>
      <c r="I248">
        <f t="shared" si="20"/>
        <v>218</v>
      </c>
      <c r="J248">
        <v>33</v>
      </c>
      <c r="K248">
        <v>5</v>
      </c>
      <c r="L248" t="str">
        <f t="shared" si="21"/>
        <v>Correct</v>
      </c>
      <c r="M248">
        <f t="shared" si="22"/>
        <v>87.878787878787875</v>
      </c>
      <c r="N248">
        <f t="shared" si="18"/>
        <v>20.030303030303031</v>
      </c>
      <c r="O248">
        <f t="shared" si="23"/>
        <v>10.883509833585476</v>
      </c>
      <c r="P248" t="str">
        <f t="shared" si="19"/>
        <v>Low Stock</v>
      </c>
    </row>
    <row r="249" spans="1:16" x14ac:dyDescent="0.35">
      <c r="A249" s="4">
        <v>46150</v>
      </c>
      <c r="B249" t="s">
        <v>12</v>
      </c>
      <c r="C249" t="s">
        <v>13</v>
      </c>
      <c r="D249" t="s">
        <v>18</v>
      </c>
      <c r="E249" t="s">
        <v>19</v>
      </c>
      <c r="F249">
        <v>164</v>
      </c>
      <c r="G249">
        <v>0</v>
      </c>
      <c r="H249">
        <v>39</v>
      </c>
      <c r="I249">
        <f t="shared" si="20"/>
        <v>125</v>
      </c>
      <c r="J249">
        <v>43</v>
      </c>
      <c r="K249">
        <v>4</v>
      </c>
      <c r="L249" t="str">
        <f t="shared" si="21"/>
        <v>Correct</v>
      </c>
      <c r="M249">
        <f t="shared" si="22"/>
        <v>90.697674418604649</v>
      </c>
      <c r="N249">
        <f t="shared" si="18"/>
        <v>33.34375</v>
      </c>
      <c r="O249">
        <f t="shared" si="23"/>
        <v>3.7488284910965324</v>
      </c>
      <c r="P249" t="str">
        <f t="shared" si="19"/>
        <v>Low Stock</v>
      </c>
    </row>
    <row r="250" spans="1:16" hidden="1" x14ac:dyDescent="0.35">
      <c r="A250" s="4">
        <v>46150</v>
      </c>
      <c r="B250" t="s">
        <v>12</v>
      </c>
      <c r="C250" t="s">
        <v>13</v>
      </c>
      <c r="D250" t="s">
        <v>20</v>
      </c>
      <c r="E250" t="s">
        <v>21</v>
      </c>
      <c r="F250">
        <v>128</v>
      </c>
      <c r="G250">
        <v>48</v>
      </c>
      <c r="H250">
        <v>35</v>
      </c>
      <c r="I250">
        <f t="shared" si="20"/>
        <v>141</v>
      </c>
      <c r="J250">
        <v>43</v>
      </c>
      <c r="K250">
        <v>5</v>
      </c>
      <c r="L250" t="str">
        <f t="shared" si="21"/>
        <v>Correct</v>
      </c>
      <c r="M250">
        <f t="shared" si="22"/>
        <v>81.395348837209298</v>
      </c>
      <c r="N250">
        <f t="shared" si="18"/>
        <v>34.515151515151516</v>
      </c>
      <c r="O250">
        <f t="shared" si="23"/>
        <v>4.0851624231782262</v>
      </c>
      <c r="P250" t="str">
        <f t="shared" si="19"/>
        <v>Low Stock</v>
      </c>
    </row>
    <row r="251" spans="1:16" hidden="1" x14ac:dyDescent="0.35">
      <c r="A251" s="4">
        <v>46150</v>
      </c>
      <c r="B251" t="s">
        <v>12</v>
      </c>
      <c r="C251" t="s">
        <v>13</v>
      </c>
      <c r="D251" t="s">
        <v>22</v>
      </c>
      <c r="E251" t="s">
        <v>23</v>
      </c>
      <c r="F251">
        <v>158</v>
      </c>
      <c r="G251">
        <v>14</v>
      </c>
      <c r="H251">
        <v>8</v>
      </c>
      <c r="I251">
        <f t="shared" si="20"/>
        <v>164</v>
      </c>
      <c r="J251">
        <v>20</v>
      </c>
      <c r="K251">
        <v>5</v>
      </c>
      <c r="L251" t="str">
        <f t="shared" si="21"/>
        <v>Correct</v>
      </c>
      <c r="M251">
        <f t="shared" si="22"/>
        <v>40</v>
      </c>
      <c r="N251">
        <f t="shared" si="18"/>
        <v>9.9032258064516121</v>
      </c>
      <c r="O251">
        <f t="shared" si="23"/>
        <v>16.56026058631922</v>
      </c>
      <c r="P251" t="str">
        <f t="shared" si="19"/>
        <v>Healthy</v>
      </c>
    </row>
    <row r="252" spans="1:16" hidden="1" x14ac:dyDescent="0.35">
      <c r="A252" s="4">
        <v>46150</v>
      </c>
      <c r="B252" t="s">
        <v>12</v>
      </c>
      <c r="C252" t="s">
        <v>24</v>
      </c>
      <c r="D252" t="s">
        <v>14</v>
      </c>
      <c r="E252" t="s">
        <v>15</v>
      </c>
      <c r="F252">
        <v>216</v>
      </c>
      <c r="G252">
        <v>21</v>
      </c>
      <c r="H252">
        <v>28</v>
      </c>
      <c r="I252">
        <f t="shared" si="20"/>
        <v>209</v>
      </c>
      <c r="J252">
        <v>34</v>
      </c>
      <c r="K252">
        <v>5</v>
      </c>
      <c r="L252" t="str">
        <f t="shared" si="21"/>
        <v>Correct</v>
      </c>
      <c r="M252">
        <f t="shared" si="22"/>
        <v>82.35294117647058</v>
      </c>
      <c r="N252">
        <f t="shared" si="18"/>
        <v>21.35483870967742</v>
      </c>
      <c r="O252">
        <f t="shared" si="23"/>
        <v>9.787009063444108</v>
      </c>
      <c r="P252" t="str">
        <f t="shared" si="19"/>
        <v>Low Stock</v>
      </c>
    </row>
    <row r="253" spans="1:16" hidden="1" x14ac:dyDescent="0.35">
      <c r="A253" s="4">
        <v>46150</v>
      </c>
      <c r="B253" t="s">
        <v>12</v>
      </c>
      <c r="C253" t="s">
        <v>24</v>
      </c>
      <c r="D253" t="s">
        <v>16</v>
      </c>
      <c r="E253" t="s">
        <v>17</v>
      </c>
      <c r="F253">
        <v>207</v>
      </c>
      <c r="G253">
        <v>17</v>
      </c>
      <c r="H253">
        <v>26</v>
      </c>
      <c r="I253">
        <f t="shared" si="20"/>
        <v>198</v>
      </c>
      <c r="J253">
        <v>36</v>
      </c>
      <c r="K253">
        <v>4</v>
      </c>
      <c r="L253" t="str">
        <f t="shared" si="21"/>
        <v>Correct</v>
      </c>
      <c r="M253">
        <f t="shared" si="22"/>
        <v>72.222222222222214</v>
      </c>
      <c r="N253">
        <f t="shared" si="18"/>
        <v>21.9</v>
      </c>
      <c r="O253">
        <f t="shared" si="23"/>
        <v>9.0410958904109595</v>
      </c>
      <c r="P253" t="str">
        <f t="shared" si="19"/>
        <v>Low Stock</v>
      </c>
    </row>
    <row r="254" spans="1:16" x14ac:dyDescent="0.35">
      <c r="A254" s="4">
        <v>46150</v>
      </c>
      <c r="B254" t="s">
        <v>12</v>
      </c>
      <c r="C254" t="s">
        <v>24</v>
      </c>
      <c r="D254" t="s">
        <v>18</v>
      </c>
      <c r="E254" t="s">
        <v>19</v>
      </c>
      <c r="F254">
        <v>107</v>
      </c>
      <c r="G254">
        <v>35</v>
      </c>
      <c r="H254">
        <v>45</v>
      </c>
      <c r="I254">
        <f t="shared" si="20"/>
        <v>97</v>
      </c>
      <c r="J254">
        <v>55</v>
      </c>
      <c r="K254">
        <v>3</v>
      </c>
      <c r="L254" t="str">
        <f t="shared" si="21"/>
        <v>Correct</v>
      </c>
      <c r="M254">
        <f t="shared" si="22"/>
        <v>81.818181818181827</v>
      </c>
      <c r="N254">
        <f t="shared" si="18"/>
        <v>31.586206896551722</v>
      </c>
      <c r="O254">
        <f t="shared" si="23"/>
        <v>3.0709606986899565</v>
      </c>
      <c r="P254" t="str">
        <f t="shared" si="19"/>
        <v>Low Stock</v>
      </c>
    </row>
    <row r="255" spans="1:16" hidden="1" x14ac:dyDescent="0.35">
      <c r="A255" s="4">
        <v>46150</v>
      </c>
      <c r="B255" t="s">
        <v>12</v>
      </c>
      <c r="C255" t="s">
        <v>24</v>
      </c>
      <c r="D255" t="s">
        <v>20</v>
      </c>
      <c r="E255" t="s">
        <v>21</v>
      </c>
      <c r="F255">
        <v>128</v>
      </c>
      <c r="G255">
        <v>55</v>
      </c>
      <c r="H255">
        <v>41</v>
      </c>
      <c r="I255">
        <f t="shared" si="20"/>
        <v>142</v>
      </c>
      <c r="J255">
        <v>55</v>
      </c>
      <c r="K255">
        <v>3</v>
      </c>
      <c r="L255" t="str">
        <f t="shared" si="21"/>
        <v>Correct</v>
      </c>
      <c r="M255">
        <f t="shared" si="22"/>
        <v>74.545454545454547</v>
      </c>
      <c r="N255">
        <f t="shared" si="18"/>
        <v>34.200000000000003</v>
      </c>
      <c r="O255">
        <f t="shared" si="23"/>
        <v>4.1520467836257309</v>
      </c>
      <c r="P255" t="str">
        <f t="shared" si="19"/>
        <v>Low Stock</v>
      </c>
    </row>
    <row r="256" spans="1:16" hidden="1" x14ac:dyDescent="0.35">
      <c r="A256" s="4">
        <v>46150</v>
      </c>
      <c r="B256" t="s">
        <v>12</v>
      </c>
      <c r="C256" t="s">
        <v>24</v>
      </c>
      <c r="D256" t="s">
        <v>22</v>
      </c>
      <c r="E256" t="s">
        <v>23</v>
      </c>
      <c r="F256">
        <v>258</v>
      </c>
      <c r="G256">
        <v>24</v>
      </c>
      <c r="H256">
        <v>15</v>
      </c>
      <c r="I256">
        <f t="shared" si="20"/>
        <v>267</v>
      </c>
      <c r="J256">
        <v>15</v>
      </c>
      <c r="K256">
        <v>3</v>
      </c>
      <c r="L256" t="str">
        <f t="shared" si="21"/>
        <v>Correct</v>
      </c>
      <c r="M256">
        <f t="shared" si="22"/>
        <v>100</v>
      </c>
      <c r="N256">
        <f t="shared" si="18"/>
        <v>10.96551724137931</v>
      </c>
      <c r="O256">
        <f t="shared" si="23"/>
        <v>24.349056603773587</v>
      </c>
      <c r="P256" t="str">
        <f t="shared" si="19"/>
        <v>Healthy</v>
      </c>
    </row>
    <row r="257" spans="1:16" hidden="1" x14ac:dyDescent="0.35">
      <c r="A257" s="4">
        <v>46150</v>
      </c>
      <c r="B257" t="s">
        <v>12</v>
      </c>
      <c r="C257" t="s">
        <v>25</v>
      </c>
      <c r="D257" t="s">
        <v>14</v>
      </c>
      <c r="E257" t="s">
        <v>15</v>
      </c>
      <c r="F257">
        <v>172</v>
      </c>
      <c r="G257">
        <v>33</v>
      </c>
      <c r="H257">
        <v>16</v>
      </c>
      <c r="I257">
        <f t="shared" si="20"/>
        <v>189</v>
      </c>
      <c r="J257">
        <v>21</v>
      </c>
      <c r="K257">
        <v>4</v>
      </c>
      <c r="L257" t="str">
        <f t="shared" si="21"/>
        <v>Correct</v>
      </c>
      <c r="M257">
        <f t="shared" si="22"/>
        <v>76.19047619047619</v>
      </c>
      <c r="N257">
        <f t="shared" si="18"/>
        <v>20.7</v>
      </c>
      <c r="O257">
        <f t="shared" si="23"/>
        <v>9.1304347826086953</v>
      </c>
      <c r="P257" t="str">
        <f t="shared" si="19"/>
        <v>Low Stock</v>
      </c>
    </row>
    <row r="258" spans="1:16" hidden="1" x14ac:dyDescent="0.35">
      <c r="A258" s="4">
        <v>46150</v>
      </c>
      <c r="B258" t="s">
        <v>12</v>
      </c>
      <c r="C258" t="s">
        <v>25</v>
      </c>
      <c r="D258" t="s">
        <v>16</v>
      </c>
      <c r="E258" t="s">
        <v>17</v>
      </c>
      <c r="F258">
        <v>152</v>
      </c>
      <c r="G258">
        <v>45</v>
      </c>
      <c r="H258">
        <v>35</v>
      </c>
      <c r="I258">
        <f t="shared" si="20"/>
        <v>162</v>
      </c>
      <c r="J258">
        <v>36</v>
      </c>
      <c r="K258">
        <v>2</v>
      </c>
      <c r="L258" t="str">
        <f t="shared" si="21"/>
        <v>Correct</v>
      </c>
      <c r="M258">
        <f t="shared" si="22"/>
        <v>97.222222222222214</v>
      </c>
      <c r="N258">
        <f t="shared" ref="N258:N321" si="24">SUMIFS($H:$H,$B:$B,B258,$C:$C,C258,$D:$D,D258)/COUNTIFS($B:$B,B258,$C:$C,C258,$D:$D,D258)</f>
        <v>23.758620689655171</v>
      </c>
      <c r="O258">
        <f t="shared" si="23"/>
        <v>6.8185776487663281</v>
      </c>
      <c r="P258" t="str">
        <f t="shared" ref="P258:P321" si="25">IF(O258&lt;15,"Low Stock",IF(O258&lt;=30,"Healthy","Overstock"))</f>
        <v>Low Stock</v>
      </c>
    </row>
    <row r="259" spans="1:16" x14ac:dyDescent="0.35">
      <c r="A259" s="4">
        <v>46150</v>
      </c>
      <c r="B259" t="s">
        <v>12</v>
      </c>
      <c r="C259" t="s">
        <v>25</v>
      </c>
      <c r="D259" t="s">
        <v>18</v>
      </c>
      <c r="E259" t="s">
        <v>19</v>
      </c>
      <c r="F259">
        <v>146</v>
      </c>
      <c r="G259">
        <v>58</v>
      </c>
      <c r="H259">
        <v>40</v>
      </c>
      <c r="I259">
        <f t="shared" ref="I259:I322" si="26">F259+G259-H259</f>
        <v>164</v>
      </c>
      <c r="J259">
        <v>53</v>
      </c>
      <c r="K259">
        <v>1</v>
      </c>
      <c r="L259" t="str">
        <f t="shared" ref="L259:L322" si="27">IF(I259&lt;0,"Need verification","Correct")</f>
        <v>Correct</v>
      </c>
      <c r="M259">
        <f t="shared" ref="M259:M322" si="28">IF(J259=0,0,(H259/J259)*100)</f>
        <v>75.471698113207552</v>
      </c>
      <c r="N259">
        <f t="shared" si="24"/>
        <v>31.142857142857142</v>
      </c>
      <c r="O259">
        <f t="shared" ref="O259:O322" si="29">IFERROR(I259/N259,0)</f>
        <v>5.2660550458715596</v>
      </c>
      <c r="P259" t="str">
        <f t="shared" si="25"/>
        <v>Low Stock</v>
      </c>
    </row>
    <row r="260" spans="1:16" hidden="1" x14ac:dyDescent="0.35">
      <c r="A260" s="4">
        <v>46150</v>
      </c>
      <c r="B260" t="s">
        <v>12</v>
      </c>
      <c r="C260" t="s">
        <v>25</v>
      </c>
      <c r="D260" t="s">
        <v>20</v>
      </c>
      <c r="E260" t="s">
        <v>21</v>
      </c>
      <c r="F260">
        <v>168</v>
      </c>
      <c r="G260">
        <v>5</v>
      </c>
      <c r="H260">
        <v>28</v>
      </c>
      <c r="I260">
        <f t="shared" si="26"/>
        <v>145</v>
      </c>
      <c r="J260">
        <v>37</v>
      </c>
      <c r="K260">
        <v>5</v>
      </c>
      <c r="L260" t="str">
        <f t="shared" si="27"/>
        <v>Correct</v>
      </c>
      <c r="M260">
        <f t="shared" si="28"/>
        <v>75.675675675675677</v>
      </c>
      <c r="N260">
        <f t="shared" si="24"/>
        <v>31.137931034482758</v>
      </c>
      <c r="O260">
        <f t="shared" si="29"/>
        <v>4.6566998892580287</v>
      </c>
      <c r="P260" t="str">
        <f t="shared" si="25"/>
        <v>Low Stock</v>
      </c>
    </row>
    <row r="261" spans="1:16" hidden="1" x14ac:dyDescent="0.35">
      <c r="A261" s="4">
        <v>46150</v>
      </c>
      <c r="B261" t="s">
        <v>12</v>
      </c>
      <c r="C261" t="s">
        <v>25</v>
      </c>
      <c r="D261" t="s">
        <v>22</v>
      </c>
      <c r="E261" t="s">
        <v>23</v>
      </c>
      <c r="F261">
        <v>295</v>
      </c>
      <c r="G261">
        <v>14</v>
      </c>
      <c r="H261">
        <v>17</v>
      </c>
      <c r="I261">
        <f t="shared" si="26"/>
        <v>292</v>
      </c>
      <c r="J261">
        <v>28</v>
      </c>
      <c r="K261">
        <v>2</v>
      </c>
      <c r="L261" t="str">
        <f t="shared" si="27"/>
        <v>Correct</v>
      </c>
      <c r="M261">
        <f t="shared" si="28"/>
        <v>60.714285714285708</v>
      </c>
      <c r="N261">
        <f t="shared" si="24"/>
        <v>11.3</v>
      </c>
      <c r="O261">
        <f t="shared" si="29"/>
        <v>25.840707964601769</v>
      </c>
      <c r="P261" t="str">
        <f t="shared" si="25"/>
        <v>Healthy</v>
      </c>
    </row>
    <row r="262" spans="1:16" hidden="1" x14ac:dyDescent="0.35">
      <c r="A262" s="4">
        <v>46150</v>
      </c>
      <c r="B262" t="s">
        <v>26</v>
      </c>
      <c r="C262" t="s">
        <v>27</v>
      </c>
      <c r="D262" t="s">
        <v>14</v>
      </c>
      <c r="E262" t="s">
        <v>15</v>
      </c>
      <c r="F262">
        <v>243</v>
      </c>
      <c r="G262">
        <v>34</v>
      </c>
      <c r="H262">
        <v>31</v>
      </c>
      <c r="I262">
        <f t="shared" si="26"/>
        <v>246</v>
      </c>
      <c r="J262">
        <v>32</v>
      </c>
      <c r="K262">
        <v>1</v>
      </c>
      <c r="L262" t="str">
        <f t="shared" si="27"/>
        <v>Correct</v>
      </c>
      <c r="M262">
        <f t="shared" si="28"/>
        <v>96.875</v>
      </c>
      <c r="N262">
        <f t="shared" si="24"/>
        <v>22.258064516129032</v>
      </c>
      <c r="O262">
        <f t="shared" si="29"/>
        <v>11.052173913043479</v>
      </c>
      <c r="P262" t="str">
        <f t="shared" si="25"/>
        <v>Low Stock</v>
      </c>
    </row>
    <row r="263" spans="1:16" hidden="1" x14ac:dyDescent="0.35">
      <c r="A263" s="4">
        <v>46150</v>
      </c>
      <c r="B263" t="s">
        <v>26</v>
      </c>
      <c r="C263" t="s">
        <v>27</v>
      </c>
      <c r="D263" t="s">
        <v>16</v>
      </c>
      <c r="E263" t="s">
        <v>17</v>
      </c>
      <c r="F263">
        <v>151</v>
      </c>
      <c r="G263">
        <v>38</v>
      </c>
      <c r="H263">
        <v>32</v>
      </c>
      <c r="I263">
        <f t="shared" si="26"/>
        <v>157</v>
      </c>
      <c r="J263">
        <v>35</v>
      </c>
      <c r="K263">
        <v>2</v>
      </c>
      <c r="L263" t="str">
        <f t="shared" si="27"/>
        <v>Correct</v>
      </c>
      <c r="M263">
        <f t="shared" si="28"/>
        <v>91.428571428571431</v>
      </c>
      <c r="N263">
        <f t="shared" si="24"/>
        <v>20.172413793103448</v>
      </c>
      <c r="O263">
        <f t="shared" si="29"/>
        <v>7.7829059829059828</v>
      </c>
      <c r="P263" t="str">
        <f t="shared" si="25"/>
        <v>Low Stock</v>
      </c>
    </row>
    <row r="264" spans="1:16" x14ac:dyDescent="0.35">
      <c r="A264" s="4">
        <v>46150</v>
      </c>
      <c r="B264" t="s">
        <v>26</v>
      </c>
      <c r="C264" t="s">
        <v>27</v>
      </c>
      <c r="D264" t="s">
        <v>18</v>
      </c>
      <c r="E264" t="s">
        <v>19</v>
      </c>
      <c r="F264">
        <v>178</v>
      </c>
      <c r="G264">
        <v>50</v>
      </c>
      <c r="H264">
        <v>44</v>
      </c>
      <c r="I264">
        <f t="shared" si="26"/>
        <v>184</v>
      </c>
      <c r="J264">
        <v>50</v>
      </c>
      <c r="K264">
        <v>3</v>
      </c>
      <c r="L264" t="str">
        <f t="shared" si="27"/>
        <v>Correct</v>
      </c>
      <c r="M264">
        <f t="shared" si="28"/>
        <v>88</v>
      </c>
      <c r="N264">
        <f t="shared" si="24"/>
        <v>29.733333333333334</v>
      </c>
      <c r="O264">
        <f t="shared" si="29"/>
        <v>6.188340807174888</v>
      </c>
      <c r="P264" t="str">
        <f t="shared" si="25"/>
        <v>Low Stock</v>
      </c>
    </row>
    <row r="265" spans="1:16" hidden="1" x14ac:dyDescent="0.35">
      <c r="A265" s="4">
        <v>46150</v>
      </c>
      <c r="B265" t="s">
        <v>26</v>
      </c>
      <c r="C265" t="s">
        <v>27</v>
      </c>
      <c r="D265" t="s">
        <v>20</v>
      </c>
      <c r="E265" t="s">
        <v>21</v>
      </c>
      <c r="F265">
        <v>232</v>
      </c>
      <c r="G265">
        <v>34</v>
      </c>
      <c r="H265">
        <v>29</v>
      </c>
      <c r="I265">
        <f t="shared" si="26"/>
        <v>237</v>
      </c>
      <c r="J265">
        <v>33</v>
      </c>
      <c r="K265">
        <v>4</v>
      </c>
      <c r="L265" t="str">
        <f t="shared" si="27"/>
        <v>Correct</v>
      </c>
      <c r="M265">
        <f t="shared" si="28"/>
        <v>87.878787878787875</v>
      </c>
      <c r="N265">
        <f t="shared" si="24"/>
        <v>30.724137931034484</v>
      </c>
      <c r="O265">
        <f t="shared" si="29"/>
        <v>7.7138047138047137</v>
      </c>
      <c r="P265" t="str">
        <f t="shared" si="25"/>
        <v>Low Stock</v>
      </c>
    </row>
    <row r="266" spans="1:16" hidden="1" x14ac:dyDescent="0.35">
      <c r="A266" s="4">
        <v>46150</v>
      </c>
      <c r="B266" t="s">
        <v>26</v>
      </c>
      <c r="C266" t="s">
        <v>27</v>
      </c>
      <c r="D266" t="s">
        <v>22</v>
      </c>
      <c r="E266" t="s">
        <v>23</v>
      </c>
      <c r="F266">
        <v>210</v>
      </c>
      <c r="G266">
        <v>3</v>
      </c>
      <c r="H266">
        <v>13</v>
      </c>
      <c r="I266">
        <f t="shared" si="26"/>
        <v>200</v>
      </c>
      <c r="J266">
        <v>26</v>
      </c>
      <c r="K266">
        <v>1</v>
      </c>
      <c r="L266" t="str">
        <f t="shared" si="27"/>
        <v>Correct</v>
      </c>
      <c r="M266">
        <f t="shared" si="28"/>
        <v>50</v>
      </c>
      <c r="N266">
        <f t="shared" si="24"/>
        <v>11.566666666666666</v>
      </c>
      <c r="O266">
        <f t="shared" si="29"/>
        <v>17.291066282420751</v>
      </c>
      <c r="P266" t="str">
        <f t="shared" si="25"/>
        <v>Healthy</v>
      </c>
    </row>
    <row r="267" spans="1:16" hidden="1" x14ac:dyDescent="0.35">
      <c r="A267" s="4">
        <v>46150</v>
      </c>
      <c r="B267" t="s">
        <v>28</v>
      </c>
      <c r="C267" t="s">
        <v>29</v>
      </c>
      <c r="D267" t="s">
        <v>14</v>
      </c>
      <c r="E267" t="s">
        <v>15</v>
      </c>
      <c r="F267">
        <v>232</v>
      </c>
      <c r="G267">
        <v>31</v>
      </c>
      <c r="H267">
        <v>34</v>
      </c>
      <c r="I267">
        <f t="shared" si="26"/>
        <v>229</v>
      </c>
      <c r="J267">
        <v>48</v>
      </c>
      <c r="K267">
        <v>2</v>
      </c>
      <c r="L267" t="str">
        <f t="shared" si="27"/>
        <v>Correct</v>
      </c>
      <c r="M267">
        <f t="shared" si="28"/>
        <v>70.833333333333343</v>
      </c>
      <c r="N267">
        <f t="shared" si="24"/>
        <v>22.25</v>
      </c>
      <c r="O267">
        <f t="shared" si="29"/>
        <v>10.292134831460674</v>
      </c>
      <c r="P267" t="str">
        <f t="shared" si="25"/>
        <v>Low Stock</v>
      </c>
    </row>
    <row r="268" spans="1:16" hidden="1" x14ac:dyDescent="0.35">
      <c r="A268" s="4">
        <v>46150</v>
      </c>
      <c r="B268" t="s">
        <v>28</v>
      </c>
      <c r="C268" t="s">
        <v>29</v>
      </c>
      <c r="D268" t="s">
        <v>16</v>
      </c>
      <c r="E268" t="s">
        <v>17</v>
      </c>
      <c r="F268">
        <v>151</v>
      </c>
      <c r="G268">
        <v>58</v>
      </c>
      <c r="H268">
        <v>22</v>
      </c>
      <c r="I268">
        <f t="shared" si="26"/>
        <v>187</v>
      </c>
      <c r="J268">
        <v>30</v>
      </c>
      <c r="K268">
        <v>3</v>
      </c>
      <c r="L268" t="str">
        <f t="shared" si="27"/>
        <v>Correct</v>
      </c>
      <c r="M268">
        <f t="shared" si="28"/>
        <v>73.333333333333329</v>
      </c>
      <c r="N268">
        <f t="shared" si="24"/>
        <v>19.96551724137931</v>
      </c>
      <c r="O268">
        <f t="shared" si="29"/>
        <v>9.3661485319516409</v>
      </c>
      <c r="P268" t="str">
        <f t="shared" si="25"/>
        <v>Low Stock</v>
      </c>
    </row>
    <row r="269" spans="1:16" x14ac:dyDescent="0.35">
      <c r="A269" s="4">
        <v>46150</v>
      </c>
      <c r="B269" t="s">
        <v>28</v>
      </c>
      <c r="C269" t="s">
        <v>29</v>
      </c>
      <c r="D269" t="s">
        <v>18</v>
      </c>
      <c r="E269" t="s">
        <v>19</v>
      </c>
      <c r="F269">
        <v>110</v>
      </c>
      <c r="G269">
        <v>43</v>
      </c>
      <c r="H269">
        <v>30</v>
      </c>
      <c r="I269">
        <f t="shared" si="26"/>
        <v>123</v>
      </c>
      <c r="J269">
        <v>42</v>
      </c>
      <c r="K269">
        <v>5</v>
      </c>
      <c r="L269" t="str">
        <f t="shared" si="27"/>
        <v>Correct</v>
      </c>
      <c r="M269">
        <f t="shared" si="28"/>
        <v>71.428571428571431</v>
      </c>
      <c r="N269">
        <f t="shared" si="24"/>
        <v>31.206896551724139</v>
      </c>
      <c r="O269">
        <f t="shared" si="29"/>
        <v>3.9414364640883979</v>
      </c>
      <c r="P269" t="str">
        <f t="shared" si="25"/>
        <v>Low Stock</v>
      </c>
    </row>
    <row r="270" spans="1:16" hidden="1" x14ac:dyDescent="0.35">
      <c r="A270" s="4">
        <v>46150</v>
      </c>
      <c r="B270" t="s">
        <v>28</v>
      </c>
      <c r="C270" t="s">
        <v>29</v>
      </c>
      <c r="D270" t="s">
        <v>20</v>
      </c>
      <c r="E270" t="s">
        <v>21</v>
      </c>
      <c r="F270">
        <v>191</v>
      </c>
      <c r="G270">
        <v>7</v>
      </c>
      <c r="H270">
        <v>36</v>
      </c>
      <c r="I270">
        <f t="shared" si="26"/>
        <v>162</v>
      </c>
      <c r="J270">
        <v>39</v>
      </c>
      <c r="K270">
        <v>1</v>
      </c>
      <c r="L270" t="str">
        <f t="shared" si="27"/>
        <v>Correct</v>
      </c>
      <c r="M270">
        <f t="shared" si="28"/>
        <v>92.307692307692307</v>
      </c>
      <c r="N270">
        <f t="shared" si="24"/>
        <v>32.620689655172413</v>
      </c>
      <c r="O270">
        <f t="shared" si="29"/>
        <v>4.9661733615221992</v>
      </c>
      <c r="P270" t="str">
        <f t="shared" si="25"/>
        <v>Low Stock</v>
      </c>
    </row>
    <row r="271" spans="1:16" hidden="1" x14ac:dyDescent="0.35">
      <c r="A271" s="4">
        <v>46150</v>
      </c>
      <c r="B271" t="s">
        <v>28</v>
      </c>
      <c r="C271" t="s">
        <v>29</v>
      </c>
      <c r="D271" t="s">
        <v>22</v>
      </c>
      <c r="E271" t="s">
        <v>23</v>
      </c>
      <c r="F271">
        <v>329</v>
      </c>
      <c r="G271">
        <v>8</v>
      </c>
      <c r="H271">
        <v>17</v>
      </c>
      <c r="I271">
        <f t="shared" si="26"/>
        <v>320</v>
      </c>
      <c r="J271">
        <v>31</v>
      </c>
      <c r="K271">
        <v>3</v>
      </c>
      <c r="L271" t="str">
        <f t="shared" si="27"/>
        <v>Correct</v>
      </c>
      <c r="M271">
        <f t="shared" si="28"/>
        <v>54.838709677419352</v>
      </c>
      <c r="N271">
        <f t="shared" si="24"/>
        <v>11.678571428571429</v>
      </c>
      <c r="O271">
        <f t="shared" si="29"/>
        <v>27.400611620795107</v>
      </c>
      <c r="P271" t="str">
        <f t="shared" si="25"/>
        <v>Healthy</v>
      </c>
    </row>
    <row r="272" spans="1:16" hidden="1" x14ac:dyDescent="0.35">
      <c r="A272" s="4">
        <v>46150</v>
      </c>
      <c r="B272" t="s">
        <v>31</v>
      </c>
      <c r="C272" t="s">
        <v>32</v>
      </c>
      <c r="D272" t="s">
        <v>14</v>
      </c>
      <c r="E272" t="s">
        <v>15</v>
      </c>
      <c r="F272">
        <v>198</v>
      </c>
      <c r="G272">
        <v>31</v>
      </c>
      <c r="H272">
        <v>16</v>
      </c>
      <c r="I272">
        <f t="shared" si="26"/>
        <v>213</v>
      </c>
      <c r="J272">
        <v>23</v>
      </c>
      <c r="K272">
        <v>3</v>
      </c>
      <c r="L272" t="str">
        <f t="shared" si="27"/>
        <v>Correct</v>
      </c>
      <c r="M272">
        <f t="shared" si="28"/>
        <v>69.565217391304344</v>
      </c>
      <c r="N272">
        <f t="shared" si="24"/>
        <v>20.84375</v>
      </c>
      <c r="O272">
        <f t="shared" si="29"/>
        <v>10.218890554722639</v>
      </c>
      <c r="P272" t="str">
        <f t="shared" si="25"/>
        <v>Low Stock</v>
      </c>
    </row>
    <row r="273" spans="1:16" hidden="1" x14ac:dyDescent="0.35">
      <c r="A273" s="4">
        <v>46150</v>
      </c>
      <c r="B273" t="s">
        <v>31</v>
      </c>
      <c r="C273" t="s">
        <v>32</v>
      </c>
      <c r="D273" t="s">
        <v>16</v>
      </c>
      <c r="E273" t="s">
        <v>17</v>
      </c>
      <c r="F273">
        <v>240</v>
      </c>
      <c r="G273">
        <v>41</v>
      </c>
      <c r="H273">
        <v>31</v>
      </c>
      <c r="I273">
        <f t="shared" si="26"/>
        <v>250</v>
      </c>
      <c r="J273">
        <v>45</v>
      </c>
      <c r="K273">
        <v>3</v>
      </c>
      <c r="L273" t="str">
        <f t="shared" si="27"/>
        <v>Correct</v>
      </c>
      <c r="M273">
        <f t="shared" si="28"/>
        <v>68.888888888888886</v>
      </c>
      <c r="N273">
        <f t="shared" si="24"/>
        <v>21.46875</v>
      </c>
      <c r="O273">
        <f t="shared" si="29"/>
        <v>11.644832605531295</v>
      </c>
      <c r="P273" t="str">
        <f t="shared" si="25"/>
        <v>Low Stock</v>
      </c>
    </row>
    <row r="274" spans="1:16" x14ac:dyDescent="0.35">
      <c r="A274" s="4">
        <v>46150</v>
      </c>
      <c r="B274" t="s">
        <v>31</v>
      </c>
      <c r="C274" t="s">
        <v>32</v>
      </c>
      <c r="D274" t="s">
        <v>18</v>
      </c>
      <c r="E274" t="s">
        <v>19</v>
      </c>
      <c r="F274">
        <v>125</v>
      </c>
      <c r="G274">
        <v>6</v>
      </c>
      <c r="H274">
        <v>49</v>
      </c>
      <c r="I274">
        <f t="shared" si="26"/>
        <v>82</v>
      </c>
      <c r="J274">
        <v>64</v>
      </c>
      <c r="K274">
        <v>5</v>
      </c>
      <c r="L274" t="str">
        <f t="shared" si="27"/>
        <v>Correct</v>
      </c>
      <c r="M274">
        <f t="shared" si="28"/>
        <v>76.5625</v>
      </c>
      <c r="N274">
        <f t="shared" si="24"/>
        <v>30.586206896551722</v>
      </c>
      <c r="O274">
        <f t="shared" si="29"/>
        <v>2.680947012401353</v>
      </c>
      <c r="P274" t="str">
        <f t="shared" si="25"/>
        <v>Low Stock</v>
      </c>
    </row>
    <row r="275" spans="1:16" hidden="1" x14ac:dyDescent="0.35">
      <c r="A275" s="4">
        <v>46150</v>
      </c>
      <c r="B275" t="s">
        <v>31</v>
      </c>
      <c r="C275" t="s">
        <v>32</v>
      </c>
      <c r="D275" t="s">
        <v>20</v>
      </c>
      <c r="E275" t="s">
        <v>21</v>
      </c>
      <c r="F275">
        <v>155</v>
      </c>
      <c r="G275">
        <v>21</v>
      </c>
      <c r="H275">
        <v>18</v>
      </c>
      <c r="I275">
        <f t="shared" si="26"/>
        <v>158</v>
      </c>
      <c r="J275">
        <v>31</v>
      </c>
      <c r="K275">
        <v>5</v>
      </c>
      <c r="L275" t="str">
        <f t="shared" si="27"/>
        <v>Correct</v>
      </c>
      <c r="M275">
        <f t="shared" si="28"/>
        <v>58.064516129032263</v>
      </c>
      <c r="N275">
        <f t="shared" si="24"/>
        <v>32.299999999999997</v>
      </c>
      <c r="O275">
        <f t="shared" si="29"/>
        <v>4.8916408668730655</v>
      </c>
      <c r="P275" t="str">
        <f t="shared" si="25"/>
        <v>Low Stock</v>
      </c>
    </row>
    <row r="276" spans="1:16" hidden="1" x14ac:dyDescent="0.35">
      <c r="A276" s="4">
        <v>46150</v>
      </c>
      <c r="B276" t="s">
        <v>31</v>
      </c>
      <c r="C276" t="s">
        <v>32</v>
      </c>
      <c r="D276" t="s">
        <v>22</v>
      </c>
      <c r="E276" t="s">
        <v>23</v>
      </c>
      <c r="F276">
        <v>327</v>
      </c>
      <c r="G276">
        <v>4</v>
      </c>
      <c r="H276">
        <v>4</v>
      </c>
      <c r="I276">
        <f t="shared" si="26"/>
        <v>327</v>
      </c>
      <c r="J276">
        <v>13</v>
      </c>
      <c r="K276">
        <v>2</v>
      </c>
      <c r="L276" t="str">
        <f t="shared" si="27"/>
        <v>Correct</v>
      </c>
      <c r="M276">
        <f t="shared" si="28"/>
        <v>30.76923076923077</v>
      </c>
      <c r="N276">
        <f t="shared" si="24"/>
        <v>10.413793103448276</v>
      </c>
      <c r="O276">
        <f t="shared" si="29"/>
        <v>31.400662251655628</v>
      </c>
      <c r="P276" t="str">
        <f t="shared" si="25"/>
        <v>Overstock</v>
      </c>
    </row>
    <row r="277" spans="1:16" hidden="1" x14ac:dyDescent="0.35">
      <c r="A277" s="4">
        <v>46150</v>
      </c>
      <c r="B277" t="s">
        <v>33</v>
      </c>
      <c r="C277" t="s">
        <v>34</v>
      </c>
      <c r="D277" t="s">
        <v>14</v>
      </c>
      <c r="E277" t="s">
        <v>15</v>
      </c>
      <c r="F277">
        <v>125</v>
      </c>
      <c r="G277">
        <v>20</v>
      </c>
      <c r="H277">
        <v>20</v>
      </c>
      <c r="I277">
        <f t="shared" si="26"/>
        <v>125</v>
      </c>
      <c r="J277">
        <v>26</v>
      </c>
      <c r="K277">
        <v>3</v>
      </c>
      <c r="L277" t="str">
        <f t="shared" si="27"/>
        <v>Correct</v>
      </c>
      <c r="M277">
        <f t="shared" si="28"/>
        <v>76.923076923076934</v>
      </c>
      <c r="N277">
        <f t="shared" si="24"/>
        <v>20.70967741935484</v>
      </c>
      <c r="O277">
        <f t="shared" si="29"/>
        <v>6.0358255451713392</v>
      </c>
      <c r="P277" t="str">
        <f t="shared" si="25"/>
        <v>Low Stock</v>
      </c>
    </row>
    <row r="278" spans="1:16" hidden="1" x14ac:dyDescent="0.35">
      <c r="A278" s="4">
        <v>46150</v>
      </c>
      <c r="B278" t="s">
        <v>33</v>
      </c>
      <c r="C278" t="s">
        <v>34</v>
      </c>
      <c r="D278" t="s">
        <v>16</v>
      </c>
      <c r="E278" t="s">
        <v>17</v>
      </c>
      <c r="F278">
        <v>168</v>
      </c>
      <c r="G278">
        <v>13</v>
      </c>
      <c r="H278">
        <v>14</v>
      </c>
      <c r="I278">
        <f t="shared" si="26"/>
        <v>167</v>
      </c>
      <c r="J278">
        <v>24</v>
      </c>
      <c r="K278">
        <v>1</v>
      </c>
      <c r="L278" t="str">
        <f t="shared" si="27"/>
        <v>Correct</v>
      </c>
      <c r="M278">
        <f t="shared" si="28"/>
        <v>58.333333333333336</v>
      </c>
      <c r="N278">
        <f t="shared" si="24"/>
        <v>22.142857142857142</v>
      </c>
      <c r="O278">
        <f t="shared" si="29"/>
        <v>7.5419354838709678</v>
      </c>
      <c r="P278" t="str">
        <f t="shared" si="25"/>
        <v>Low Stock</v>
      </c>
    </row>
    <row r="279" spans="1:16" x14ac:dyDescent="0.35">
      <c r="A279" s="4">
        <v>46150</v>
      </c>
      <c r="B279" t="s">
        <v>33</v>
      </c>
      <c r="C279" t="s">
        <v>34</v>
      </c>
      <c r="D279" t="s">
        <v>18</v>
      </c>
      <c r="E279" t="s">
        <v>19</v>
      </c>
      <c r="F279">
        <v>105</v>
      </c>
      <c r="G279">
        <v>30</v>
      </c>
      <c r="H279">
        <v>32</v>
      </c>
      <c r="I279">
        <f t="shared" si="26"/>
        <v>103</v>
      </c>
      <c r="J279">
        <v>42</v>
      </c>
      <c r="K279">
        <v>5</v>
      </c>
      <c r="L279" t="str">
        <f t="shared" si="27"/>
        <v>Correct</v>
      </c>
      <c r="M279">
        <f t="shared" si="28"/>
        <v>76.19047619047619</v>
      </c>
      <c r="N279">
        <f t="shared" si="24"/>
        <v>30.275862068965516</v>
      </c>
      <c r="O279">
        <f t="shared" si="29"/>
        <v>3.4020501138952164</v>
      </c>
      <c r="P279" t="str">
        <f t="shared" si="25"/>
        <v>Low Stock</v>
      </c>
    </row>
    <row r="280" spans="1:16" hidden="1" x14ac:dyDescent="0.35">
      <c r="A280" s="4">
        <v>46150</v>
      </c>
      <c r="B280" t="s">
        <v>33</v>
      </c>
      <c r="C280" t="s">
        <v>34</v>
      </c>
      <c r="D280" t="s">
        <v>20</v>
      </c>
      <c r="E280" t="s">
        <v>21</v>
      </c>
      <c r="F280">
        <v>245</v>
      </c>
      <c r="G280">
        <v>59</v>
      </c>
      <c r="H280">
        <v>20</v>
      </c>
      <c r="I280">
        <f t="shared" si="26"/>
        <v>284</v>
      </c>
      <c r="J280">
        <v>24</v>
      </c>
      <c r="K280">
        <v>4</v>
      </c>
      <c r="L280" t="str">
        <f t="shared" si="27"/>
        <v>Correct</v>
      </c>
      <c r="M280">
        <f t="shared" si="28"/>
        <v>83.333333333333343</v>
      </c>
      <c r="N280">
        <f t="shared" si="24"/>
        <v>30.931034482758619</v>
      </c>
      <c r="O280">
        <f t="shared" si="29"/>
        <v>9.1817168338907482</v>
      </c>
      <c r="P280" t="str">
        <f t="shared" si="25"/>
        <v>Low Stock</v>
      </c>
    </row>
    <row r="281" spans="1:16" hidden="1" x14ac:dyDescent="0.35">
      <c r="A281" s="4">
        <v>46160</v>
      </c>
      <c r="B281" t="s">
        <v>33</v>
      </c>
      <c r="C281" t="s">
        <v>34</v>
      </c>
      <c r="D281" t="s">
        <v>22</v>
      </c>
      <c r="E281" t="s">
        <v>23</v>
      </c>
      <c r="F281">
        <v>280</v>
      </c>
      <c r="G281">
        <v>3</v>
      </c>
      <c r="H281">
        <v>4</v>
      </c>
      <c r="I281">
        <f t="shared" si="26"/>
        <v>279</v>
      </c>
      <c r="J281">
        <v>6</v>
      </c>
      <c r="K281">
        <v>3</v>
      </c>
      <c r="L281" t="str">
        <f t="shared" si="27"/>
        <v>Correct</v>
      </c>
      <c r="M281">
        <f t="shared" si="28"/>
        <v>66.666666666666657</v>
      </c>
      <c r="N281">
        <f t="shared" si="24"/>
        <v>10.25</v>
      </c>
      <c r="O281">
        <f t="shared" si="29"/>
        <v>27.219512195121951</v>
      </c>
      <c r="P281" t="str">
        <f t="shared" si="25"/>
        <v>Healthy</v>
      </c>
    </row>
    <row r="282" spans="1:16" hidden="1" x14ac:dyDescent="0.35">
      <c r="A282" s="4">
        <v>46151</v>
      </c>
      <c r="B282" t="s">
        <v>12</v>
      </c>
      <c r="C282" t="s">
        <v>13</v>
      </c>
      <c r="D282" t="s">
        <v>14</v>
      </c>
      <c r="E282" t="s">
        <v>15</v>
      </c>
      <c r="F282">
        <v>326</v>
      </c>
      <c r="G282">
        <v>2</v>
      </c>
      <c r="H282">
        <v>10</v>
      </c>
      <c r="I282">
        <f t="shared" si="26"/>
        <v>318</v>
      </c>
      <c r="J282">
        <v>21</v>
      </c>
      <c r="K282">
        <v>2</v>
      </c>
      <c r="L282" t="str">
        <f t="shared" si="27"/>
        <v>Correct</v>
      </c>
      <c r="M282">
        <f t="shared" si="28"/>
        <v>47.619047619047613</v>
      </c>
      <c r="N282">
        <f t="shared" si="24"/>
        <v>21.666666666666668</v>
      </c>
      <c r="O282">
        <f t="shared" si="29"/>
        <v>14.676923076923076</v>
      </c>
      <c r="P282" t="str">
        <f t="shared" si="25"/>
        <v>Low Stock</v>
      </c>
    </row>
    <row r="283" spans="1:16" hidden="1" x14ac:dyDescent="0.35">
      <c r="A283" s="4">
        <v>46151</v>
      </c>
      <c r="B283" t="s">
        <v>12</v>
      </c>
      <c r="C283" t="s">
        <v>13</v>
      </c>
      <c r="D283" t="s">
        <v>16</v>
      </c>
      <c r="E283" t="s">
        <v>17</v>
      </c>
      <c r="F283">
        <v>218</v>
      </c>
      <c r="G283">
        <v>54</v>
      </c>
      <c r="H283">
        <v>10</v>
      </c>
      <c r="I283">
        <f t="shared" si="26"/>
        <v>262</v>
      </c>
      <c r="J283">
        <v>17</v>
      </c>
      <c r="K283">
        <v>5</v>
      </c>
      <c r="L283" t="str">
        <f t="shared" si="27"/>
        <v>Correct</v>
      </c>
      <c r="M283">
        <f t="shared" si="28"/>
        <v>58.82352941176471</v>
      </c>
      <c r="N283">
        <f t="shared" si="24"/>
        <v>20.030303030303031</v>
      </c>
      <c r="O283">
        <f t="shared" si="29"/>
        <v>13.08018154311649</v>
      </c>
      <c r="P283" t="str">
        <f t="shared" si="25"/>
        <v>Low Stock</v>
      </c>
    </row>
    <row r="284" spans="1:16" x14ac:dyDescent="0.35">
      <c r="A284" s="4">
        <v>46151</v>
      </c>
      <c r="B284" t="s">
        <v>12</v>
      </c>
      <c r="C284" t="s">
        <v>13</v>
      </c>
      <c r="D284" t="s">
        <v>18</v>
      </c>
      <c r="E284" t="s">
        <v>19</v>
      </c>
      <c r="F284">
        <v>125</v>
      </c>
      <c r="G284">
        <v>15</v>
      </c>
      <c r="H284">
        <v>48</v>
      </c>
      <c r="I284">
        <f t="shared" si="26"/>
        <v>92</v>
      </c>
      <c r="J284">
        <v>49</v>
      </c>
      <c r="K284">
        <v>4</v>
      </c>
      <c r="L284" t="str">
        <f t="shared" si="27"/>
        <v>Correct</v>
      </c>
      <c r="M284">
        <f t="shared" si="28"/>
        <v>97.959183673469383</v>
      </c>
      <c r="N284">
        <f t="shared" si="24"/>
        <v>33.34375</v>
      </c>
      <c r="O284">
        <f t="shared" si="29"/>
        <v>2.7591377694470478</v>
      </c>
      <c r="P284" t="str">
        <f t="shared" si="25"/>
        <v>Low Stock</v>
      </c>
    </row>
    <row r="285" spans="1:16" hidden="1" x14ac:dyDescent="0.35">
      <c r="A285" s="4">
        <v>46151</v>
      </c>
      <c r="B285" t="s">
        <v>12</v>
      </c>
      <c r="C285" t="s">
        <v>13</v>
      </c>
      <c r="D285" t="s">
        <v>20</v>
      </c>
      <c r="E285" t="s">
        <v>21</v>
      </c>
      <c r="F285">
        <v>141</v>
      </c>
      <c r="G285">
        <v>1</v>
      </c>
      <c r="H285">
        <v>46</v>
      </c>
      <c r="I285">
        <f t="shared" si="26"/>
        <v>96</v>
      </c>
      <c r="J285">
        <v>49</v>
      </c>
      <c r="K285">
        <v>4</v>
      </c>
      <c r="L285" t="str">
        <f t="shared" si="27"/>
        <v>Correct</v>
      </c>
      <c r="M285">
        <f t="shared" si="28"/>
        <v>93.877551020408163</v>
      </c>
      <c r="N285">
        <f t="shared" si="24"/>
        <v>34.515151515151516</v>
      </c>
      <c r="O285">
        <f t="shared" si="29"/>
        <v>2.7813871817383671</v>
      </c>
      <c r="P285" t="str">
        <f t="shared" si="25"/>
        <v>Low Stock</v>
      </c>
    </row>
    <row r="286" spans="1:16" hidden="1" x14ac:dyDescent="0.35">
      <c r="A286" s="4">
        <v>46151</v>
      </c>
      <c r="B286" t="s">
        <v>12</v>
      </c>
      <c r="C286" t="s">
        <v>13</v>
      </c>
      <c r="D286" t="s">
        <v>22</v>
      </c>
      <c r="E286" t="s">
        <v>23</v>
      </c>
      <c r="F286">
        <v>164</v>
      </c>
      <c r="G286">
        <v>0</v>
      </c>
      <c r="H286">
        <v>7</v>
      </c>
      <c r="I286">
        <f t="shared" si="26"/>
        <v>157</v>
      </c>
      <c r="J286">
        <v>14</v>
      </c>
      <c r="K286">
        <v>2</v>
      </c>
      <c r="L286" t="str">
        <f t="shared" si="27"/>
        <v>Correct</v>
      </c>
      <c r="M286">
        <f t="shared" si="28"/>
        <v>50</v>
      </c>
      <c r="N286">
        <f t="shared" si="24"/>
        <v>9.9032258064516121</v>
      </c>
      <c r="O286">
        <f t="shared" si="29"/>
        <v>15.853420195439741</v>
      </c>
      <c r="P286" t="str">
        <f t="shared" si="25"/>
        <v>Healthy</v>
      </c>
    </row>
    <row r="287" spans="1:16" hidden="1" x14ac:dyDescent="0.35">
      <c r="A287" s="4">
        <v>46151</v>
      </c>
      <c r="B287" t="s">
        <v>12</v>
      </c>
      <c r="C287" t="s">
        <v>24</v>
      </c>
      <c r="D287" t="s">
        <v>14</v>
      </c>
      <c r="E287" t="s">
        <v>15</v>
      </c>
      <c r="F287">
        <v>209</v>
      </c>
      <c r="G287">
        <v>17</v>
      </c>
      <c r="H287">
        <v>33</v>
      </c>
      <c r="I287">
        <f t="shared" si="26"/>
        <v>193</v>
      </c>
      <c r="J287">
        <v>38</v>
      </c>
      <c r="K287">
        <v>5</v>
      </c>
      <c r="L287" t="str">
        <f t="shared" si="27"/>
        <v>Correct</v>
      </c>
      <c r="M287">
        <f t="shared" si="28"/>
        <v>86.842105263157904</v>
      </c>
      <c r="N287">
        <f t="shared" si="24"/>
        <v>21.35483870967742</v>
      </c>
      <c r="O287">
        <f t="shared" si="29"/>
        <v>9.0377643504531715</v>
      </c>
      <c r="P287" t="str">
        <f t="shared" si="25"/>
        <v>Low Stock</v>
      </c>
    </row>
    <row r="288" spans="1:16" hidden="1" x14ac:dyDescent="0.35">
      <c r="A288" s="4">
        <v>46151</v>
      </c>
      <c r="B288" t="s">
        <v>12</v>
      </c>
      <c r="C288" t="s">
        <v>24</v>
      </c>
      <c r="D288" t="s">
        <v>16</v>
      </c>
      <c r="E288" t="s">
        <v>17</v>
      </c>
      <c r="F288">
        <v>198</v>
      </c>
      <c r="G288">
        <v>19</v>
      </c>
      <c r="H288">
        <v>20</v>
      </c>
      <c r="I288">
        <f t="shared" si="26"/>
        <v>197</v>
      </c>
      <c r="J288">
        <v>28</v>
      </c>
      <c r="K288">
        <v>3</v>
      </c>
      <c r="L288" t="str">
        <f t="shared" si="27"/>
        <v>Correct</v>
      </c>
      <c r="M288">
        <f t="shared" si="28"/>
        <v>71.428571428571431</v>
      </c>
      <c r="N288">
        <f t="shared" si="24"/>
        <v>21.9</v>
      </c>
      <c r="O288">
        <f t="shared" si="29"/>
        <v>8.9954337899543386</v>
      </c>
      <c r="P288" t="str">
        <f t="shared" si="25"/>
        <v>Low Stock</v>
      </c>
    </row>
    <row r="289" spans="1:16" x14ac:dyDescent="0.35">
      <c r="A289" s="4">
        <v>46151</v>
      </c>
      <c r="B289" t="s">
        <v>12</v>
      </c>
      <c r="C289" t="s">
        <v>24</v>
      </c>
      <c r="D289" t="s">
        <v>18</v>
      </c>
      <c r="E289" t="s">
        <v>19</v>
      </c>
      <c r="F289">
        <v>97</v>
      </c>
      <c r="G289">
        <v>27</v>
      </c>
      <c r="H289">
        <v>49</v>
      </c>
      <c r="I289">
        <f t="shared" si="26"/>
        <v>75</v>
      </c>
      <c r="J289">
        <v>63</v>
      </c>
      <c r="K289">
        <v>4</v>
      </c>
      <c r="L289" t="str">
        <f t="shared" si="27"/>
        <v>Correct</v>
      </c>
      <c r="M289">
        <f t="shared" si="28"/>
        <v>77.777777777777786</v>
      </c>
      <c r="N289">
        <f t="shared" si="24"/>
        <v>31.586206896551722</v>
      </c>
      <c r="O289">
        <f t="shared" si="29"/>
        <v>2.374454148471616</v>
      </c>
      <c r="P289" t="str">
        <f t="shared" si="25"/>
        <v>Low Stock</v>
      </c>
    </row>
    <row r="290" spans="1:16" hidden="1" x14ac:dyDescent="0.35">
      <c r="A290" s="4">
        <v>46151</v>
      </c>
      <c r="B290" t="s">
        <v>12</v>
      </c>
      <c r="C290" t="s">
        <v>24</v>
      </c>
      <c r="D290" t="s">
        <v>20</v>
      </c>
      <c r="E290" t="s">
        <v>21</v>
      </c>
      <c r="F290">
        <v>142</v>
      </c>
      <c r="G290">
        <v>9</v>
      </c>
      <c r="H290">
        <v>38</v>
      </c>
      <c r="I290">
        <f t="shared" si="26"/>
        <v>113</v>
      </c>
      <c r="J290">
        <v>48</v>
      </c>
      <c r="K290">
        <v>1</v>
      </c>
      <c r="L290" t="str">
        <f t="shared" si="27"/>
        <v>Correct</v>
      </c>
      <c r="M290">
        <f t="shared" si="28"/>
        <v>79.166666666666657</v>
      </c>
      <c r="N290">
        <f t="shared" si="24"/>
        <v>34.200000000000003</v>
      </c>
      <c r="O290">
        <f t="shared" si="29"/>
        <v>3.3040935672514617</v>
      </c>
      <c r="P290" t="str">
        <f t="shared" si="25"/>
        <v>Low Stock</v>
      </c>
    </row>
    <row r="291" spans="1:16" hidden="1" x14ac:dyDescent="0.35">
      <c r="A291" s="4">
        <v>46151</v>
      </c>
      <c r="B291" t="s">
        <v>12</v>
      </c>
      <c r="C291" t="s">
        <v>24</v>
      </c>
      <c r="D291" t="s">
        <v>22</v>
      </c>
      <c r="E291" t="s">
        <v>23</v>
      </c>
      <c r="F291">
        <v>267</v>
      </c>
      <c r="G291">
        <v>49</v>
      </c>
      <c r="H291">
        <v>10</v>
      </c>
      <c r="I291">
        <f t="shared" si="26"/>
        <v>306</v>
      </c>
      <c r="J291">
        <v>20</v>
      </c>
      <c r="K291">
        <v>2</v>
      </c>
      <c r="L291" t="str">
        <f t="shared" si="27"/>
        <v>Correct</v>
      </c>
      <c r="M291">
        <f t="shared" si="28"/>
        <v>50</v>
      </c>
      <c r="N291">
        <f t="shared" si="24"/>
        <v>10.96551724137931</v>
      </c>
      <c r="O291">
        <f t="shared" si="29"/>
        <v>27.905660377358494</v>
      </c>
      <c r="P291" t="str">
        <f t="shared" si="25"/>
        <v>Healthy</v>
      </c>
    </row>
    <row r="292" spans="1:16" hidden="1" x14ac:dyDescent="0.35">
      <c r="A292" s="4">
        <v>46151</v>
      </c>
      <c r="B292" t="s">
        <v>12</v>
      </c>
      <c r="C292" t="s">
        <v>25</v>
      </c>
      <c r="D292" t="s">
        <v>14</v>
      </c>
      <c r="E292" t="s">
        <v>15</v>
      </c>
      <c r="F292">
        <v>189</v>
      </c>
      <c r="G292">
        <v>23</v>
      </c>
      <c r="H292">
        <v>13</v>
      </c>
      <c r="I292">
        <f t="shared" si="26"/>
        <v>199</v>
      </c>
      <c r="J292">
        <v>27</v>
      </c>
      <c r="K292">
        <v>4</v>
      </c>
      <c r="L292" t="str">
        <f t="shared" si="27"/>
        <v>Correct</v>
      </c>
      <c r="M292">
        <f t="shared" si="28"/>
        <v>48.148148148148145</v>
      </c>
      <c r="N292">
        <f t="shared" si="24"/>
        <v>20.7</v>
      </c>
      <c r="O292">
        <f t="shared" si="29"/>
        <v>9.6135265700483092</v>
      </c>
      <c r="P292" t="str">
        <f t="shared" si="25"/>
        <v>Low Stock</v>
      </c>
    </row>
    <row r="293" spans="1:16" hidden="1" x14ac:dyDescent="0.35">
      <c r="A293" s="4">
        <v>46151</v>
      </c>
      <c r="B293" t="s">
        <v>12</v>
      </c>
      <c r="C293" t="s">
        <v>25</v>
      </c>
      <c r="D293" t="s">
        <v>16</v>
      </c>
      <c r="E293" t="s">
        <v>17</v>
      </c>
      <c r="F293">
        <v>162</v>
      </c>
      <c r="G293">
        <v>38</v>
      </c>
      <c r="H293">
        <v>24</v>
      </c>
      <c r="I293">
        <f t="shared" si="26"/>
        <v>176</v>
      </c>
      <c r="J293">
        <v>37</v>
      </c>
      <c r="K293">
        <v>5</v>
      </c>
      <c r="L293" t="str">
        <f t="shared" si="27"/>
        <v>Correct</v>
      </c>
      <c r="M293">
        <f t="shared" si="28"/>
        <v>64.86486486486487</v>
      </c>
      <c r="N293">
        <f t="shared" si="24"/>
        <v>23.758620689655171</v>
      </c>
      <c r="O293">
        <f t="shared" si="29"/>
        <v>7.4078374455732954</v>
      </c>
      <c r="P293" t="str">
        <f t="shared" si="25"/>
        <v>Low Stock</v>
      </c>
    </row>
    <row r="294" spans="1:16" x14ac:dyDescent="0.35">
      <c r="A294" s="4">
        <v>46151</v>
      </c>
      <c r="B294" t="s">
        <v>12</v>
      </c>
      <c r="C294" t="s">
        <v>13</v>
      </c>
      <c r="D294" t="s">
        <v>18</v>
      </c>
      <c r="E294" t="s">
        <v>19</v>
      </c>
      <c r="F294">
        <v>164</v>
      </c>
      <c r="G294">
        <v>14</v>
      </c>
      <c r="H294">
        <v>25</v>
      </c>
      <c r="I294">
        <f t="shared" si="26"/>
        <v>153</v>
      </c>
      <c r="J294">
        <v>32</v>
      </c>
      <c r="K294">
        <v>4</v>
      </c>
      <c r="L294" t="str">
        <f t="shared" si="27"/>
        <v>Correct</v>
      </c>
      <c r="M294">
        <f t="shared" si="28"/>
        <v>78.125</v>
      </c>
      <c r="N294">
        <f t="shared" si="24"/>
        <v>33.34375</v>
      </c>
      <c r="O294">
        <f t="shared" si="29"/>
        <v>4.5885660731021556</v>
      </c>
      <c r="P294" t="str">
        <f t="shared" si="25"/>
        <v>Low Stock</v>
      </c>
    </row>
    <row r="295" spans="1:16" hidden="1" x14ac:dyDescent="0.35">
      <c r="A295" s="4">
        <v>46151</v>
      </c>
      <c r="B295" t="s">
        <v>12</v>
      </c>
      <c r="C295" t="s">
        <v>25</v>
      </c>
      <c r="D295" t="s">
        <v>20</v>
      </c>
      <c r="E295" t="s">
        <v>21</v>
      </c>
      <c r="F295">
        <v>145</v>
      </c>
      <c r="G295">
        <v>57</v>
      </c>
      <c r="H295">
        <v>23</v>
      </c>
      <c r="I295">
        <f t="shared" si="26"/>
        <v>179</v>
      </c>
      <c r="J295">
        <v>27</v>
      </c>
      <c r="K295">
        <v>5</v>
      </c>
      <c r="L295" t="str">
        <f t="shared" si="27"/>
        <v>Correct</v>
      </c>
      <c r="M295">
        <f t="shared" si="28"/>
        <v>85.18518518518519</v>
      </c>
      <c r="N295">
        <f t="shared" si="24"/>
        <v>31.137931034482758</v>
      </c>
      <c r="O295">
        <f t="shared" si="29"/>
        <v>5.7486157253599117</v>
      </c>
      <c r="P295" t="str">
        <f t="shared" si="25"/>
        <v>Low Stock</v>
      </c>
    </row>
    <row r="296" spans="1:16" hidden="1" x14ac:dyDescent="0.35">
      <c r="A296" s="4">
        <v>46151</v>
      </c>
      <c r="B296" t="s">
        <v>12</v>
      </c>
      <c r="C296" t="s">
        <v>25</v>
      </c>
      <c r="D296" t="s">
        <v>22</v>
      </c>
      <c r="E296" t="s">
        <v>23</v>
      </c>
      <c r="F296">
        <v>292</v>
      </c>
      <c r="G296">
        <v>31</v>
      </c>
      <c r="H296">
        <v>11</v>
      </c>
      <c r="I296">
        <f t="shared" si="26"/>
        <v>312</v>
      </c>
      <c r="J296">
        <v>19</v>
      </c>
      <c r="K296">
        <v>2</v>
      </c>
      <c r="L296" t="str">
        <f t="shared" si="27"/>
        <v>Correct</v>
      </c>
      <c r="M296">
        <f t="shared" si="28"/>
        <v>57.894736842105267</v>
      </c>
      <c r="N296">
        <f t="shared" si="24"/>
        <v>11.3</v>
      </c>
      <c r="O296">
        <f t="shared" si="29"/>
        <v>27.610619469026545</v>
      </c>
      <c r="P296" t="str">
        <f t="shared" si="25"/>
        <v>Healthy</v>
      </c>
    </row>
    <row r="297" spans="1:16" hidden="1" x14ac:dyDescent="0.35">
      <c r="A297" s="4">
        <v>46151</v>
      </c>
      <c r="B297" t="s">
        <v>26</v>
      </c>
      <c r="C297" t="s">
        <v>27</v>
      </c>
      <c r="D297" t="s">
        <v>14</v>
      </c>
      <c r="E297" t="s">
        <v>15</v>
      </c>
      <c r="F297">
        <v>246</v>
      </c>
      <c r="G297">
        <v>58</v>
      </c>
      <c r="H297">
        <v>10</v>
      </c>
      <c r="I297">
        <f t="shared" si="26"/>
        <v>294</v>
      </c>
      <c r="J297">
        <v>20</v>
      </c>
      <c r="K297">
        <v>3</v>
      </c>
      <c r="L297" t="str">
        <f t="shared" si="27"/>
        <v>Correct</v>
      </c>
      <c r="M297">
        <f t="shared" si="28"/>
        <v>50</v>
      </c>
      <c r="N297">
        <f t="shared" si="24"/>
        <v>22.258064516129032</v>
      </c>
      <c r="O297">
        <f t="shared" si="29"/>
        <v>13.208695652173914</v>
      </c>
      <c r="P297" t="str">
        <f t="shared" si="25"/>
        <v>Low Stock</v>
      </c>
    </row>
    <row r="298" spans="1:16" hidden="1" x14ac:dyDescent="0.35">
      <c r="A298" s="4">
        <v>46151</v>
      </c>
      <c r="B298" t="s">
        <v>26</v>
      </c>
      <c r="C298" t="s">
        <v>27</v>
      </c>
      <c r="D298" t="s">
        <v>16</v>
      </c>
      <c r="E298" t="s">
        <v>17</v>
      </c>
      <c r="F298">
        <v>157</v>
      </c>
      <c r="G298">
        <v>10</v>
      </c>
      <c r="H298">
        <v>29</v>
      </c>
      <c r="I298">
        <f t="shared" si="26"/>
        <v>138</v>
      </c>
      <c r="J298">
        <v>32</v>
      </c>
      <c r="K298">
        <v>5</v>
      </c>
      <c r="L298" t="str">
        <f t="shared" si="27"/>
        <v>Correct</v>
      </c>
      <c r="M298">
        <f t="shared" si="28"/>
        <v>90.625</v>
      </c>
      <c r="N298">
        <f t="shared" si="24"/>
        <v>20.172413793103448</v>
      </c>
      <c r="O298">
        <f t="shared" si="29"/>
        <v>6.8410256410256407</v>
      </c>
      <c r="P298" t="str">
        <f t="shared" si="25"/>
        <v>Low Stock</v>
      </c>
    </row>
    <row r="299" spans="1:16" x14ac:dyDescent="0.35">
      <c r="A299" s="4">
        <v>46151</v>
      </c>
      <c r="B299" t="s">
        <v>26</v>
      </c>
      <c r="C299" t="s">
        <v>27</v>
      </c>
      <c r="D299" t="s">
        <v>18</v>
      </c>
      <c r="E299" t="s">
        <v>19</v>
      </c>
      <c r="F299">
        <v>184</v>
      </c>
      <c r="G299">
        <v>11</v>
      </c>
      <c r="H299">
        <v>26</v>
      </c>
      <c r="I299">
        <f t="shared" si="26"/>
        <v>169</v>
      </c>
      <c r="J299">
        <v>35</v>
      </c>
      <c r="K299">
        <v>1</v>
      </c>
      <c r="L299" t="str">
        <f t="shared" si="27"/>
        <v>Correct</v>
      </c>
      <c r="M299">
        <f t="shared" si="28"/>
        <v>74.285714285714292</v>
      </c>
      <c r="N299">
        <f t="shared" si="24"/>
        <v>29.733333333333334</v>
      </c>
      <c r="O299">
        <f t="shared" si="29"/>
        <v>5.6838565022421523</v>
      </c>
      <c r="P299" t="str">
        <f t="shared" si="25"/>
        <v>Low Stock</v>
      </c>
    </row>
    <row r="300" spans="1:16" hidden="1" x14ac:dyDescent="0.35">
      <c r="A300" s="4">
        <v>46151</v>
      </c>
      <c r="B300" t="s">
        <v>26</v>
      </c>
      <c r="C300" t="s">
        <v>27</v>
      </c>
      <c r="D300" t="s">
        <v>20</v>
      </c>
      <c r="E300" t="s">
        <v>21</v>
      </c>
      <c r="F300">
        <v>237</v>
      </c>
      <c r="G300">
        <v>28</v>
      </c>
      <c r="H300">
        <v>41</v>
      </c>
      <c r="I300">
        <f t="shared" si="26"/>
        <v>224</v>
      </c>
      <c r="J300">
        <v>56</v>
      </c>
      <c r="K300">
        <v>5</v>
      </c>
      <c r="L300" t="str">
        <f t="shared" si="27"/>
        <v>Correct</v>
      </c>
      <c r="M300">
        <f t="shared" si="28"/>
        <v>73.214285714285708</v>
      </c>
      <c r="N300">
        <f t="shared" si="24"/>
        <v>30.724137931034484</v>
      </c>
      <c r="O300">
        <f t="shared" si="29"/>
        <v>7.290684624017957</v>
      </c>
      <c r="P300" t="str">
        <f t="shared" si="25"/>
        <v>Low Stock</v>
      </c>
    </row>
    <row r="301" spans="1:16" hidden="1" x14ac:dyDescent="0.35">
      <c r="A301" s="4">
        <v>46151</v>
      </c>
      <c r="B301" t="s">
        <v>26</v>
      </c>
      <c r="C301" t="s">
        <v>27</v>
      </c>
      <c r="D301" t="s">
        <v>22</v>
      </c>
      <c r="E301" t="s">
        <v>23</v>
      </c>
      <c r="F301">
        <v>200</v>
      </c>
      <c r="G301">
        <v>30</v>
      </c>
      <c r="H301">
        <v>3</v>
      </c>
      <c r="I301">
        <f t="shared" si="26"/>
        <v>227</v>
      </c>
      <c r="J301">
        <v>15</v>
      </c>
      <c r="K301">
        <v>3</v>
      </c>
      <c r="L301" t="str">
        <f t="shared" si="27"/>
        <v>Correct</v>
      </c>
      <c r="M301">
        <f t="shared" si="28"/>
        <v>20</v>
      </c>
      <c r="N301">
        <f t="shared" si="24"/>
        <v>11.566666666666666</v>
      </c>
      <c r="O301">
        <f t="shared" si="29"/>
        <v>19.62536023054755</v>
      </c>
      <c r="P301" t="str">
        <f t="shared" si="25"/>
        <v>Healthy</v>
      </c>
    </row>
    <row r="302" spans="1:16" hidden="1" x14ac:dyDescent="0.35">
      <c r="A302" s="4">
        <v>46151</v>
      </c>
      <c r="B302" t="s">
        <v>28</v>
      </c>
      <c r="C302" t="s">
        <v>29</v>
      </c>
      <c r="D302" t="s">
        <v>14</v>
      </c>
      <c r="E302" t="s">
        <v>15</v>
      </c>
      <c r="F302">
        <v>229</v>
      </c>
      <c r="G302">
        <v>34</v>
      </c>
      <c r="H302">
        <v>15</v>
      </c>
      <c r="I302">
        <f t="shared" si="26"/>
        <v>248</v>
      </c>
      <c r="J302">
        <v>17</v>
      </c>
      <c r="K302">
        <v>5</v>
      </c>
      <c r="L302" t="str">
        <f t="shared" si="27"/>
        <v>Correct</v>
      </c>
      <c r="M302">
        <f t="shared" si="28"/>
        <v>88.235294117647058</v>
      </c>
      <c r="N302">
        <f t="shared" si="24"/>
        <v>22.25</v>
      </c>
      <c r="O302">
        <f t="shared" si="29"/>
        <v>11.146067415730338</v>
      </c>
      <c r="P302" t="str">
        <f t="shared" si="25"/>
        <v>Low Stock</v>
      </c>
    </row>
    <row r="303" spans="1:16" hidden="1" x14ac:dyDescent="0.35">
      <c r="A303" s="4">
        <v>46151</v>
      </c>
      <c r="B303" t="s">
        <v>28</v>
      </c>
      <c r="C303" t="s">
        <v>29</v>
      </c>
      <c r="D303" t="s">
        <v>16</v>
      </c>
      <c r="E303" t="s">
        <v>17</v>
      </c>
      <c r="F303">
        <v>187</v>
      </c>
      <c r="G303">
        <v>14</v>
      </c>
      <c r="H303">
        <v>23</v>
      </c>
      <c r="I303">
        <f t="shared" si="26"/>
        <v>178</v>
      </c>
      <c r="J303">
        <v>28</v>
      </c>
      <c r="K303">
        <v>3</v>
      </c>
      <c r="L303" t="str">
        <f t="shared" si="27"/>
        <v>Correct</v>
      </c>
      <c r="M303">
        <f t="shared" si="28"/>
        <v>82.142857142857139</v>
      </c>
      <c r="N303">
        <f t="shared" si="24"/>
        <v>19.96551724137931</v>
      </c>
      <c r="O303">
        <f t="shared" si="29"/>
        <v>8.9153713298791022</v>
      </c>
      <c r="P303" t="str">
        <f t="shared" si="25"/>
        <v>Low Stock</v>
      </c>
    </row>
    <row r="304" spans="1:16" x14ac:dyDescent="0.35">
      <c r="A304" s="4">
        <v>46151</v>
      </c>
      <c r="B304" t="s">
        <v>28</v>
      </c>
      <c r="C304" t="s">
        <v>29</v>
      </c>
      <c r="D304" t="s">
        <v>18</v>
      </c>
      <c r="E304" t="s">
        <v>19</v>
      </c>
      <c r="F304">
        <v>123</v>
      </c>
      <c r="G304">
        <v>36</v>
      </c>
      <c r="H304">
        <v>22</v>
      </c>
      <c r="I304">
        <f t="shared" si="26"/>
        <v>137</v>
      </c>
      <c r="J304">
        <v>32</v>
      </c>
      <c r="K304">
        <v>1</v>
      </c>
      <c r="L304" t="str">
        <f t="shared" si="27"/>
        <v>Correct</v>
      </c>
      <c r="M304">
        <f t="shared" si="28"/>
        <v>68.75</v>
      </c>
      <c r="N304">
        <f t="shared" si="24"/>
        <v>31.206896551724139</v>
      </c>
      <c r="O304">
        <f t="shared" si="29"/>
        <v>4.3900552486187845</v>
      </c>
      <c r="P304" t="str">
        <f t="shared" si="25"/>
        <v>Low Stock</v>
      </c>
    </row>
    <row r="305" spans="1:16" hidden="1" x14ac:dyDescent="0.35">
      <c r="A305" s="4">
        <v>46151</v>
      </c>
      <c r="B305" t="s">
        <v>28</v>
      </c>
      <c r="C305" t="s">
        <v>29</v>
      </c>
      <c r="D305" t="s">
        <v>20</v>
      </c>
      <c r="E305" t="s">
        <v>21</v>
      </c>
      <c r="F305">
        <v>162</v>
      </c>
      <c r="G305">
        <v>9</v>
      </c>
      <c r="H305">
        <v>50</v>
      </c>
      <c r="I305">
        <f t="shared" si="26"/>
        <v>121</v>
      </c>
      <c r="J305">
        <v>52</v>
      </c>
      <c r="K305">
        <v>3</v>
      </c>
      <c r="L305" t="str">
        <f t="shared" si="27"/>
        <v>Correct</v>
      </c>
      <c r="M305">
        <f t="shared" si="28"/>
        <v>96.15384615384616</v>
      </c>
      <c r="N305">
        <f t="shared" si="24"/>
        <v>32.620689655172413</v>
      </c>
      <c r="O305">
        <f t="shared" si="29"/>
        <v>3.7093023255813953</v>
      </c>
      <c r="P305" t="str">
        <f t="shared" si="25"/>
        <v>Low Stock</v>
      </c>
    </row>
    <row r="306" spans="1:16" hidden="1" x14ac:dyDescent="0.35">
      <c r="A306" s="4">
        <v>46151</v>
      </c>
      <c r="B306" t="s">
        <v>28</v>
      </c>
      <c r="C306" t="s">
        <v>29</v>
      </c>
      <c r="D306" t="s">
        <v>22</v>
      </c>
      <c r="E306" t="s">
        <v>23</v>
      </c>
      <c r="F306">
        <v>320</v>
      </c>
      <c r="G306">
        <v>49</v>
      </c>
      <c r="H306">
        <v>13</v>
      </c>
      <c r="I306">
        <f t="shared" si="26"/>
        <v>356</v>
      </c>
      <c r="J306">
        <v>19</v>
      </c>
      <c r="K306">
        <v>1</v>
      </c>
      <c r="L306" t="str">
        <f t="shared" si="27"/>
        <v>Correct</v>
      </c>
      <c r="M306">
        <f t="shared" si="28"/>
        <v>68.421052631578945</v>
      </c>
      <c r="N306">
        <f t="shared" si="24"/>
        <v>11.678571428571429</v>
      </c>
      <c r="O306">
        <f t="shared" si="29"/>
        <v>30.483180428134556</v>
      </c>
      <c r="P306" t="str">
        <f t="shared" si="25"/>
        <v>Overstock</v>
      </c>
    </row>
    <row r="307" spans="1:16" hidden="1" x14ac:dyDescent="0.35">
      <c r="A307" s="4">
        <v>46151</v>
      </c>
      <c r="B307" t="s">
        <v>31</v>
      </c>
      <c r="C307" t="s">
        <v>32</v>
      </c>
      <c r="D307" t="s">
        <v>14</v>
      </c>
      <c r="E307" t="s">
        <v>15</v>
      </c>
      <c r="F307">
        <v>213</v>
      </c>
      <c r="G307">
        <v>8</v>
      </c>
      <c r="H307">
        <v>22</v>
      </c>
      <c r="I307">
        <f t="shared" si="26"/>
        <v>199</v>
      </c>
      <c r="J307">
        <v>33</v>
      </c>
      <c r="K307">
        <v>2</v>
      </c>
      <c r="L307" t="str">
        <f t="shared" si="27"/>
        <v>Correct</v>
      </c>
      <c r="M307">
        <f t="shared" si="28"/>
        <v>66.666666666666657</v>
      </c>
      <c r="N307">
        <f t="shared" si="24"/>
        <v>20.84375</v>
      </c>
      <c r="O307">
        <f t="shared" si="29"/>
        <v>9.5472263868065959</v>
      </c>
      <c r="P307" t="str">
        <f t="shared" si="25"/>
        <v>Low Stock</v>
      </c>
    </row>
    <row r="308" spans="1:16" hidden="1" x14ac:dyDescent="0.35">
      <c r="A308" s="4">
        <v>46151</v>
      </c>
      <c r="B308" t="s">
        <v>31</v>
      </c>
      <c r="C308" t="s">
        <v>32</v>
      </c>
      <c r="D308" t="s">
        <v>16</v>
      </c>
      <c r="E308" t="s">
        <v>17</v>
      </c>
      <c r="F308">
        <v>250</v>
      </c>
      <c r="G308">
        <v>16</v>
      </c>
      <c r="H308">
        <v>20</v>
      </c>
      <c r="I308">
        <f t="shared" si="26"/>
        <v>246</v>
      </c>
      <c r="J308">
        <v>31</v>
      </c>
      <c r="K308">
        <v>2</v>
      </c>
      <c r="L308" t="str">
        <f t="shared" si="27"/>
        <v>Correct</v>
      </c>
      <c r="M308">
        <f t="shared" si="28"/>
        <v>64.516129032258064</v>
      </c>
      <c r="N308">
        <f t="shared" si="24"/>
        <v>21.46875</v>
      </c>
      <c r="O308">
        <f t="shared" si="29"/>
        <v>11.458515283842795</v>
      </c>
      <c r="P308" t="str">
        <f t="shared" si="25"/>
        <v>Low Stock</v>
      </c>
    </row>
    <row r="309" spans="1:16" x14ac:dyDescent="0.35">
      <c r="A309" s="4">
        <v>46151</v>
      </c>
      <c r="B309" t="s">
        <v>31</v>
      </c>
      <c r="C309" t="s">
        <v>32</v>
      </c>
      <c r="D309" t="s">
        <v>18</v>
      </c>
      <c r="E309" t="s">
        <v>19</v>
      </c>
      <c r="F309">
        <v>82</v>
      </c>
      <c r="G309">
        <v>42</v>
      </c>
      <c r="H309">
        <v>24</v>
      </c>
      <c r="I309">
        <f t="shared" si="26"/>
        <v>100</v>
      </c>
      <c r="J309">
        <v>28</v>
      </c>
      <c r="K309">
        <v>3</v>
      </c>
      <c r="L309" t="str">
        <f t="shared" si="27"/>
        <v>Correct</v>
      </c>
      <c r="M309">
        <f t="shared" si="28"/>
        <v>85.714285714285708</v>
      </c>
      <c r="N309">
        <f t="shared" si="24"/>
        <v>30.586206896551722</v>
      </c>
      <c r="O309">
        <f t="shared" si="29"/>
        <v>3.269447576099211</v>
      </c>
      <c r="P309" t="str">
        <f t="shared" si="25"/>
        <v>Low Stock</v>
      </c>
    </row>
    <row r="310" spans="1:16" hidden="1" x14ac:dyDescent="0.35">
      <c r="A310" s="4">
        <v>46151</v>
      </c>
      <c r="B310" t="s">
        <v>31</v>
      </c>
      <c r="C310" t="s">
        <v>32</v>
      </c>
      <c r="D310" t="s">
        <v>20</v>
      </c>
      <c r="E310" t="s">
        <v>21</v>
      </c>
      <c r="F310">
        <v>158</v>
      </c>
      <c r="G310">
        <v>40</v>
      </c>
      <c r="H310">
        <v>30</v>
      </c>
      <c r="I310">
        <f t="shared" si="26"/>
        <v>168</v>
      </c>
      <c r="J310">
        <v>35</v>
      </c>
      <c r="K310">
        <v>5</v>
      </c>
      <c r="L310" t="str">
        <f t="shared" si="27"/>
        <v>Correct</v>
      </c>
      <c r="M310">
        <f t="shared" si="28"/>
        <v>85.714285714285708</v>
      </c>
      <c r="N310">
        <f t="shared" si="24"/>
        <v>32.299999999999997</v>
      </c>
      <c r="O310">
        <f t="shared" si="29"/>
        <v>5.2012383900928798</v>
      </c>
      <c r="P310" t="str">
        <f t="shared" si="25"/>
        <v>Low Stock</v>
      </c>
    </row>
    <row r="311" spans="1:16" hidden="1" x14ac:dyDescent="0.35">
      <c r="A311" s="4">
        <v>46151</v>
      </c>
      <c r="B311" t="s">
        <v>31</v>
      </c>
      <c r="C311" t="s">
        <v>32</v>
      </c>
      <c r="D311" t="s">
        <v>22</v>
      </c>
      <c r="E311" t="s">
        <v>23</v>
      </c>
      <c r="F311">
        <v>327</v>
      </c>
      <c r="G311">
        <v>60</v>
      </c>
      <c r="H311">
        <v>30</v>
      </c>
      <c r="I311">
        <f t="shared" si="26"/>
        <v>357</v>
      </c>
      <c r="J311">
        <v>11</v>
      </c>
      <c r="K311">
        <v>1</v>
      </c>
      <c r="L311" t="str">
        <f t="shared" si="27"/>
        <v>Correct</v>
      </c>
      <c r="M311">
        <f t="shared" si="28"/>
        <v>272.72727272727269</v>
      </c>
      <c r="N311">
        <f t="shared" si="24"/>
        <v>10.413793103448276</v>
      </c>
      <c r="O311">
        <f t="shared" si="29"/>
        <v>34.281456953642383</v>
      </c>
      <c r="P311" t="str">
        <f t="shared" si="25"/>
        <v>Overstock</v>
      </c>
    </row>
    <row r="312" spans="1:16" hidden="1" x14ac:dyDescent="0.35">
      <c r="A312" s="4">
        <v>46151</v>
      </c>
      <c r="B312" t="s">
        <v>33</v>
      </c>
      <c r="C312" t="s">
        <v>34</v>
      </c>
      <c r="D312" t="s">
        <v>14</v>
      </c>
      <c r="E312" t="s">
        <v>15</v>
      </c>
      <c r="F312">
        <v>125</v>
      </c>
      <c r="G312">
        <v>6</v>
      </c>
      <c r="H312">
        <v>10</v>
      </c>
      <c r="I312">
        <f t="shared" si="26"/>
        <v>121</v>
      </c>
      <c r="J312">
        <v>12</v>
      </c>
      <c r="K312">
        <v>5</v>
      </c>
      <c r="L312" t="str">
        <f t="shared" si="27"/>
        <v>Correct</v>
      </c>
      <c r="M312">
        <f t="shared" si="28"/>
        <v>83.333333333333343</v>
      </c>
      <c r="N312">
        <f t="shared" si="24"/>
        <v>20.70967741935484</v>
      </c>
      <c r="O312">
        <f t="shared" si="29"/>
        <v>5.8426791277258561</v>
      </c>
      <c r="P312" t="str">
        <f t="shared" si="25"/>
        <v>Low Stock</v>
      </c>
    </row>
    <row r="313" spans="1:16" hidden="1" x14ac:dyDescent="0.35">
      <c r="A313" s="4">
        <v>46151</v>
      </c>
      <c r="B313" t="s">
        <v>33</v>
      </c>
      <c r="C313" t="s">
        <v>34</v>
      </c>
      <c r="D313" t="s">
        <v>16</v>
      </c>
      <c r="E313" t="s">
        <v>17</v>
      </c>
      <c r="F313">
        <v>167</v>
      </c>
      <c r="G313">
        <v>56</v>
      </c>
      <c r="H313">
        <v>20</v>
      </c>
      <c r="I313">
        <f t="shared" si="26"/>
        <v>203</v>
      </c>
      <c r="J313">
        <v>24</v>
      </c>
      <c r="K313">
        <v>2</v>
      </c>
      <c r="L313" t="str">
        <f t="shared" si="27"/>
        <v>Correct</v>
      </c>
      <c r="M313">
        <f t="shared" si="28"/>
        <v>83.333333333333343</v>
      </c>
      <c r="N313">
        <f t="shared" si="24"/>
        <v>22.142857142857142</v>
      </c>
      <c r="O313">
        <f t="shared" si="29"/>
        <v>9.1677419354838712</v>
      </c>
      <c r="P313" t="str">
        <f t="shared" si="25"/>
        <v>Low Stock</v>
      </c>
    </row>
    <row r="314" spans="1:16" x14ac:dyDescent="0.35">
      <c r="A314" s="4">
        <v>46151</v>
      </c>
      <c r="B314" t="s">
        <v>33</v>
      </c>
      <c r="C314" t="s">
        <v>34</v>
      </c>
      <c r="D314" t="s">
        <v>18</v>
      </c>
      <c r="E314" t="s">
        <v>19</v>
      </c>
      <c r="F314">
        <v>103</v>
      </c>
      <c r="G314">
        <v>9</v>
      </c>
      <c r="H314">
        <v>15</v>
      </c>
      <c r="I314">
        <f t="shared" si="26"/>
        <v>97</v>
      </c>
      <c r="J314">
        <v>24</v>
      </c>
      <c r="K314">
        <v>5</v>
      </c>
      <c r="L314" t="str">
        <f t="shared" si="27"/>
        <v>Correct</v>
      </c>
      <c r="M314">
        <f t="shared" si="28"/>
        <v>62.5</v>
      </c>
      <c r="N314">
        <f t="shared" si="24"/>
        <v>30.275862068965516</v>
      </c>
      <c r="O314">
        <f t="shared" si="29"/>
        <v>3.2038724373576311</v>
      </c>
      <c r="P314" t="str">
        <f t="shared" si="25"/>
        <v>Low Stock</v>
      </c>
    </row>
    <row r="315" spans="1:16" hidden="1" x14ac:dyDescent="0.35">
      <c r="A315" s="4">
        <v>46151</v>
      </c>
      <c r="B315" t="s">
        <v>33</v>
      </c>
      <c r="C315" t="s">
        <v>34</v>
      </c>
      <c r="D315" t="s">
        <v>20</v>
      </c>
      <c r="E315" t="s">
        <v>21</v>
      </c>
      <c r="F315">
        <v>284</v>
      </c>
      <c r="G315">
        <v>54</v>
      </c>
      <c r="H315">
        <v>23</v>
      </c>
      <c r="I315">
        <f t="shared" si="26"/>
        <v>315</v>
      </c>
      <c r="J315">
        <v>29</v>
      </c>
      <c r="K315">
        <v>4</v>
      </c>
      <c r="L315" t="str">
        <f t="shared" si="27"/>
        <v>Correct</v>
      </c>
      <c r="M315">
        <f t="shared" si="28"/>
        <v>79.310344827586206</v>
      </c>
      <c r="N315">
        <f t="shared" si="24"/>
        <v>30.931034482758619</v>
      </c>
      <c r="O315">
        <f t="shared" si="29"/>
        <v>10.183946488294314</v>
      </c>
      <c r="P315" t="str">
        <f t="shared" si="25"/>
        <v>Low Stock</v>
      </c>
    </row>
    <row r="316" spans="1:16" hidden="1" x14ac:dyDescent="0.35">
      <c r="A316" s="4">
        <v>46151</v>
      </c>
      <c r="B316" t="s">
        <v>33</v>
      </c>
      <c r="C316" t="s">
        <v>34</v>
      </c>
      <c r="D316" t="s">
        <v>22</v>
      </c>
      <c r="E316" t="s">
        <v>23</v>
      </c>
      <c r="F316">
        <v>279</v>
      </c>
      <c r="G316">
        <v>7</v>
      </c>
      <c r="H316">
        <v>16</v>
      </c>
      <c r="I316">
        <f t="shared" si="26"/>
        <v>270</v>
      </c>
      <c r="J316">
        <v>28</v>
      </c>
      <c r="K316">
        <v>5</v>
      </c>
      <c r="L316" t="str">
        <f t="shared" si="27"/>
        <v>Correct</v>
      </c>
      <c r="M316">
        <f t="shared" si="28"/>
        <v>57.142857142857139</v>
      </c>
      <c r="N316">
        <f t="shared" si="24"/>
        <v>10.25</v>
      </c>
      <c r="O316">
        <f t="shared" si="29"/>
        <v>26.341463414634145</v>
      </c>
      <c r="P316" t="str">
        <f t="shared" si="25"/>
        <v>Healthy</v>
      </c>
    </row>
    <row r="317" spans="1:16" hidden="1" x14ac:dyDescent="0.35">
      <c r="A317" s="4">
        <v>46152</v>
      </c>
      <c r="B317" t="s">
        <v>12</v>
      </c>
      <c r="C317" t="s">
        <v>13</v>
      </c>
      <c r="D317" t="s">
        <v>14</v>
      </c>
      <c r="E317" t="s">
        <v>15</v>
      </c>
      <c r="F317">
        <v>318</v>
      </c>
      <c r="G317">
        <v>53</v>
      </c>
      <c r="H317">
        <v>12</v>
      </c>
      <c r="I317">
        <f t="shared" si="26"/>
        <v>359</v>
      </c>
      <c r="J317">
        <v>16</v>
      </c>
      <c r="K317">
        <v>1</v>
      </c>
      <c r="L317" t="str">
        <f t="shared" si="27"/>
        <v>Correct</v>
      </c>
      <c r="M317">
        <f t="shared" si="28"/>
        <v>75</v>
      </c>
      <c r="N317">
        <f t="shared" si="24"/>
        <v>21.666666666666668</v>
      </c>
      <c r="O317">
        <f t="shared" si="29"/>
        <v>16.569230769230767</v>
      </c>
      <c r="P317" t="str">
        <f t="shared" si="25"/>
        <v>Healthy</v>
      </c>
    </row>
    <row r="318" spans="1:16" hidden="1" x14ac:dyDescent="0.35">
      <c r="A318" s="4">
        <v>46152</v>
      </c>
      <c r="B318" t="s">
        <v>12</v>
      </c>
      <c r="C318" t="s">
        <v>13</v>
      </c>
      <c r="D318" t="s">
        <v>16</v>
      </c>
      <c r="E318" t="s">
        <v>17</v>
      </c>
      <c r="F318">
        <v>262</v>
      </c>
      <c r="G318">
        <v>45</v>
      </c>
      <c r="H318">
        <v>22</v>
      </c>
      <c r="I318">
        <f t="shared" si="26"/>
        <v>285</v>
      </c>
      <c r="J318">
        <v>33</v>
      </c>
      <c r="K318">
        <v>1</v>
      </c>
      <c r="L318" t="str">
        <f t="shared" si="27"/>
        <v>Correct</v>
      </c>
      <c r="M318">
        <f t="shared" si="28"/>
        <v>66.666666666666657</v>
      </c>
      <c r="N318">
        <f t="shared" si="24"/>
        <v>20.030303030303031</v>
      </c>
      <c r="O318">
        <f t="shared" si="29"/>
        <v>14.228441754916792</v>
      </c>
      <c r="P318" t="str">
        <f t="shared" si="25"/>
        <v>Low Stock</v>
      </c>
    </row>
    <row r="319" spans="1:16" x14ac:dyDescent="0.35">
      <c r="A319" s="4">
        <v>46152</v>
      </c>
      <c r="B319" t="s">
        <v>12</v>
      </c>
      <c r="C319" t="s">
        <v>13</v>
      </c>
      <c r="D319" t="s">
        <v>18</v>
      </c>
      <c r="E319" t="s">
        <v>19</v>
      </c>
      <c r="F319">
        <v>92</v>
      </c>
      <c r="G319">
        <v>54</v>
      </c>
      <c r="H319">
        <v>38</v>
      </c>
      <c r="I319">
        <f t="shared" si="26"/>
        <v>108</v>
      </c>
      <c r="J319">
        <v>46</v>
      </c>
      <c r="K319">
        <v>3</v>
      </c>
      <c r="L319" t="str">
        <f t="shared" si="27"/>
        <v>Correct</v>
      </c>
      <c r="M319">
        <f t="shared" si="28"/>
        <v>82.608695652173907</v>
      </c>
      <c r="N319">
        <f t="shared" si="24"/>
        <v>33.34375</v>
      </c>
      <c r="O319">
        <f t="shared" si="29"/>
        <v>3.2389878163074037</v>
      </c>
      <c r="P319" t="str">
        <f t="shared" si="25"/>
        <v>Low Stock</v>
      </c>
    </row>
    <row r="320" spans="1:16" hidden="1" x14ac:dyDescent="0.35">
      <c r="A320" s="4">
        <v>46152</v>
      </c>
      <c r="B320" t="s">
        <v>12</v>
      </c>
      <c r="C320" t="s">
        <v>13</v>
      </c>
      <c r="D320" t="s">
        <v>20</v>
      </c>
      <c r="E320" t="s">
        <v>21</v>
      </c>
      <c r="F320">
        <v>96</v>
      </c>
      <c r="G320">
        <v>50</v>
      </c>
      <c r="H320">
        <v>25</v>
      </c>
      <c r="I320">
        <f t="shared" si="26"/>
        <v>121</v>
      </c>
      <c r="J320">
        <v>25</v>
      </c>
      <c r="K320">
        <v>2</v>
      </c>
      <c r="L320" t="str">
        <f t="shared" si="27"/>
        <v>Correct</v>
      </c>
      <c r="M320">
        <f t="shared" si="28"/>
        <v>100</v>
      </c>
      <c r="N320">
        <f t="shared" si="24"/>
        <v>34.515151515151516</v>
      </c>
      <c r="O320">
        <f t="shared" si="29"/>
        <v>3.5057067603160665</v>
      </c>
      <c r="P320" t="str">
        <f t="shared" si="25"/>
        <v>Low Stock</v>
      </c>
    </row>
    <row r="321" spans="1:16" hidden="1" x14ac:dyDescent="0.35">
      <c r="A321" s="4">
        <v>46152</v>
      </c>
      <c r="B321" t="s">
        <v>12</v>
      </c>
      <c r="C321" t="s">
        <v>13</v>
      </c>
      <c r="D321" t="s">
        <v>22</v>
      </c>
      <c r="E321" t="s">
        <v>23</v>
      </c>
      <c r="F321">
        <v>157</v>
      </c>
      <c r="G321">
        <v>49</v>
      </c>
      <c r="H321">
        <v>13</v>
      </c>
      <c r="I321">
        <f t="shared" si="26"/>
        <v>193</v>
      </c>
      <c r="J321">
        <v>20</v>
      </c>
      <c r="K321">
        <v>3</v>
      </c>
      <c r="L321" t="str">
        <f t="shared" si="27"/>
        <v>Correct</v>
      </c>
      <c r="M321">
        <f t="shared" si="28"/>
        <v>65</v>
      </c>
      <c r="N321">
        <f t="shared" si="24"/>
        <v>9.9032258064516121</v>
      </c>
      <c r="O321">
        <f t="shared" si="29"/>
        <v>19.488599348534205</v>
      </c>
      <c r="P321" t="str">
        <f t="shared" si="25"/>
        <v>Healthy</v>
      </c>
    </row>
    <row r="322" spans="1:16" hidden="1" x14ac:dyDescent="0.35">
      <c r="A322" s="4">
        <v>46152</v>
      </c>
      <c r="B322" t="s">
        <v>12</v>
      </c>
      <c r="C322" t="s">
        <v>24</v>
      </c>
      <c r="D322" t="s">
        <v>14</v>
      </c>
      <c r="E322" t="s">
        <v>15</v>
      </c>
      <c r="F322">
        <v>193</v>
      </c>
      <c r="G322">
        <v>18</v>
      </c>
      <c r="H322">
        <v>33</v>
      </c>
      <c r="I322">
        <f t="shared" si="26"/>
        <v>178</v>
      </c>
      <c r="J322">
        <v>39</v>
      </c>
      <c r="K322">
        <v>5</v>
      </c>
      <c r="L322" t="str">
        <f t="shared" si="27"/>
        <v>Correct</v>
      </c>
      <c r="M322">
        <f t="shared" si="28"/>
        <v>84.615384615384613</v>
      </c>
      <c r="N322">
        <f t="shared" ref="N322:N385" si="30">SUMIFS($H:$H,$B:$B,B322,$C:$C,C322,$D:$D,D322)/COUNTIFS($B:$B,B322,$C:$C,C322,$D:$D,D322)</f>
        <v>21.35483870967742</v>
      </c>
      <c r="O322">
        <f t="shared" si="29"/>
        <v>8.3353474320241698</v>
      </c>
      <c r="P322" t="str">
        <f t="shared" ref="P322:P385" si="31">IF(O322&lt;15,"Low Stock",IF(O322&lt;=30,"Healthy","Overstock"))</f>
        <v>Low Stock</v>
      </c>
    </row>
    <row r="323" spans="1:16" hidden="1" x14ac:dyDescent="0.35">
      <c r="A323" s="4">
        <v>46152</v>
      </c>
      <c r="B323" t="s">
        <v>12</v>
      </c>
      <c r="C323" t="s">
        <v>24</v>
      </c>
      <c r="D323" t="s">
        <v>16</v>
      </c>
      <c r="E323" t="s">
        <v>17</v>
      </c>
      <c r="F323">
        <v>197</v>
      </c>
      <c r="G323">
        <v>6</v>
      </c>
      <c r="H323">
        <v>12</v>
      </c>
      <c r="I323">
        <f t="shared" ref="I323:I386" si="32">F323+G323-H323</f>
        <v>191</v>
      </c>
      <c r="J323">
        <v>22</v>
      </c>
      <c r="K323">
        <v>5</v>
      </c>
      <c r="L323" t="str">
        <f t="shared" ref="L323:L386" si="33">IF(I323&lt;0,"Need verification","Correct")</f>
        <v>Correct</v>
      </c>
      <c r="M323">
        <f t="shared" ref="M323:M386" si="34">IF(J323=0,0,(H323/J323)*100)</f>
        <v>54.54545454545454</v>
      </c>
      <c r="N323">
        <f t="shared" si="30"/>
        <v>21.9</v>
      </c>
      <c r="O323">
        <f t="shared" ref="O323:O386" si="35">IFERROR(I323/N323,0)</f>
        <v>8.7214611872146133</v>
      </c>
      <c r="P323" t="str">
        <f t="shared" si="31"/>
        <v>Low Stock</v>
      </c>
    </row>
    <row r="324" spans="1:16" x14ac:dyDescent="0.35">
      <c r="A324" s="4">
        <v>46152</v>
      </c>
      <c r="B324" t="s">
        <v>12</v>
      </c>
      <c r="C324" t="s">
        <v>24</v>
      </c>
      <c r="D324" t="s">
        <v>18</v>
      </c>
      <c r="E324" t="s">
        <v>19</v>
      </c>
      <c r="F324">
        <v>75</v>
      </c>
      <c r="G324">
        <v>40</v>
      </c>
      <c r="H324">
        <v>41</v>
      </c>
      <c r="I324">
        <f t="shared" si="32"/>
        <v>74</v>
      </c>
      <c r="J324">
        <v>55</v>
      </c>
      <c r="K324">
        <v>5</v>
      </c>
      <c r="L324" t="str">
        <f t="shared" si="33"/>
        <v>Correct</v>
      </c>
      <c r="M324">
        <f t="shared" si="34"/>
        <v>74.545454545454547</v>
      </c>
      <c r="N324">
        <f t="shared" si="30"/>
        <v>31.586206896551722</v>
      </c>
      <c r="O324">
        <f t="shared" si="35"/>
        <v>2.3427947598253276</v>
      </c>
      <c r="P324" t="str">
        <f t="shared" si="31"/>
        <v>Low Stock</v>
      </c>
    </row>
    <row r="325" spans="1:16" hidden="1" x14ac:dyDescent="0.35">
      <c r="A325" s="4">
        <v>46152</v>
      </c>
      <c r="B325" t="s">
        <v>12</v>
      </c>
      <c r="C325" t="s">
        <v>24</v>
      </c>
      <c r="D325" t="s">
        <v>20</v>
      </c>
      <c r="E325" t="s">
        <v>21</v>
      </c>
      <c r="F325">
        <v>113</v>
      </c>
      <c r="G325">
        <v>7</v>
      </c>
      <c r="H325">
        <v>28</v>
      </c>
      <c r="I325">
        <f t="shared" si="32"/>
        <v>92</v>
      </c>
      <c r="J325">
        <v>34</v>
      </c>
      <c r="K325">
        <v>2</v>
      </c>
      <c r="L325" t="str">
        <f t="shared" si="33"/>
        <v>Correct</v>
      </c>
      <c r="M325">
        <f t="shared" si="34"/>
        <v>82.35294117647058</v>
      </c>
      <c r="N325">
        <f t="shared" si="30"/>
        <v>34.200000000000003</v>
      </c>
      <c r="O325">
        <f t="shared" si="35"/>
        <v>2.6900584795321634</v>
      </c>
      <c r="P325" t="str">
        <f t="shared" si="31"/>
        <v>Low Stock</v>
      </c>
    </row>
    <row r="326" spans="1:16" hidden="1" x14ac:dyDescent="0.35">
      <c r="A326" s="4">
        <v>46152</v>
      </c>
      <c r="B326" t="s">
        <v>12</v>
      </c>
      <c r="C326" t="s">
        <v>24</v>
      </c>
      <c r="D326" t="s">
        <v>22</v>
      </c>
      <c r="E326" t="s">
        <v>23</v>
      </c>
      <c r="F326">
        <v>306</v>
      </c>
      <c r="G326">
        <v>39</v>
      </c>
      <c r="H326">
        <v>17</v>
      </c>
      <c r="I326">
        <f t="shared" si="32"/>
        <v>328</v>
      </c>
      <c r="J326">
        <v>18</v>
      </c>
      <c r="K326">
        <v>5</v>
      </c>
      <c r="L326" t="str">
        <f t="shared" si="33"/>
        <v>Correct</v>
      </c>
      <c r="M326">
        <f t="shared" si="34"/>
        <v>94.444444444444443</v>
      </c>
      <c r="N326">
        <f t="shared" si="30"/>
        <v>10.96551724137931</v>
      </c>
      <c r="O326">
        <f t="shared" si="35"/>
        <v>29.911949685534594</v>
      </c>
      <c r="P326" t="str">
        <f t="shared" si="31"/>
        <v>Healthy</v>
      </c>
    </row>
    <row r="327" spans="1:16" hidden="1" x14ac:dyDescent="0.35">
      <c r="A327" s="4">
        <v>46152</v>
      </c>
      <c r="B327" t="s">
        <v>12</v>
      </c>
      <c r="C327" t="s">
        <v>25</v>
      </c>
      <c r="D327" t="s">
        <v>14</v>
      </c>
      <c r="E327" t="s">
        <v>15</v>
      </c>
      <c r="F327">
        <v>199</v>
      </c>
      <c r="G327">
        <v>3</v>
      </c>
      <c r="H327">
        <v>22</v>
      </c>
      <c r="I327">
        <f t="shared" si="32"/>
        <v>180</v>
      </c>
      <c r="J327">
        <v>35</v>
      </c>
      <c r="K327">
        <v>1</v>
      </c>
      <c r="L327" t="str">
        <f t="shared" si="33"/>
        <v>Correct</v>
      </c>
      <c r="M327">
        <f t="shared" si="34"/>
        <v>62.857142857142854</v>
      </c>
      <c r="N327">
        <f t="shared" si="30"/>
        <v>20.7</v>
      </c>
      <c r="O327">
        <f t="shared" si="35"/>
        <v>8.695652173913043</v>
      </c>
      <c r="P327" t="str">
        <f t="shared" si="31"/>
        <v>Low Stock</v>
      </c>
    </row>
    <row r="328" spans="1:16" hidden="1" x14ac:dyDescent="0.35">
      <c r="A328" s="4">
        <v>46152</v>
      </c>
      <c r="B328" t="s">
        <v>12</v>
      </c>
      <c r="C328" t="s">
        <v>25</v>
      </c>
      <c r="D328" t="s">
        <v>16</v>
      </c>
      <c r="E328" t="s">
        <v>17</v>
      </c>
      <c r="F328">
        <v>176</v>
      </c>
      <c r="G328">
        <v>36</v>
      </c>
      <c r="H328">
        <v>13</v>
      </c>
      <c r="I328">
        <f t="shared" si="32"/>
        <v>199</v>
      </c>
      <c r="J328">
        <v>26</v>
      </c>
      <c r="K328">
        <v>5</v>
      </c>
      <c r="L328" t="str">
        <f t="shared" si="33"/>
        <v>Correct</v>
      </c>
      <c r="M328">
        <f t="shared" si="34"/>
        <v>50</v>
      </c>
      <c r="N328">
        <f t="shared" si="30"/>
        <v>23.758620689655171</v>
      </c>
      <c r="O328">
        <f t="shared" si="35"/>
        <v>8.3759071117561685</v>
      </c>
      <c r="P328" t="str">
        <f t="shared" si="31"/>
        <v>Low Stock</v>
      </c>
    </row>
    <row r="329" spans="1:16" x14ac:dyDescent="0.35">
      <c r="A329" s="4">
        <v>46152</v>
      </c>
      <c r="B329" t="s">
        <v>12</v>
      </c>
      <c r="C329" t="s">
        <v>25</v>
      </c>
      <c r="D329" t="s">
        <v>18</v>
      </c>
      <c r="E329" t="s">
        <v>19</v>
      </c>
      <c r="F329">
        <v>153</v>
      </c>
      <c r="G329">
        <v>53</v>
      </c>
      <c r="H329">
        <v>26</v>
      </c>
      <c r="I329">
        <f t="shared" si="32"/>
        <v>180</v>
      </c>
      <c r="J329">
        <v>41</v>
      </c>
      <c r="K329">
        <v>5</v>
      </c>
      <c r="L329" t="str">
        <f t="shared" si="33"/>
        <v>Correct</v>
      </c>
      <c r="M329">
        <f t="shared" si="34"/>
        <v>63.414634146341463</v>
      </c>
      <c r="N329">
        <f t="shared" si="30"/>
        <v>31.142857142857142</v>
      </c>
      <c r="O329">
        <f t="shared" si="35"/>
        <v>5.7798165137614683</v>
      </c>
      <c r="P329" t="str">
        <f t="shared" si="31"/>
        <v>Low Stock</v>
      </c>
    </row>
    <row r="330" spans="1:16" hidden="1" x14ac:dyDescent="0.35">
      <c r="A330" s="4">
        <v>46152</v>
      </c>
      <c r="B330" t="s">
        <v>12</v>
      </c>
      <c r="C330" t="s">
        <v>25</v>
      </c>
      <c r="D330" t="s">
        <v>20</v>
      </c>
      <c r="E330" t="s">
        <v>21</v>
      </c>
      <c r="F330">
        <v>179</v>
      </c>
      <c r="G330">
        <v>42</v>
      </c>
      <c r="H330">
        <v>38</v>
      </c>
      <c r="I330">
        <f t="shared" si="32"/>
        <v>183</v>
      </c>
      <c r="J330">
        <v>53</v>
      </c>
      <c r="K330">
        <v>4</v>
      </c>
      <c r="L330" t="str">
        <f t="shared" si="33"/>
        <v>Correct</v>
      </c>
      <c r="M330">
        <f t="shared" si="34"/>
        <v>71.698113207547166</v>
      </c>
      <c r="N330">
        <f t="shared" si="30"/>
        <v>31.137931034482758</v>
      </c>
      <c r="O330">
        <f t="shared" si="35"/>
        <v>5.8770764119601333</v>
      </c>
      <c r="P330" t="str">
        <f t="shared" si="31"/>
        <v>Low Stock</v>
      </c>
    </row>
    <row r="331" spans="1:16" hidden="1" x14ac:dyDescent="0.35">
      <c r="A331" s="4">
        <v>46152</v>
      </c>
      <c r="B331" t="s">
        <v>12</v>
      </c>
      <c r="C331" t="s">
        <v>25</v>
      </c>
      <c r="D331" t="s">
        <v>22</v>
      </c>
      <c r="E331" t="s">
        <v>23</v>
      </c>
      <c r="F331">
        <v>312</v>
      </c>
      <c r="G331">
        <v>18</v>
      </c>
      <c r="H331">
        <v>14</v>
      </c>
      <c r="I331">
        <f t="shared" si="32"/>
        <v>316</v>
      </c>
      <c r="J331">
        <v>17</v>
      </c>
      <c r="K331">
        <v>4</v>
      </c>
      <c r="L331" t="str">
        <f t="shared" si="33"/>
        <v>Correct</v>
      </c>
      <c r="M331">
        <f t="shared" si="34"/>
        <v>82.35294117647058</v>
      </c>
      <c r="N331">
        <f t="shared" si="30"/>
        <v>11.3</v>
      </c>
      <c r="O331">
        <f t="shared" si="35"/>
        <v>27.964601769911503</v>
      </c>
      <c r="P331" t="str">
        <f t="shared" si="31"/>
        <v>Healthy</v>
      </c>
    </row>
    <row r="332" spans="1:16" hidden="1" x14ac:dyDescent="0.35">
      <c r="A332" s="4">
        <v>46152</v>
      </c>
      <c r="B332" t="s">
        <v>26</v>
      </c>
      <c r="C332" t="s">
        <v>27</v>
      </c>
      <c r="D332" t="s">
        <v>14</v>
      </c>
      <c r="E332" t="s">
        <v>15</v>
      </c>
      <c r="F332">
        <v>294</v>
      </c>
      <c r="G332">
        <v>27</v>
      </c>
      <c r="H332">
        <v>10</v>
      </c>
      <c r="I332">
        <f t="shared" si="32"/>
        <v>311</v>
      </c>
      <c r="J332">
        <v>10</v>
      </c>
      <c r="K332">
        <v>2</v>
      </c>
      <c r="L332" t="str">
        <f t="shared" si="33"/>
        <v>Correct</v>
      </c>
      <c r="M332">
        <f t="shared" si="34"/>
        <v>100</v>
      </c>
      <c r="N332">
        <f t="shared" si="30"/>
        <v>22.258064516129032</v>
      </c>
      <c r="O332">
        <f t="shared" si="35"/>
        <v>13.972463768115942</v>
      </c>
      <c r="P332" t="str">
        <f t="shared" si="31"/>
        <v>Low Stock</v>
      </c>
    </row>
    <row r="333" spans="1:16" hidden="1" x14ac:dyDescent="0.35">
      <c r="A333" s="4">
        <v>46152</v>
      </c>
      <c r="B333" t="s">
        <v>26</v>
      </c>
      <c r="C333" t="s">
        <v>27</v>
      </c>
      <c r="D333" t="s">
        <v>16</v>
      </c>
      <c r="E333" t="s">
        <v>17</v>
      </c>
      <c r="F333">
        <v>138</v>
      </c>
      <c r="G333">
        <v>54</v>
      </c>
      <c r="H333">
        <v>21</v>
      </c>
      <c r="I333">
        <f t="shared" si="32"/>
        <v>171</v>
      </c>
      <c r="J333">
        <v>24</v>
      </c>
      <c r="K333">
        <v>4</v>
      </c>
      <c r="L333" t="str">
        <f t="shared" si="33"/>
        <v>Correct</v>
      </c>
      <c r="M333">
        <f t="shared" si="34"/>
        <v>87.5</v>
      </c>
      <c r="N333">
        <f t="shared" si="30"/>
        <v>20.172413793103448</v>
      </c>
      <c r="O333">
        <f t="shared" si="35"/>
        <v>8.476923076923077</v>
      </c>
      <c r="P333" t="str">
        <f t="shared" si="31"/>
        <v>Low Stock</v>
      </c>
    </row>
    <row r="334" spans="1:16" x14ac:dyDescent="0.35">
      <c r="A334" s="4">
        <v>46156</v>
      </c>
      <c r="B334" t="s">
        <v>26</v>
      </c>
      <c r="C334" t="s">
        <v>27</v>
      </c>
      <c r="D334" t="s">
        <v>18</v>
      </c>
      <c r="E334" t="s">
        <v>19</v>
      </c>
      <c r="F334">
        <v>169</v>
      </c>
      <c r="G334">
        <v>36</v>
      </c>
      <c r="H334">
        <v>20</v>
      </c>
      <c r="I334">
        <f t="shared" si="32"/>
        <v>185</v>
      </c>
      <c r="J334">
        <v>26</v>
      </c>
      <c r="K334">
        <v>3</v>
      </c>
      <c r="L334" t="str">
        <f t="shared" si="33"/>
        <v>Correct</v>
      </c>
      <c r="M334">
        <f t="shared" si="34"/>
        <v>76.923076923076934</v>
      </c>
      <c r="N334">
        <f t="shared" si="30"/>
        <v>29.733333333333334</v>
      </c>
      <c r="O334">
        <f t="shared" si="35"/>
        <v>6.2219730941704032</v>
      </c>
      <c r="P334" t="str">
        <f t="shared" si="31"/>
        <v>Low Stock</v>
      </c>
    </row>
    <row r="335" spans="1:16" hidden="1" x14ac:dyDescent="0.35">
      <c r="A335" s="4">
        <v>46152</v>
      </c>
      <c r="B335" t="s">
        <v>26</v>
      </c>
      <c r="C335" t="s">
        <v>27</v>
      </c>
      <c r="D335" t="s">
        <v>20</v>
      </c>
      <c r="E335" t="s">
        <v>21</v>
      </c>
      <c r="F335">
        <v>224</v>
      </c>
      <c r="G335">
        <v>60</v>
      </c>
      <c r="H335">
        <v>25</v>
      </c>
      <c r="I335">
        <f t="shared" si="32"/>
        <v>259</v>
      </c>
      <c r="J335">
        <v>26</v>
      </c>
      <c r="K335">
        <v>2</v>
      </c>
      <c r="L335" t="str">
        <f t="shared" si="33"/>
        <v>Correct</v>
      </c>
      <c r="M335">
        <f t="shared" si="34"/>
        <v>96.15384615384616</v>
      </c>
      <c r="N335">
        <f t="shared" si="30"/>
        <v>30.724137931034484</v>
      </c>
      <c r="O335">
        <f t="shared" si="35"/>
        <v>8.4298540965207636</v>
      </c>
      <c r="P335" t="str">
        <f t="shared" si="31"/>
        <v>Low Stock</v>
      </c>
    </row>
    <row r="336" spans="1:16" hidden="1" x14ac:dyDescent="0.35">
      <c r="A336" s="4">
        <v>46152</v>
      </c>
      <c r="B336" t="s">
        <v>26</v>
      </c>
      <c r="C336" t="s">
        <v>27</v>
      </c>
      <c r="D336" t="s">
        <v>22</v>
      </c>
      <c r="E336" t="s">
        <v>23</v>
      </c>
      <c r="F336">
        <v>227</v>
      </c>
      <c r="G336">
        <v>58</v>
      </c>
      <c r="H336">
        <v>12</v>
      </c>
      <c r="I336">
        <f t="shared" si="32"/>
        <v>273</v>
      </c>
      <c r="J336">
        <v>19</v>
      </c>
      <c r="K336">
        <v>5</v>
      </c>
      <c r="L336" t="str">
        <f t="shared" si="33"/>
        <v>Correct</v>
      </c>
      <c r="M336">
        <f t="shared" si="34"/>
        <v>63.157894736842103</v>
      </c>
      <c r="N336">
        <f t="shared" si="30"/>
        <v>11.566666666666666</v>
      </c>
      <c r="O336">
        <f t="shared" si="35"/>
        <v>23.602305475504323</v>
      </c>
      <c r="P336" t="str">
        <f t="shared" si="31"/>
        <v>Healthy</v>
      </c>
    </row>
    <row r="337" spans="1:16" hidden="1" x14ac:dyDescent="0.35">
      <c r="A337" s="4">
        <v>46152</v>
      </c>
      <c r="B337" t="s">
        <v>28</v>
      </c>
      <c r="C337" t="s">
        <v>29</v>
      </c>
      <c r="D337" t="s">
        <v>14</v>
      </c>
      <c r="E337" t="s">
        <v>15</v>
      </c>
      <c r="F337">
        <v>248</v>
      </c>
      <c r="G337">
        <v>18</v>
      </c>
      <c r="H337">
        <v>13</v>
      </c>
      <c r="I337">
        <f t="shared" si="32"/>
        <v>253</v>
      </c>
      <c r="J337">
        <v>18</v>
      </c>
      <c r="K337">
        <v>5</v>
      </c>
      <c r="L337" t="str">
        <f t="shared" si="33"/>
        <v>Correct</v>
      </c>
      <c r="M337">
        <f t="shared" si="34"/>
        <v>72.222222222222214</v>
      </c>
      <c r="N337">
        <f t="shared" si="30"/>
        <v>22.25</v>
      </c>
      <c r="O337">
        <f t="shared" si="35"/>
        <v>11.370786516853933</v>
      </c>
      <c r="P337" t="str">
        <f t="shared" si="31"/>
        <v>Low Stock</v>
      </c>
    </row>
    <row r="338" spans="1:16" hidden="1" x14ac:dyDescent="0.35">
      <c r="A338" s="4">
        <v>46152</v>
      </c>
      <c r="B338" t="s">
        <v>28</v>
      </c>
      <c r="C338" t="s">
        <v>29</v>
      </c>
      <c r="D338" t="s">
        <v>16</v>
      </c>
      <c r="E338" t="s">
        <v>17</v>
      </c>
      <c r="F338">
        <v>178</v>
      </c>
      <c r="G338">
        <v>20</v>
      </c>
      <c r="H338">
        <v>16</v>
      </c>
      <c r="I338">
        <f t="shared" si="32"/>
        <v>182</v>
      </c>
      <c r="J338">
        <v>17</v>
      </c>
      <c r="K338">
        <v>2</v>
      </c>
      <c r="L338" t="str">
        <f t="shared" si="33"/>
        <v>Correct</v>
      </c>
      <c r="M338">
        <f t="shared" si="34"/>
        <v>94.117647058823522</v>
      </c>
      <c r="N338">
        <f t="shared" si="30"/>
        <v>19.96551724137931</v>
      </c>
      <c r="O338">
        <f t="shared" si="35"/>
        <v>9.1157167530224523</v>
      </c>
      <c r="P338" t="str">
        <f t="shared" si="31"/>
        <v>Low Stock</v>
      </c>
    </row>
    <row r="339" spans="1:16" x14ac:dyDescent="0.35">
      <c r="A339" s="4">
        <v>46152</v>
      </c>
      <c r="B339" t="s">
        <v>28</v>
      </c>
      <c r="C339" t="s">
        <v>29</v>
      </c>
      <c r="D339" t="s">
        <v>18</v>
      </c>
      <c r="E339" t="s">
        <v>19</v>
      </c>
      <c r="F339">
        <v>137</v>
      </c>
      <c r="G339">
        <v>0</v>
      </c>
      <c r="H339">
        <v>22</v>
      </c>
      <c r="I339">
        <f t="shared" si="32"/>
        <v>115</v>
      </c>
      <c r="J339">
        <v>32</v>
      </c>
      <c r="K339">
        <v>1</v>
      </c>
      <c r="L339" t="str">
        <f t="shared" si="33"/>
        <v>Correct</v>
      </c>
      <c r="M339">
        <f t="shared" si="34"/>
        <v>68.75</v>
      </c>
      <c r="N339">
        <f t="shared" si="30"/>
        <v>31.206896551724139</v>
      </c>
      <c r="O339">
        <f t="shared" si="35"/>
        <v>3.6850828729281768</v>
      </c>
      <c r="P339" t="str">
        <f t="shared" si="31"/>
        <v>Low Stock</v>
      </c>
    </row>
    <row r="340" spans="1:16" hidden="1" x14ac:dyDescent="0.35">
      <c r="A340" s="4">
        <v>46152</v>
      </c>
      <c r="B340" t="s">
        <v>28</v>
      </c>
      <c r="C340" t="s">
        <v>29</v>
      </c>
      <c r="D340" t="s">
        <v>20</v>
      </c>
      <c r="E340" t="s">
        <v>21</v>
      </c>
      <c r="F340">
        <v>121</v>
      </c>
      <c r="G340">
        <v>29</v>
      </c>
      <c r="H340">
        <v>18</v>
      </c>
      <c r="I340">
        <f t="shared" si="32"/>
        <v>132</v>
      </c>
      <c r="J340">
        <v>29</v>
      </c>
      <c r="K340">
        <v>2</v>
      </c>
      <c r="L340" t="str">
        <f t="shared" si="33"/>
        <v>Correct</v>
      </c>
      <c r="M340">
        <f t="shared" si="34"/>
        <v>62.068965517241381</v>
      </c>
      <c r="N340">
        <f t="shared" si="30"/>
        <v>32.620689655172413</v>
      </c>
      <c r="O340">
        <f t="shared" si="35"/>
        <v>4.0465116279069768</v>
      </c>
      <c r="P340" t="str">
        <f t="shared" si="31"/>
        <v>Low Stock</v>
      </c>
    </row>
    <row r="341" spans="1:16" hidden="1" x14ac:dyDescent="0.35">
      <c r="A341" s="4">
        <v>46152</v>
      </c>
      <c r="B341" t="s">
        <v>28</v>
      </c>
      <c r="C341" t="s">
        <v>29</v>
      </c>
      <c r="D341" t="s">
        <v>22</v>
      </c>
      <c r="E341" t="s">
        <v>23</v>
      </c>
      <c r="F341">
        <v>356</v>
      </c>
      <c r="G341">
        <v>52</v>
      </c>
      <c r="H341">
        <v>3</v>
      </c>
      <c r="I341">
        <f t="shared" si="32"/>
        <v>405</v>
      </c>
      <c r="J341">
        <v>3</v>
      </c>
      <c r="K341">
        <v>3</v>
      </c>
      <c r="L341" t="str">
        <f t="shared" si="33"/>
        <v>Correct</v>
      </c>
      <c r="M341">
        <f t="shared" si="34"/>
        <v>100</v>
      </c>
      <c r="N341">
        <f t="shared" si="30"/>
        <v>11.678571428571429</v>
      </c>
      <c r="O341">
        <f t="shared" si="35"/>
        <v>34.678899082568805</v>
      </c>
      <c r="P341" t="str">
        <f t="shared" si="31"/>
        <v>Overstock</v>
      </c>
    </row>
    <row r="342" spans="1:16" hidden="1" x14ac:dyDescent="0.35">
      <c r="A342" s="4">
        <v>46152</v>
      </c>
      <c r="B342" t="s">
        <v>31</v>
      </c>
      <c r="C342" t="s">
        <v>32</v>
      </c>
      <c r="D342" t="s">
        <v>14</v>
      </c>
      <c r="E342" t="s">
        <v>15</v>
      </c>
      <c r="F342">
        <v>199</v>
      </c>
      <c r="G342">
        <v>32</v>
      </c>
      <c r="H342">
        <v>22</v>
      </c>
      <c r="I342">
        <f t="shared" si="32"/>
        <v>209</v>
      </c>
      <c r="J342">
        <v>0</v>
      </c>
      <c r="K342">
        <v>5</v>
      </c>
      <c r="L342" t="str">
        <f t="shared" si="33"/>
        <v>Correct</v>
      </c>
      <c r="M342">
        <f t="shared" si="34"/>
        <v>0</v>
      </c>
      <c r="N342">
        <f t="shared" si="30"/>
        <v>20.84375</v>
      </c>
      <c r="O342">
        <f t="shared" si="35"/>
        <v>10.026986506746626</v>
      </c>
      <c r="P342" t="str">
        <f t="shared" si="31"/>
        <v>Low Stock</v>
      </c>
    </row>
    <row r="343" spans="1:16" hidden="1" x14ac:dyDescent="0.35">
      <c r="A343" s="4">
        <v>46152</v>
      </c>
      <c r="B343" t="s">
        <v>31</v>
      </c>
      <c r="C343" t="s">
        <v>32</v>
      </c>
      <c r="D343" t="s">
        <v>16</v>
      </c>
      <c r="E343" t="s">
        <v>17</v>
      </c>
      <c r="F343">
        <v>246</v>
      </c>
      <c r="G343">
        <v>45</v>
      </c>
      <c r="H343">
        <v>15</v>
      </c>
      <c r="I343">
        <f t="shared" si="32"/>
        <v>276</v>
      </c>
      <c r="J343">
        <v>18</v>
      </c>
      <c r="K343">
        <v>3</v>
      </c>
      <c r="L343" t="str">
        <f t="shared" si="33"/>
        <v>Correct</v>
      </c>
      <c r="M343">
        <f t="shared" si="34"/>
        <v>83.333333333333343</v>
      </c>
      <c r="N343">
        <f t="shared" si="30"/>
        <v>21.46875</v>
      </c>
      <c r="O343">
        <f t="shared" si="35"/>
        <v>12.85589519650655</v>
      </c>
      <c r="P343" t="str">
        <f t="shared" si="31"/>
        <v>Low Stock</v>
      </c>
    </row>
    <row r="344" spans="1:16" hidden="1" x14ac:dyDescent="0.35">
      <c r="A344" s="4">
        <v>46152</v>
      </c>
      <c r="B344" t="s">
        <v>31</v>
      </c>
      <c r="C344" t="s">
        <v>32</v>
      </c>
      <c r="D344" t="s">
        <v>14</v>
      </c>
      <c r="E344" t="s">
        <v>15</v>
      </c>
      <c r="F344">
        <v>100</v>
      </c>
      <c r="G344">
        <v>12</v>
      </c>
      <c r="H344">
        <v>28</v>
      </c>
      <c r="I344">
        <f t="shared" si="32"/>
        <v>84</v>
      </c>
      <c r="J344">
        <v>39</v>
      </c>
      <c r="K344">
        <v>1</v>
      </c>
      <c r="L344" t="str">
        <f t="shared" si="33"/>
        <v>Correct</v>
      </c>
      <c r="M344">
        <f t="shared" si="34"/>
        <v>71.794871794871796</v>
      </c>
      <c r="N344">
        <f t="shared" si="30"/>
        <v>20.84375</v>
      </c>
      <c r="O344">
        <f t="shared" si="35"/>
        <v>4.0299850074962515</v>
      </c>
      <c r="P344" t="str">
        <f t="shared" si="31"/>
        <v>Low Stock</v>
      </c>
    </row>
    <row r="345" spans="1:16" hidden="1" x14ac:dyDescent="0.35">
      <c r="A345" s="4">
        <v>46152</v>
      </c>
      <c r="B345" t="s">
        <v>12</v>
      </c>
      <c r="C345" t="s">
        <v>13</v>
      </c>
      <c r="D345" t="s">
        <v>20</v>
      </c>
      <c r="E345" t="s">
        <v>21</v>
      </c>
      <c r="F345">
        <v>168</v>
      </c>
      <c r="G345">
        <v>16</v>
      </c>
      <c r="H345">
        <v>38</v>
      </c>
      <c r="I345">
        <f t="shared" si="32"/>
        <v>146</v>
      </c>
      <c r="J345">
        <v>39</v>
      </c>
      <c r="K345">
        <v>3</v>
      </c>
      <c r="L345" t="str">
        <f t="shared" si="33"/>
        <v>Correct</v>
      </c>
      <c r="M345">
        <f t="shared" si="34"/>
        <v>97.435897435897431</v>
      </c>
      <c r="N345">
        <f t="shared" si="30"/>
        <v>34.515151515151516</v>
      </c>
      <c r="O345">
        <f t="shared" si="35"/>
        <v>4.230026338893766</v>
      </c>
      <c r="P345" t="str">
        <f t="shared" si="31"/>
        <v>Low Stock</v>
      </c>
    </row>
    <row r="346" spans="1:16" hidden="1" x14ac:dyDescent="0.35">
      <c r="A346" s="4">
        <v>46152</v>
      </c>
      <c r="B346" t="s">
        <v>31</v>
      </c>
      <c r="C346" t="s">
        <v>32</v>
      </c>
      <c r="D346" t="s">
        <v>22</v>
      </c>
      <c r="E346" t="s">
        <v>23</v>
      </c>
      <c r="F346">
        <v>376</v>
      </c>
      <c r="G346">
        <v>60</v>
      </c>
      <c r="H346">
        <v>10</v>
      </c>
      <c r="I346">
        <f t="shared" si="32"/>
        <v>426</v>
      </c>
      <c r="J346">
        <v>22</v>
      </c>
      <c r="K346">
        <v>4</v>
      </c>
      <c r="L346" t="str">
        <f t="shared" si="33"/>
        <v>Correct</v>
      </c>
      <c r="M346">
        <f t="shared" si="34"/>
        <v>45.454545454545453</v>
      </c>
      <c r="N346">
        <f t="shared" si="30"/>
        <v>10.413793103448276</v>
      </c>
      <c r="O346">
        <f t="shared" si="35"/>
        <v>40.907284768211923</v>
      </c>
      <c r="P346" t="str">
        <f t="shared" si="31"/>
        <v>Overstock</v>
      </c>
    </row>
    <row r="347" spans="1:16" hidden="1" x14ac:dyDescent="0.35">
      <c r="A347" s="4">
        <v>46152</v>
      </c>
      <c r="B347" t="s">
        <v>33</v>
      </c>
      <c r="C347" t="s">
        <v>34</v>
      </c>
      <c r="D347" t="s">
        <v>14</v>
      </c>
      <c r="E347" t="s">
        <v>15</v>
      </c>
      <c r="F347">
        <v>121</v>
      </c>
      <c r="G347">
        <v>52</v>
      </c>
      <c r="H347">
        <v>27</v>
      </c>
      <c r="I347">
        <f t="shared" si="32"/>
        <v>146</v>
      </c>
      <c r="J347">
        <v>32</v>
      </c>
      <c r="K347">
        <v>1</v>
      </c>
      <c r="L347" t="str">
        <f t="shared" si="33"/>
        <v>Correct</v>
      </c>
      <c r="M347">
        <f t="shared" si="34"/>
        <v>84.375</v>
      </c>
      <c r="N347">
        <f t="shared" si="30"/>
        <v>20.70967741935484</v>
      </c>
      <c r="O347">
        <f t="shared" si="35"/>
        <v>7.0498442367601246</v>
      </c>
      <c r="P347" t="str">
        <f t="shared" si="31"/>
        <v>Low Stock</v>
      </c>
    </row>
    <row r="348" spans="1:16" hidden="1" x14ac:dyDescent="0.35">
      <c r="A348" s="4">
        <v>46152</v>
      </c>
      <c r="B348" t="s">
        <v>33</v>
      </c>
      <c r="C348" t="s">
        <v>34</v>
      </c>
      <c r="D348" t="s">
        <v>16</v>
      </c>
      <c r="E348" t="s">
        <v>17</v>
      </c>
      <c r="F348">
        <v>203</v>
      </c>
      <c r="G348">
        <v>31</v>
      </c>
      <c r="H348">
        <v>18</v>
      </c>
      <c r="I348">
        <f t="shared" si="32"/>
        <v>216</v>
      </c>
      <c r="J348">
        <v>27</v>
      </c>
      <c r="K348">
        <v>4</v>
      </c>
      <c r="L348" t="str">
        <f t="shared" si="33"/>
        <v>Correct</v>
      </c>
      <c r="M348">
        <f t="shared" si="34"/>
        <v>66.666666666666657</v>
      </c>
      <c r="N348">
        <f t="shared" si="30"/>
        <v>22.142857142857142</v>
      </c>
      <c r="O348">
        <f t="shared" si="35"/>
        <v>9.7548387096774203</v>
      </c>
      <c r="P348" t="str">
        <f t="shared" si="31"/>
        <v>Low Stock</v>
      </c>
    </row>
    <row r="349" spans="1:16" x14ac:dyDescent="0.35">
      <c r="A349" s="4">
        <v>46152</v>
      </c>
      <c r="B349" t="s">
        <v>33</v>
      </c>
      <c r="C349" t="s">
        <v>34</v>
      </c>
      <c r="D349" t="s">
        <v>18</v>
      </c>
      <c r="E349" t="s">
        <v>19</v>
      </c>
      <c r="F349">
        <v>97</v>
      </c>
      <c r="G349">
        <v>60</v>
      </c>
      <c r="H349">
        <v>21</v>
      </c>
      <c r="I349">
        <f t="shared" si="32"/>
        <v>136</v>
      </c>
      <c r="J349">
        <v>32</v>
      </c>
      <c r="K349">
        <v>2</v>
      </c>
      <c r="L349" t="str">
        <f t="shared" si="33"/>
        <v>Correct</v>
      </c>
      <c r="M349">
        <f t="shared" si="34"/>
        <v>65.625</v>
      </c>
      <c r="N349">
        <f t="shared" si="30"/>
        <v>30.275862068965516</v>
      </c>
      <c r="O349">
        <f t="shared" si="35"/>
        <v>4.4920273348519366</v>
      </c>
      <c r="P349" t="str">
        <f t="shared" si="31"/>
        <v>Low Stock</v>
      </c>
    </row>
    <row r="350" spans="1:16" hidden="1" x14ac:dyDescent="0.35">
      <c r="A350" s="4">
        <v>46152</v>
      </c>
      <c r="B350" t="s">
        <v>33</v>
      </c>
      <c r="C350" t="s">
        <v>34</v>
      </c>
      <c r="D350" t="s">
        <v>20</v>
      </c>
      <c r="E350" t="s">
        <v>21</v>
      </c>
      <c r="F350">
        <v>315</v>
      </c>
      <c r="G350">
        <v>22</v>
      </c>
      <c r="H350">
        <v>20</v>
      </c>
      <c r="I350">
        <f t="shared" si="32"/>
        <v>317</v>
      </c>
      <c r="J350">
        <v>20</v>
      </c>
      <c r="K350">
        <v>2</v>
      </c>
      <c r="L350" t="str">
        <f t="shared" si="33"/>
        <v>Correct</v>
      </c>
      <c r="M350">
        <f t="shared" si="34"/>
        <v>100</v>
      </c>
      <c r="N350">
        <f t="shared" si="30"/>
        <v>30.931034482758619</v>
      </c>
      <c r="O350">
        <f t="shared" si="35"/>
        <v>10.248606465997771</v>
      </c>
      <c r="P350" t="str">
        <f t="shared" si="31"/>
        <v>Low Stock</v>
      </c>
    </row>
    <row r="351" spans="1:16" hidden="1" x14ac:dyDescent="0.35">
      <c r="A351" s="4">
        <v>46152</v>
      </c>
      <c r="B351" t="s">
        <v>33</v>
      </c>
      <c r="C351" t="s">
        <v>34</v>
      </c>
      <c r="D351" t="s">
        <v>22</v>
      </c>
      <c r="E351" t="s">
        <v>23</v>
      </c>
      <c r="F351">
        <v>270</v>
      </c>
      <c r="G351">
        <v>48</v>
      </c>
      <c r="H351">
        <v>18</v>
      </c>
      <c r="I351">
        <f t="shared" si="32"/>
        <v>300</v>
      </c>
      <c r="J351">
        <v>18</v>
      </c>
      <c r="K351">
        <v>2</v>
      </c>
      <c r="L351" t="str">
        <f t="shared" si="33"/>
        <v>Correct</v>
      </c>
      <c r="M351">
        <f t="shared" si="34"/>
        <v>100</v>
      </c>
      <c r="N351">
        <f t="shared" si="30"/>
        <v>10.25</v>
      </c>
      <c r="O351">
        <f t="shared" si="35"/>
        <v>29.26829268292683</v>
      </c>
      <c r="P351" t="str">
        <f t="shared" si="31"/>
        <v>Healthy</v>
      </c>
    </row>
    <row r="352" spans="1:16" hidden="1" x14ac:dyDescent="0.35">
      <c r="A352" s="4">
        <v>46153</v>
      </c>
      <c r="B352" t="s">
        <v>12</v>
      </c>
      <c r="C352" t="s">
        <v>13</v>
      </c>
      <c r="D352" t="s">
        <v>14</v>
      </c>
      <c r="E352" t="s">
        <v>15</v>
      </c>
      <c r="F352">
        <v>359</v>
      </c>
      <c r="G352">
        <v>23</v>
      </c>
      <c r="H352">
        <v>18</v>
      </c>
      <c r="I352">
        <f t="shared" si="32"/>
        <v>364</v>
      </c>
      <c r="J352">
        <v>33</v>
      </c>
      <c r="K352">
        <v>3</v>
      </c>
      <c r="L352" t="str">
        <f t="shared" si="33"/>
        <v>Correct</v>
      </c>
      <c r="M352">
        <f t="shared" si="34"/>
        <v>54.54545454545454</v>
      </c>
      <c r="N352">
        <f t="shared" si="30"/>
        <v>21.666666666666668</v>
      </c>
      <c r="O352">
        <f t="shared" si="35"/>
        <v>16.8</v>
      </c>
      <c r="P352" t="str">
        <f t="shared" si="31"/>
        <v>Healthy</v>
      </c>
    </row>
    <row r="353" spans="1:16" hidden="1" x14ac:dyDescent="0.35">
      <c r="A353" s="4">
        <v>46153</v>
      </c>
      <c r="B353" t="s">
        <v>12</v>
      </c>
      <c r="C353" t="s">
        <v>13</v>
      </c>
      <c r="D353" t="s">
        <v>16</v>
      </c>
      <c r="E353" t="s">
        <v>17</v>
      </c>
      <c r="F353">
        <v>285</v>
      </c>
      <c r="G353">
        <v>33</v>
      </c>
      <c r="H353">
        <v>21</v>
      </c>
      <c r="I353">
        <f t="shared" si="32"/>
        <v>297</v>
      </c>
      <c r="J353">
        <v>36</v>
      </c>
      <c r="K353">
        <v>2</v>
      </c>
      <c r="L353" t="str">
        <f t="shared" si="33"/>
        <v>Correct</v>
      </c>
      <c r="M353">
        <f t="shared" si="34"/>
        <v>58.333333333333336</v>
      </c>
      <c r="N353">
        <f t="shared" si="30"/>
        <v>20.030303030303031</v>
      </c>
      <c r="O353">
        <f t="shared" si="35"/>
        <v>14.827534039334342</v>
      </c>
      <c r="P353" t="str">
        <f t="shared" si="31"/>
        <v>Low Stock</v>
      </c>
    </row>
    <row r="354" spans="1:16" x14ac:dyDescent="0.35">
      <c r="A354" s="4">
        <v>46153</v>
      </c>
      <c r="B354" t="s">
        <v>12</v>
      </c>
      <c r="C354" t="s">
        <v>13</v>
      </c>
      <c r="D354" t="s">
        <v>18</v>
      </c>
      <c r="E354" t="s">
        <v>19</v>
      </c>
      <c r="F354">
        <v>108</v>
      </c>
      <c r="G354">
        <v>49</v>
      </c>
      <c r="H354">
        <v>34</v>
      </c>
      <c r="I354">
        <f t="shared" si="32"/>
        <v>123</v>
      </c>
      <c r="J354">
        <v>41</v>
      </c>
      <c r="K354">
        <v>5</v>
      </c>
      <c r="L354" t="str">
        <f t="shared" si="33"/>
        <v>Correct</v>
      </c>
      <c r="M354">
        <f t="shared" si="34"/>
        <v>82.926829268292678</v>
      </c>
      <c r="N354">
        <f t="shared" si="30"/>
        <v>33.34375</v>
      </c>
      <c r="O354">
        <f t="shared" si="35"/>
        <v>3.6888472352389878</v>
      </c>
      <c r="P354" t="str">
        <f t="shared" si="31"/>
        <v>Low Stock</v>
      </c>
    </row>
    <row r="355" spans="1:16" hidden="1" x14ac:dyDescent="0.35">
      <c r="A355" s="4">
        <v>46153</v>
      </c>
      <c r="B355" t="s">
        <v>12</v>
      </c>
      <c r="C355" t="s">
        <v>13</v>
      </c>
      <c r="D355" t="s">
        <v>20</v>
      </c>
      <c r="E355" t="s">
        <v>21</v>
      </c>
      <c r="F355">
        <v>121</v>
      </c>
      <c r="G355">
        <v>57</v>
      </c>
      <c r="H355">
        <v>48</v>
      </c>
      <c r="I355">
        <f t="shared" si="32"/>
        <v>130</v>
      </c>
      <c r="J355">
        <v>49</v>
      </c>
      <c r="K355">
        <v>2</v>
      </c>
      <c r="L355" t="str">
        <f t="shared" si="33"/>
        <v>Correct</v>
      </c>
      <c r="M355">
        <f t="shared" si="34"/>
        <v>97.959183673469383</v>
      </c>
      <c r="N355">
        <f t="shared" si="30"/>
        <v>34.515151515151516</v>
      </c>
      <c r="O355">
        <f t="shared" si="35"/>
        <v>3.7664618086040385</v>
      </c>
      <c r="P355" t="str">
        <f t="shared" si="31"/>
        <v>Low Stock</v>
      </c>
    </row>
    <row r="356" spans="1:16" hidden="1" x14ac:dyDescent="0.35">
      <c r="A356" s="4">
        <v>46153</v>
      </c>
      <c r="B356" t="s">
        <v>12</v>
      </c>
      <c r="C356" t="s">
        <v>13</v>
      </c>
      <c r="D356" t="s">
        <v>22</v>
      </c>
      <c r="E356" t="s">
        <v>23</v>
      </c>
      <c r="F356">
        <v>193</v>
      </c>
      <c r="G356">
        <v>17</v>
      </c>
      <c r="H356">
        <v>8</v>
      </c>
      <c r="I356">
        <f t="shared" si="32"/>
        <v>202</v>
      </c>
      <c r="J356">
        <v>11</v>
      </c>
      <c r="K356">
        <v>5</v>
      </c>
      <c r="L356" t="str">
        <f t="shared" si="33"/>
        <v>Correct</v>
      </c>
      <c r="M356">
        <f t="shared" si="34"/>
        <v>72.727272727272734</v>
      </c>
      <c r="N356">
        <f t="shared" si="30"/>
        <v>9.9032258064516121</v>
      </c>
      <c r="O356">
        <f t="shared" si="35"/>
        <v>20.397394136807819</v>
      </c>
      <c r="P356" t="str">
        <f t="shared" si="31"/>
        <v>Healthy</v>
      </c>
    </row>
    <row r="357" spans="1:16" hidden="1" x14ac:dyDescent="0.35">
      <c r="A357" s="4">
        <v>46153</v>
      </c>
      <c r="B357" t="s">
        <v>12</v>
      </c>
      <c r="C357" t="s">
        <v>24</v>
      </c>
      <c r="D357" t="s">
        <v>14</v>
      </c>
      <c r="E357" t="s">
        <v>15</v>
      </c>
      <c r="F357">
        <v>178</v>
      </c>
      <c r="G357">
        <v>33</v>
      </c>
      <c r="H357">
        <v>26</v>
      </c>
      <c r="I357">
        <f t="shared" si="32"/>
        <v>185</v>
      </c>
      <c r="J357">
        <v>0</v>
      </c>
      <c r="K357">
        <v>4</v>
      </c>
      <c r="L357" t="str">
        <f t="shared" si="33"/>
        <v>Correct</v>
      </c>
      <c r="M357">
        <f t="shared" si="34"/>
        <v>0</v>
      </c>
      <c r="N357">
        <f t="shared" si="30"/>
        <v>21.35483870967742</v>
      </c>
      <c r="O357">
        <f t="shared" si="35"/>
        <v>8.6631419939577032</v>
      </c>
      <c r="P357" t="str">
        <f t="shared" si="31"/>
        <v>Low Stock</v>
      </c>
    </row>
    <row r="358" spans="1:16" hidden="1" x14ac:dyDescent="0.35">
      <c r="A358" s="4">
        <v>46153</v>
      </c>
      <c r="B358" t="s">
        <v>12</v>
      </c>
      <c r="C358" t="s">
        <v>24</v>
      </c>
      <c r="D358" t="s">
        <v>16</v>
      </c>
      <c r="E358" t="s">
        <v>17</v>
      </c>
      <c r="F358">
        <v>191</v>
      </c>
      <c r="G358">
        <v>14</v>
      </c>
      <c r="H358">
        <v>27</v>
      </c>
      <c r="I358">
        <f t="shared" si="32"/>
        <v>178</v>
      </c>
      <c r="J358">
        <v>38</v>
      </c>
      <c r="K358">
        <v>4</v>
      </c>
      <c r="L358" t="str">
        <f t="shared" si="33"/>
        <v>Correct</v>
      </c>
      <c r="M358">
        <f t="shared" si="34"/>
        <v>71.05263157894737</v>
      </c>
      <c r="N358">
        <f t="shared" si="30"/>
        <v>21.9</v>
      </c>
      <c r="O358">
        <f t="shared" si="35"/>
        <v>8.1278538812785399</v>
      </c>
      <c r="P358" t="str">
        <f t="shared" si="31"/>
        <v>Low Stock</v>
      </c>
    </row>
    <row r="359" spans="1:16" x14ac:dyDescent="0.35">
      <c r="A359" s="4">
        <v>46153</v>
      </c>
      <c r="B359" t="s">
        <v>12</v>
      </c>
      <c r="C359" t="s">
        <v>24</v>
      </c>
      <c r="D359" t="s">
        <v>18</v>
      </c>
      <c r="E359" t="s">
        <v>19</v>
      </c>
      <c r="F359">
        <v>74</v>
      </c>
      <c r="G359">
        <v>52</v>
      </c>
      <c r="H359">
        <v>49</v>
      </c>
      <c r="I359">
        <f t="shared" si="32"/>
        <v>77</v>
      </c>
      <c r="J359">
        <v>56</v>
      </c>
      <c r="K359">
        <v>4</v>
      </c>
      <c r="L359" t="str">
        <f t="shared" si="33"/>
        <v>Correct</v>
      </c>
      <c r="M359">
        <f t="shared" si="34"/>
        <v>87.5</v>
      </c>
      <c r="N359">
        <f t="shared" si="30"/>
        <v>31.586206896551722</v>
      </c>
      <c r="O359">
        <f t="shared" si="35"/>
        <v>2.4377729257641922</v>
      </c>
      <c r="P359" t="str">
        <f t="shared" si="31"/>
        <v>Low Stock</v>
      </c>
    </row>
    <row r="360" spans="1:16" hidden="1" x14ac:dyDescent="0.35">
      <c r="A360" s="4">
        <v>46153</v>
      </c>
      <c r="B360" t="s">
        <v>12</v>
      </c>
      <c r="C360" t="s">
        <v>24</v>
      </c>
      <c r="D360" t="s">
        <v>20</v>
      </c>
      <c r="E360" t="s">
        <v>21</v>
      </c>
      <c r="F360">
        <v>92</v>
      </c>
      <c r="G360">
        <v>26</v>
      </c>
      <c r="H360">
        <v>44</v>
      </c>
      <c r="I360">
        <f t="shared" si="32"/>
        <v>74</v>
      </c>
      <c r="J360">
        <v>49</v>
      </c>
      <c r="K360">
        <v>2</v>
      </c>
      <c r="L360" t="str">
        <f t="shared" si="33"/>
        <v>Correct</v>
      </c>
      <c r="M360">
        <f t="shared" si="34"/>
        <v>89.795918367346943</v>
      </c>
      <c r="N360">
        <f t="shared" si="30"/>
        <v>34.200000000000003</v>
      </c>
      <c r="O360">
        <f t="shared" si="35"/>
        <v>2.1637426900584793</v>
      </c>
      <c r="P360" t="str">
        <f t="shared" si="31"/>
        <v>Low Stock</v>
      </c>
    </row>
    <row r="361" spans="1:16" hidden="1" x14ac:dyDescent="0.35">
      <c r="A361" s="4">
        <v>46153</v>
      </c>
      <c r="B361" t="s">
        <v>12</v>
      </c>
      <c r="C361" t="s">
        <v>24</v>
      </c>
      <c r="D361" t="s">
        <v>22</v>
      </c>
      <c r="E361" t="s">
        <v>23</v>
      </c>
      <c r="F361">
        <v>328</v>
      </c>
      <c r="G361">
        <v>38</v>
      </c>
      <c r="H361">
        <v>5</v>
      </c>
      <c r="I361">
        <f t="shared" si="32"/>
        <v>361</v>
      </c>
      <c r="J361">
        <v>12</v>
      </c>
      <c r="K361">
        <v>2</v>
      </c>
      <c r="L361" t="str">
        <f t="shared" si="33"/>
        <v>Correct</v>
      </c>
      <c r="M361">
        <f t="shared" si="34"/>
        <v>41.666666666666671</v>
      </c>
      <c r="N361">
        <f t="shared" si="30"/>
        <v>10.96551724137931</v>
      </c>
      <c r="O361">
        <f t="shared" si="35"/>
        <v>32.921383647798741</v>
      </c>
      <c r="P361" t="str">
        <f t="shared" si="31"/>
        <v>Overstock</v>
      </c>
    </row>
    <row r="362" spans="1:16" hidden="1" x14ac:dyDescent="0.35">
      <c r="A362" s="4">
        <v>46153</v>
      </c>
      <c r="B362" t="s">
        <v>12</v>
      </c>
      <c r="C362" t="s">
        <v>25</v>
      </c>
      <c r="D362" t="s">
        <v>14</v>
      </c>
      <c r="E362" t="s">
        <v>15</v>
      </c>
      <c r="F362">
        <v>180</v>
      </c>
      <c r="G362">
        <v>54</v>
      </c>
      <c r="H362">
        <v>23</v>
      </c>
      <c r="I362">
        <f t="shared" si="32"/>
        <v>211</v>
      </c>
      <c r="J362">
        <v>29</v>
      </c>
      <c r="K362">
        <v>5</v>
      </c>
      <c r="L362" t="str">
        <f t="shared" si="33"/>
        <v>Correct</v>
      </c>
      <c r="M362">
        <f t="shared" si="34"/>
        <v>79.310344827586206</v>
      </c>
      <c r="N362">
        <f t="shared" si="30"/>
        <v>20.7</v>
      </c>
      <c r="O362">
        <f t="shared" si="35"/>
        <v>10.193236714975846</v>
      </c>
      <c r="P362" t="str">
        <f t="shared" si="31"/>
        <v>Low Stock</v>
      </c>
    </row>
    <row r="363" spans="1:16" hidden="1" x14ac:dyDescent="0.35">
      <c r="A363" s="4">
        <v>46153</v>
      </c>
      <c r="B363" t="s">
        <v>12</v>
      </c>
      <c r="C363" t="s">
        <v>25</v>
      </c>
      <c r="D363" t="s">
        <v>16</v>
      </c>
      <c r="E363" t="s">
        <v>17</v>
      </c>
      <c r="F363">
        <v>199</v>
      </c>
      <c r="G363">
        <v>54</v>
      </c>
      <c r="H363">
        <v>28</v>
      </c>
      <c r="I363">
        <f t="shared" si="32"/>
        <v>225</v>
      </c>
      <c r="J363">
        <v>42</v>
      </c>
      <c r="K363">
        <v>3</v>
      </c>
      <c r="L363" t="str">
        <f t="shared" si="33"/>
        <v>Correct</v>
      </c>
      <c r="M363">
        <f t="shared" si="34"/>
        <v>66.666666666666657</v>
      </c>
      <c r="N363">
        <f t="shared" si="30"/>
        <v>23.758620689655171</v>
      </c>
      <c r="O363">
        <f t="shared" si="35"/>
        <v>9.4702467343976782</v>
      </c>
      <c r="P363" t="str">
        <f t="shared" si="31"/>
        <v>Low Stock</v>
      </c>
    </row>
    <row r="364" spans="1:16" x14ac:dyDescent="0.35">
      <c r="A364" s="4">
        <v>46153</v>
      </c>
      <c r="B364" t="s">
        <v>12</v>
      </c>
      <c r="C364" t="s">
        <v>25</v>
      </c>
      <c r="D364" t="s">
        <v>18</v>
      </c>
      <c r="E364" t="s">
        <v>19</v>
      </c>
      <c r="F364">
        <v>180</v>
      </c>
      <c r="G364">
        <v>3</v>
      </c>
      <c r="H364">
        <v>42</v>
      </c>
      <c r="I364">
        <f t="shared" si="32"/>
        <v>141</v>
      </c>
      <c r="J364">
        <v>51</v>
      </c>
      <c r="K364">
        <v>2</v>
      </c>
      <c r="L364" t="str">
        <f t="shared" si="33"/>
        <v>Correct</v>
      </c>
      <c r="M364">
        <f t="shared" si="34"/>
        <v>82.35294117647058</v>
      </c>
      <c r="N364">
        <f t="shared" si="30"/>
        <v>31.142857142857142</v>
      </c>
      <c r="O364">
        <f t="shared" si="35"/>
        <v>4.5275229357798166</v>
      </c>
      <c r="P364" t="str">
        <f t="shared" si="31"/>
        <v>Low Stock</v>
      </c>
    </row>
    <row r="365" spans="1:16" hidden="1" x14ac:dyDescent="0.35">
      <c r="A365" s="4">
        <v>46153</v>
      </c>
      <c r="B365" t="s">
        <v>12</v>
      </c>
      <c r="C365" t="s">
        <v>25</v>
      </c>
      <c r="D365" t="s">
        <v>20</v>
      </c>
      <c r="E365" t="s">
        <v>21</v>
      </c>
      <c r="F365">
        <v>183</v>
      </c>
      <c r="G365">
        <v>13</v>
      </c>
      <c r="H365">
        <v>15</v>
      </c>
      <c r="I365">
        <f t="shared" si="32"/>
        <v>181</v>
      </c>
      <c r="J365">
        <v>19</v>
      </c>
      <c r="K365">
        <v>1</v>
      </c>
      <c r="L365" t="str">
        <f t="shared" si="33"/>
        <v>Correct</v>
      </c>
      <c r="M365">
        <f t="shared" si="34"/>
        <v>78.94736842105263</v>
      </c>
      <c r="N365">
        <f t="shared" si="30"/>
        <v>31.137931034482758</v>
      </c>
      <c r="O365">
        <f t="shared" si="35"/>
        <v>5.8128460686600221</v>
      </c>
      <c r="P365" t="str">
        <f t="shared" si="31"/>
        <v>Low Stock</v>
      </c>
    </row>
    <row r="366" spans="1:16" hidden="1" x14ac:dyDescent="0.35">
      <c r="A366" s="4">
        <v>46153</v>
      </c>
      <c r="B366" t="s">
        <v>12</v>
      </c>
      <c r="C366" t="s">
        <v>25</v>
      </c>
      <c r="D366" t="s">
        <v>22</v>
      </c>
      <c r="E366" t="s">
        <v>23</v>
      </c>
      <c r="F366">
        <v>316</v>
      </c>
      <c r="G366">
        <v>25</v>
      </c>
      <c r="H366">
        <v>11</v>
      </c>
      <c r="I366">
        <f t="shared" si="32"/>
        <v>330</v>
      </c>
      <c r="J366">
        <v>26</v>
      </c>
      <c r="K366">
        <v>5</v>
      </c>
      <c r="L366" t="str">
        <f t="shared" si="33"/>
        <v>Correct</v>
      </c>
      <c r="M366">
        <f t="shared" si="34"/>
        <v>42.307692307692307</v>
      </c>
      <c r="N366">
        <f t="shared" si="30"/>
        <v>11.3</v>
      </c>
      <c r="O366">
        <f t="shared" si="35"/>
        <v>29.203539823008846</v>
      </c>
      <c r="P366" t="str">
        <f t="shared" si="31"/>
        <v>Healthy</v>
      </c>
    </row>
    <row r="367" spans="1:16" hidden="1" x14ac:dyDescent="0.35">
      <c r="A367" s="4">
        <v>46153</v>
      </c>
      <c r="B367" t="s">
        <v>26</v>
      </c>
      <c r="C367" t="s">
        <v>27</v>
      </c>
      <c r="D367" t="s">
        <v>14</v>
      </c>
      <c r="E367" t="s">
        <v>15</v>
      </c>
      <c r="F367">
        <v>311</v>
      </c>
      <c r="G367">
        <v>27</v>
      </c>
      <c r="H367">
        <v>9</v>
      </c>
      <c r="I367">
        <f t="shared" si="32"/>
        <v>329</v>
      </c>
      <c r="J367">
        <v>22</v>
      </c>
      <c r="K367">
        <v>3</v>
      </c>
      <c r="L367" t="str">
        <f t="shared" si="33"/>
        <v>Correct</v>
      </c>
      <c r="M367">
        <f t="shared" si="34"/>
        <v>40.909090909090914</v>
      </c>
      <c r="N367">
        <f t="shared" si="30"/>
        <v>22.258064516129032</v>
      </c>
      <c r="O367">
        <f t="shared" si="35"/>
        <v>14.781159420289855</v>
      </c>
      <c r="P367" t="str">
        <f t="shared" si="31"/>
        <v>Low Stock</v>
      </c>
    </row>
    <row r="368" spans="1:16" hidden="1" x14ac:dyDescent="0.35">
      <c r="A368" s="4">
        <v>46153</v>
      </c>
      <c r="B368" t="s">
        <v>26</v>
      </c>
      <c r="C368" t="s">
        <v>27</v>
      </c>
      <c r="D368" t="s">
        <v>16</v>
      </c>
      <c r="E368" t="s">
        <v>17</v>
      </c>
      <c r="F368">
        <v>171</v>
      </c>
      <c r="G368">
        <v>34</v>
      </c>
      <c r="H368">
        <v>18</v>
      </c>
      <c r="I368">
        <f t="shared" si="32"/>
        <v>187</v>
      </c>
      <c r="J368">
        <v>32</v>
      </c>
      <c r="K368">
        <v>2</v>
      </c>
      <c r="L368" t="str">
        <f t="shared" si="33"/>
        <v>Correct</v>
      </c>
      <c r="M368">
        <f t="shared" si="34"/>
        <v>56.25</v>
      </c>
      <c r="N368">
        <f t="shared" si="30"/>
        <v>20.172413793103448</v>
      </c>
      <c r="O368">
        <f t="shared" si="35"/>
        <v>9.2700854700854709</v>
      </c>
      <c r="P368" t="str">
        <f t="shared" si="31"/>
        <v>Low Stock</v>
      </c>
    </row>
    <row r="369" spans="1:16" x14ac:dyDescent="0.35">
      <c r="A369" s="4">
        <v>46153</v>
      </c>
      <c r="B369" t="s">
        <v>26</v>
      </c>
      <c r="C369" t="s">
        <v>27</v>
      </c>
      <c r="D369" t="s">
        <v>18</v>
      </c>
      <c r="E369" t="s">
        <v>19</v>
      </c>
      <c r="F369">
        <v>185</v>
      </c>
      <c r="G369">
        <v>58</v>
      </c>
      <c r="H369">
        <v>23</v>
      </c>
      <c r="I369">
        <f t="shared" si="32"/>
        <v>220</v>
      </c>
      <c r="J369">
        <v>26</v>
      </c>
      <c r="K369">
        <v>4</v>
      </c>
      <c r="L369" t="str">
        <f t="shared" si="33"/>
        <v>Correct</v>
      </c>
      <c r="M369">
        <f t="shared" si="34"/>
        <v>88.461538461538453</v>
      </c>
      <c r="N369">
        <f t="shared" si="30"/>
        <v>29.733333333333334</v>
      </c>
      <c r="O369">
        <f t="shared" si="35"/>
        <v>7.3991031390134525</v>
      </c>
      <c r="P369" t="str">
        <f t="shared" si="31"/>
        <v>Low Stock</v>
      </c>
    </row>
    <row r="370" spans="1:16" hidden="1" x14ac:dyDescent="0.35">
      <c r="A370" s="4">
        <v>46153</v>
      </c>
      <c r="B370" t="s">
        <v>26</v>
      </c>
      <c r="C370" t="s">
        <v>27</v>
      </c>
      <c r="D370" t="s">
        <v>20</v>
      </c>
      <c r="E370" t="s">
        <v>21</v>
      </c>
      <c r="F370">
        <v>259</v>
      </c>
      <c r="G370">
        <v>30</v>
      </c>
      <c r="H370">
        <v>21</v>
      </c>
      <c r="I370">
        <f t="shared" si="32"/>
        <v>268</v>
      </c>
      <c r="J370">
        <v>30</v>
      </c>
      <c r="K370">
        <v>3</v>
      </c>
      <c r="L370" t="str">
        <f t="shared" si="33"/>
        <v>Correct</v>
      </c>
      <c r="M370">
        <f t="shared" si="34"/>
        <v>70</v>
      </c>
      <c r="N370">
        <f t="shared" si="30"/>
        <v>30.724137931034484</v>
      </c>
      <c r="O370">
        <f t="shared" si="35"/>
        <v>8.7227833894500559</v>
      </c>
      <c r="P370" t="str">
        <f t="shared" si="31"/>
        <v>Low Stock</v>
      </c>
    </row>
    <row r="371" spans="1:16" hidden="1" x14ac:dyDescent="0.35">
      <c r="A371" s="4">
        <v>46153</v>
      </c>
      <c r="B371" t="s">
        <v>26</v>
      </c>
      <c r="C371" t="s">
        <v>27</v>
      </c>
      <c r="D371" t="s">
        <v>22</v>
      </c>
      <c r="E371" t="s">
        <v>23</v>
      </c>
      <c r="F371">
        <v>273</v>
      </c>
      <c r="G371">
        <v>35</v>
      </c>
      <c r="H371">
        <v>13</v>
      </c>
      <c r="I371">
        <f t="shared" si="32"/>
        <v>295</v>
      </c>
      <c r="J371">
        <v>27</v>
      </c>
      <c r="K371">
        <v>3</v>
      </c>
      <c r="L371" t="str">
        <f t="shared" si="33"/>
        <v>Correct</v>
      </c>
      <c r="M371">
        <f t="shared" si="34"/>
        <v>48.148148148148145</v>
      </c>
      <c r="N371">
        <f t="shared" si="30"/>
        <v>11.566666666666666</v>
      </c>
      <c r="O371">
        <f t="shared" si="35"/>
        <v>25.504322766570606</v>
      </c>
      <c r="P371" t="str">
        <f t="shared" si="31"/>
        <v>Healthy</v>
      </c>
    </row>
    <row r="372" spans="1:16" hidden="1" x14ac:dyDescent="0.35">
      <c r="A372" s="4">
        <v>46153</v>
      </c>
      <c r="B372" t="s">
        <v>28</v>
      </c>
      <c r="C372" t="s">
        <v>29</v>
      </c>
      <c r="D372" t="s">
        <v>14</v>
      </c>
      <c r="E372" t="s">
        <v>15</v>
      </c>
      <c r="F372">
        <v>253</v>
      </c>
      <c r="G372">
        <v>24</v>
      </c>
      <c r="H372">
        <v>26</v>
      </c>
      <c r="I372">
        <f t="shared" si="32"/>
        <v>251</v>
      </c>
      <c r="J372">
        <v>34</v>
      </c>
      <c r="K372">
        <v>5</v>
      </c>
      <c r="L372" t="str">
        <f t="shared" si="33"/>
        <v>Correct</v>
      </c>
      <c r="M372">
        <f t="shared" si="34"/>
        <v>76.470588235294116</v>
      </c>
      <c r="N372">
        <f t="shared" si="30"/>
        <v>22.25</v>
      </c>
      <c r="O372">
        <f t="shared" si="35"/>
        <v>11.280898876404494</v>
      </c>
      <c r="P372" t="str">
        <f t="shared" si="31"/>
        <v>Low Stock</v>
      </c>
    </row>
    <row r="373" spans="1:16" hidden="1" x14ac:dyDescent="0.35">
      <c r="A373" s="4">
        <v>46153</v>
      </c>
      <c r="B373" t="s">
        <v>28</v>
      </c>
      <c r="C373" t="s">
        <v>29</v>
      </c>
      <c r="D373" t="s">
        <v>16</v>
      </c>
      <c r="E373" t="s">
        <v>17</v>
      </c>
      <c r="F373">
        <v>182</v>
      </c>
      <c r="G373">
        <v>4</v>
      </c>
      <c r="H373">
        <v>20</v>
      </c>
      <c r="I373">
        <f t="shared" si="32"/>
        <v>166</v>
      </c>
      <c r="J373">
        <v>25</v>
      </c>
      <c r="K373">
        <v>4</v>
      </c>
      <c r="L373" t="str">
        <f t="shared" si="33"/>
        <v>Correct</v>
      </c>
      <c r="M373">
        <f t="shared" si="34"/>
        <v>80</v>
      </c>
      <c r="N373">
        <f t="shared" si="30"/>
        <v>19.96551724137931</v>
      </c>
      <c r="O373">
        <f t="shared" si="35"/>
        <v>8.31433506044905</v>
      </c>
      <c r="P373" t="str">
        <f t="shared" si="31"/>
        <v>Low Stock</v>
      </c>
    </row>
    <row r="374" spans="1:16" x14ac:dyDescent="0.35">
      <c r="A374" s="4">
        <v>46153</v>
      </c>
      <c r="B374" t="s">
        <v>28</v>
      </c>
      <c r="C374" t="s">
        <v>29</v>
      </c>
      <c r="D374" t="s">
        <v>18</v>
      </c>
      <c r="E374" t="s">
        <v>19</v>
      </c>
      <c r="F374">
        <v>115</v>
      </c>
      <c r="G374">
        <v>51</v>
      </c>
      <c r="H374">
        <v>30</v>
      </c>
      <c r="I374">
        <f t="shared" si="32"/>
        <v>136</v>
      </c>
      <c r="J374">
        <v>0</v>
      </c>
      <c r="K374">
        <v>1</v>
      </c>
      <c r="L374" t="str">
        <f t="shared" si="33"/>
        <v>Correct</v>
      </c>
      <c r="M374">
        <f t="shared" si="34"/>
        <v>0</v>
      </c>
      <c r="N374">
        <f t="shared" si="30"/>
        <v>31.206896551724139</v>
      </c>
      <c r="O374">
        <f t="shared" si="35"/>
        <v>4.358011049723757</v>
      </c>
      <c r="P374" t="str">
        <f t="shared" si="31"/>
        <v>Low Stock</v>
      </c>
    </row>
    <row r="375" spans="1:16" hidden="1" x14ac:dyDescent="0.35">
      <c r="A375" s="4">
        <v>46153</v>
      </c>
      <c r="B375" t="s">
        <v>28</v>
      </c>
      <c r="C375" t="s">
        <v>29</v>
      </c>
      <c r="D375" t="s">
        <v>20</v>
      </c>
      <c r="E375" t="s">
        <v>21</v>
      </c>
      <c r="F375">
        <v>132</v>
      </c>
      <c r="G375">
        <v>5</v>
      </c>
      <c r="H375">
        <v>25</v>
      </c>
      <c r="I375">
        <f t="shared" si="32"/>
        <v>112</v>
      </c>
      <c r="J375">
        <v>25</v>
      </c>
      <c r="K375">
        <v>2</v>
      </c>
      <c r="L375" t="str">
        <f t="shared" si="33"/>
        <v>Correct</v>
      </c>
      <c r="M375">
        <f t="shared" si="34"/>
        <v>100</v>
      </c>
      <c r="N375">
        <f t="shared" si="30"/>
        <v>32.620689655172413</v>
      </c>
      <c r="O375">
        <f t="shared" si="35"/>
        <v>3.433403805496829</v>
      </c>
      <c r="P375" t="str">
        <f t="shared" si="31"/>
        <v>Low Stock</v>
      </c>
    </row>
    <row r="376" spans="1:16" hidden="1" x14ac:dyDescent="0.35">
      <c r="A376" s="4">
        <v>46153</v>
      </c>
      <c r="B376" t="s">
        <v>28</v>
      </c>
      <c r="C376" t="s">
        <v>29</v>
      </c>
      <c r="D376" t="s">
        <v>22</v>
      </c>
      <c r="E376" t="s">
        <v>23</v>
      </c>
      <c r="F376">
        <v>405</v>
      </c>
      <c r="G376">
        <v>36</v>
      </c>
      <c r="H376">
        <v>5</v>
      </c>
      <c r="I376">
        <f t="shared" si="32"/>
        <v>436</v>
      </c>
      <c r="J376">
        <v>16</v>
      </c>
      <c r="K376">
        <v>5</v>
      </c>
      <c r="L376" t="str">
        <f t="shared" si="33"/>
        <v>Correct</v>
      </c>
      <c r="M376">
        <f t="shared" si="34"/>
        <v>31.25</v>
      </c>
      <c r="N376">
        <f t="shared" si="30"/>
        <v>11.678571428571429</v>
      </c>
      <c r="O376">
        <f t="shared" si="35"/>
        <v>37.333333333333336</v>
      </c>
      <c r="P376" t="str">
        <f t="shared" si="31"/>
        <v>Overstock</v>
      </c>
    </row>
    <row r="377" spans="1:16" hidden="1" x14ac:dyDescent="0.35">
      <c r="A377" s="4">
        <v>46153</v>
      </c>
      <c r="B377" t="s">
        <v>31</v>
      </c>
      <c r="C377" t="s">
        <v>32</v>
      </c>
      <c r="D377" t="s">
        <v>14</v>
      </c>
      <c r="E377" t="s">
        <v>15</v>
      </c>
      <c r="F377">
        <v>209</v>
      </c>
      <c r="G377">
        <v>60</v>
      </c>
      <c r="H377">
        <v>12</v>
      </c>
      <c r="I377">
        <f t="shared" si="32"/>
        <v>257</v>
      </c>
      <c r="J377">
        <v>24</v>
      </c>
      <c r="K377">
        <v>1</v>
      </c>
      <c r="L377" t="str">
        <f t="shared" si="33"/>
        <v>Correct</v>
      </c>
      <c r="M377">
        <f t="shared" si="34"/>
        <v>50</v>
      </c>
      <c r="N377">
        <f t="shared" si="30"/>
        <v>20.84375</v>
      </c>
      <c r="O377">
        <f t="shared" si="35"/>
        <v>12.329835082458771</v>
      </c>
      <c r="P377" t="str">
        <f t="shared" si="31"/>
        <v>Low Stock</v>
      </c>
    </row>
    <row r="378" spans="1:16" hidden="1" x14ac:dyDescent="0.35">
      <c r="A378" s="4">
        <v>46153</v>
      </c>
      <c r="B378" t="s">
        <v>31</v>
      </c>
      <c r="C378" t="s">
        <v>32</v>
      </c>
      <c r="D378" t="s">
        <v>16</v>
      </c>
      <c r="E378" t="s">
        <v>17</v>
      </c>
      <c r="F378">
        <v>276</v>
      </c>
      <c r="G378">
        <v>42</v>
      </c>
      <c r="H378">
        <v>29</v>
      </c>
      <c r="I378">
        <f t="shared" si="32"/>
        <v>289</v>
      </c>
      <c r="J378">
        <v>39</v>
      </c>
      <c r="K378">
        <v>1</v>
      </c>
      <c r="L378" t="str">
        <f t="shared" si="33"/>
        <v>Correct</v>
      </c>
      <c r="M378">
        <f t="shared" si="34"/>
        <v>74.358974358974365</v>
      </c>
      <c r="N378">
        <f t="shared" si="30"/>
        <v>21.46875</v>
      </c>
      <c r="O378">
        <f t="shared" si="35"/>
        <v>13.461426491994178</v>
      </c>
      <c r="P378" t="str">
        <f t="shared" si="31"/>
        <v>Low Stock</v>
      </c>
    </row>
    <row r="379" spans="1:16" x14ac:dyDescent="0.35">
      <c r="A379" s="4">
        <v>46153</v>
      </c>
      <c r="B379" t="s">
        <v>31</v>
      </c>
      <c r="C379" t="s">
        <v>32</v>
      </c>
      <c r="D379" t="s">
        <v>18</v>
      </c>
      <c r="E379" t="s">
        <v>19</v>
      </c>
      <c r="F379">
        <v>84</v>
      </c>
      <c r="G379">
        <v>46</v>
      </c>
      <c r="H379">
        <v>39</v>
      </c>
      <c r="I379">
        <f t="shared" si="32"/>
        <v>91</v>
      </c>
      <c r="J379">
        <v>48</v>
      </c>
      <c r="K379">
        <v>1</v>
      </c>
      <c r="L379" t="str">
        <f t="shared" si="33"/>
        <v>Correct</v>
      </c>
      <c r="M379">
        <f t="shared" si="34"/>
        <v>81.25</v>
      </c>
      <c r="N379">
        <f t="shared" si="30"/>
        <v>30.586206896551722</v>
      </c>
      <c r="O379">
        <f t="shared" si="35"/>
        <v>2.975197294250282</v>
      </c>
      <c r="P379" t="str">
        <f t="shared" si="31"/>
        <v>Low Stock</v>
      </c>
    </row>
    <row r="380" spans="1:16" hidden="1" x14ac:dyDescent="0.35">
      <c r="A380" s="4">
        <v>46153</v>
      </c>
      <c r="B380" t="s">
        <v>31</v>
      </c>
      <c r="C380" t="s">
        <v>32</v>
      </c>
      <c r="D380" t="s">
        <v>20</v>
      </c>
      <c r="E380" t="s">
        <v>21</v>
      </c>
      <c r="F380">
        <v>146</v>
      </c>
      <c r="G380">
        <v>17</v>
      </c>
      <c r="H380">
        <v>34</v>
      </c>
      <c r="I380">
        <f t="shared" si="32"/>
        <v>129</v>
      </c>
      <c r="J380">
        <v>34</v>
      </c>
      <c r="K380">
        <v>3</v>
      </c>
      <c r="L380" t="str">
        <f t="shared" si="33"/>
        <v>Correct</v>
      </c>
      <c r="M380">
        <f t="shared" si="34"/>
        <v>100</v>
      </c>
      <c r="N380">
        <f t="shared" si="30"/>
        <v>32.299999999999997</v>
      </c>
      <c r="O380">
        <f t="shared" si="35"/>
        <v>3.9938080495356041</v>
      </c>
      <c r="P380" t="str">
        <f t="shared" si="31"/>
        <v>Low Stock</v>
      </c>
    </row>
    <row r="381" spans="1:16" hidden="1" x14ac:dyDescent="0.35">
      <c r="A381" s="4">
        <v>46153</v>
      </c>
      <c r="B381" t="s">
        <v>31</v>
      </c>
      <c r="C381" t="s">
        <v>32</v>
      </c>
      <c r="D381" t="s">
        <v>22</v>
      </c>
      <c r="E381" t="s">
        <v>23</v>
      </c>
      <c r="F381">
        <v>426</v>
      </c>
      <c r="G381">
        <v>40</v>
      </c>
      <c r="H381">
        <v>13</v>
      </c>
      <c r="I381">
        <f t="shared" si="32"/>
        <v>453</v>
      </c>
      <c r="J381">
        <v>20</v>
      </c>
      <c r="K381">
        <v>1</v>
      </c>
      <c r="L381" t="str">
        <f t="shared" si="33"/>
        <v>Correct</v>
      </c>
      <c r="M381">
        <f t="shared" si="34"/>
        <v>65</v>
      </c>
      <c r="N381">
        <f t="shared" si="30"/>
        <v>10.413793103448276</v>
      </c>
      <c r="O381">
        <f t="shared" si="35"/>
        <v>43.5</v>
      </c>
      <c r="P381" t="str">
        <f t="shared" si="31"/>
        <v>Overstock</v>
      </c>
    </row>
    <row r="382" spans="1:16" hidden="1" x14ac:dyDescent="0.35">
      <c r="A382" s="4">
        <v>46153</v>
      </c>
      <c r="B382" t="s">
        <v>33</v>
      </c>
      <c r="C382" t="s">
        <v>34</v>
      </c>
      <c r="D382" t="s">
        <v>14</v>
      </c>
      <c r="E382" t="s">
        <v>15</v>
      </c>
      <c r="F382">
        <v>146</v>
      </c>
      <c r="G382">
        <v>33</v>
      </c>
      <c r="H382">
        <v>18</v>
      </c>
      <c r="I382">
        <f t="shared" si="32"/>
        <v>161</v>
      </c>
      <c r="J382">
        <v>33</v>
      </c>
      <c r="K382">
        <v>1</v>
      </c>
      <c r="L382" t="str">
        <f t="shared" si="33"/>
        <v>Correct</v>
      </c>
      <c r="M382">
        <f t="shared" si="34"/>
        <v>54.54545454545454</v>
      </c>
      <c r="N382">
        <f t="shared" si="30"/>
        <v>20.70967741935484</v>
      </c>
      <c r="O382">
        <f t="shared" si="35"/>
        <v>7.7741433021806845</v>
      </c>
      <c r="P382" t="str">
        <f t="shared" si="31"/>
        <v>Low Stock</v>
      </c>
    </row>
    <row r="383" spans="1:16" hidden="1" x14ac:dyDescent="0.35">
      <c r="A383" s="4">
        <v>46153</v>
      </c>
      <c r="B383" t="s">
        <v>33</v>
      </c>
      <c r="C383" t="s">
        <v>34</v>
      </c>
      <c r="D383" t="s">
        <v>16</v>
      </c>
      <c r="E383" t="s">
        <v>17</v>
      </c>
      <c r="F383">
        <v>216</v>
      </c>
      <c r="G383">
        <v>34</v>
      </c>
      <c r="H383">
        <v>11</v>
      </c>
      <c r="I383">
        <f t="shared" si="32"/>
        <v>239</v>
      </c>
      <c r="J383">
        <v>12</v>
      </c>
      <c r="K383">
        <v>5</v>
      </c>
      <c r="L383" t="str">
        <f t="shared" si="33"/>
        <v>Correct</v>
      </c>
      <c r="M383">
        <f t="shared" si="34"/>
        <v>91.666666666666657</v>
      </c>
      <c r="N383">
        <f t="shared" si="30"/>
        <v>22.142857142857142</v>
      </c>
      <c r="O383">
        <f t="shared" si="35"/>
        <v>10.793548387096774</v>
      </c>
      <c r="P383" t="str">
        <f t="shared" si="31"/>
        <v>Low Stock</v>
      </c>
    </row>
    <row r="384" spans="1:16" x14ac:dyDescent="0.35">
      <c r="A384" s="4">
        <v>46153</v>
      </c>
      <c r="B384" t="s">
        <v>33</v>
      </c>
      <c r="C384" t="s">
        <v>34</v>
      </c>
      <c r="D384" t="s">
        <v>18</v>
      </c>
      <c r="E384" t="s">
        <v>19</v>
      </c>
      <c r="F384">
        <v>136</v>
      </c>
      <c r="G384">
        <v>59</v>
      </c>
      <c r="H384">
        <v>22</v>
      </c>
      <c r="I384">
        <f t="shared" si="32"/>
        <v>173</v>
      </c>
      <c r="J384">
        <v>27</v>
      </c>
      <c r="K384">
        <v>4</v>
      </c>
      <c r="L384" t="str">
        <f t="shared" si="33"/>
        <v>Correct</v>
      </c>
      <c r="M384">
        <f t="shared" si="34"/>
        <v>81.481481481481481</v>
      </c>
      <c r="N384">
        <f t="shared" si="30"/>
        <v>30.275862068965516</v>
      </c>
      <c r="O384">
        <f t="shared" si="35"/>
        <v>5.714123006833713</v>
      </c>
      <c r="P384" t="str">
        <f t="shared" si="31"/>
        <v>Low Stock</v>
      </c>
    </row>
    <row r="385" spans="1:16" hidden="1" x14ac:dyDescent="0.35">
      <c r="A385" s="4">
        <v>46153</v>
      </c>
      <c r="B385" t="s">
        <v>33</v>
      </c>
      <c r="C385" t="s">
        <v>34</v>
      </c>
      <c r="D385" t="s">
        <v>20</v>
      </c>
      <c r="E385" t="s">
        <v>21</v>
      </c>
      <c r="F385">
        <v>317</v>
      </c>
      <c r="G385">
        <v>46</v>
      </c>
      <c r="H385">
        <v>24</v>
      </c>
      <c r="I385">
        <f t="shared" si="32"/>
        <v>339</v>
      </c>
      <c r="J385">
        <v>30</v>
      </c>
      <c r="K385">
        <v>4</v>
      </c>
      <c r="L385" t="str">
        <f t="shared" si="33"/>
        <v>Correct</v>
      </c>
      <c r="M385">
        <f t="shared" si="34"/>
        <v>80</v>
      </c>
      <c r="N385">
        <f t="shared" si="30"/>
        <v>30.931034482758619</v>
      </c>
      <c r="O385">
        <f t="shared" si="35"/>
        <v>10.959866220735787</v>
      </c>
      <c r="P385" t="str">
        <f t="shared" si="31"/>
        <v>Low Stock</v>
      </c>
    </row>
    <row r="386" spans="1:16" hidden="1" x14ac:dyDescent="0.35">
      <c r="A386" s="4">
        <v>46153</v>
      </c>
      <c r="B386" t="s">
        <v>33</v>
      </c>
      <c r="C386" t="s">
        <v>34</v>
      </c>
      <c r="D386" t="s">
        <v>22</v>
      </c>
      <c r="E386" t="s">
        <v>23</v>
      </c>
      <c r="F386">
        <v>300</v>
      </c>
      <c r="G386">
        <v>7</v>
      </c>
      <c r="H386">
        <v>6</v>
      </c>
      <c r="I386">
        <f t="shared" si="32"/>
        <v>301</v>
      </c>
      <c r="J386">
        <v>13</v>
      </c>
      <c r="K386">
        <v>3</v>
      </c>
      <c r="L386" t="str">
        <f t="shared" si="33"/>
        <v>Correct</v>
      </c>
      <c r="M386">
        <f t="shared" si="34"/>
        <v>46.153846153846153</v>
      </c>
      <c r="N386">
        <f t="shared" ref="N386:N449" si="36">SUMIFS($H:$H,$B:$B,B386,$C:$C,C386,$D:$D,D386)/COUNTIFS($B:$B,B386,$C:$C,C386,$D:$D,D386)</f>
        <v>10.25</v>
      </c>
      <c r="O386">
        <f t="shared" si="35"/>
        <v>29.365853658536587</v>
      </c>
      <c r="P386" t="str">
        <f t="shared" ref="P386:P449" si="37">IF(O386&lt;15,"Low Stock",IF(O386&lt;=30,"Healthy","Overstock"))</f>
        <v>Healthy</v>
      </c>
    </row>
    <row r="387" spans="1:16" hidden="1" x14ac:dyDescent="0.35">
      <c r="A387" s="4">
        <v>46154</v>
      </c>
      <c r="B387" t="s">
        <v>12</v>
      </c>
      <c r="C387" t="s">
        <v>13</v>
      </c>
      <c r="D387" t="s">
        <v>14</v>
      </c>
      <c r="E387" t="s">
        <v>15</v>
      </c>
      <c r="F387">
        <v>364</v>
      </c>
      <c r="G387">
        <v>31</v>
      </c>
      <c r="H387">
        <v>21</v>
      </c>
      <c r="I387">
        <f t="shared" ref="I387:I450" si="38">F387+G387-H387</f>
        <v>374</v>
      </c>
      <c r="J387">
        <v>35</v>
      </c>
      <c r="K387">
        <v>1</v>
      </c>
      <c r="L387" t="str">
        <f t="shared" ref="L387:L450" si="39">IF(I387&lt;0,"Need verification","Correct")</f>
        <v>Correct</v>
      </c>
      <c r="M387">
        <f t="shared" ref="M387:M450" si="40">IF(J387=0,0,(H387/J387)*100)</f>
        <v>60</v>
      </c>
      <c r="N387">
        <f t="shared" si="36"/>
        <v>21.666666666666668</v>
      </c>
      <c r="O387">
        <f t="shared" ref="O387:O450" si="41">IFERROR(I387/N387,0)</f>
        <v>17.261538461538461</v>
      </c>
      <c r="P387" t="str">
        <f t="shared" si="37"/>
        <v>Healthy</v>
      </c>
    </row>
    <row r="388" spans="1:16" hidden="1" x14ac:dyDescent="0.35">
      <c r="A388" s="4">
        <v>46154</v>
      </c>
      <c r="B388" t="s">
        <v>12</v>
      </c>
      <c r="C388" t="s">
        <v>13</v>
      </c>
      <c r="D388" t="s">
        <v>16</v>
      </c>
      <c r="E388" t="s">
        <v>17</v>
      </c>
      <c r="F388">
        <v>297</v>
      </c>
      <c r="G388">
        <v>1</v>
      </c>
      <c r="H388">
        <v>14</v>
      </c>
      <c r="I388">
        <f t="shared" si="38"/>
        <v>284</v>
      </c>
      <c r="J388">
        <v>27</v>
      </c>
      <c r="K388">
        <v>2</v>
      </c>
      <c r="L388" t="str">
        <f t="shared" si="39"/>
        <v>Correct</v>
      </c>
      <c r="M388">
        <f t="shared" si="40"/>
        <v>51.851851851851848</v>
      </c>
      <c r="N388">
        <f t="shared" si="36"/>
        <v>20.030303030303031</v>
      </c>
      <c r="O388">
        <f t="shared" si="41"/>
        <v>14.178517397881997</v>
      </c>
      <c r="P388" t="str">
        <f t="shared" si="37"/>
        <v>Low Stock</v>
      </c>
    </row>
    <row r="389" spans="1:16" x14ac:dyDescent="0.35">
      <c r="A389" s="4">
        <v>46154</v>
      </c>
      <c r="B389" t="s">
        <v>12</v>
      </c>
      <c r="C389" t="s">
        <v>13</v>
      </c>
      <c r="D389" t="s">
        <v>18</v>
      </c>
      <c r="E389" t="s">
        <v>19</v>
      </c>
      <c r="F389">
        <v>123</v>
      </c>
      <c r="G389">
        <v>20</v>
      </c>
      <c r="H389">
        <v>23</v>
      </c>
      <c r="I389">
        <f t="shared" si="38"/>
        <v>120</v>
      </c>
      <c r="J389">
        <v>23</v>
      </c>
      <c r="K389">
        <v>5</v>
      </c>
      <c r="L389" t="str">
        <f t="shared" si="39"/>
        <v>Correct</v>
      </c>
      <c r="M389">
        <f t="shared" si="40"/>
        <v>100</v>
      </c>
      <c r="N389">
        <f t="shared" si="36"/>
        <v>33.34375</v>
      </c>
      <c r="O389">
        <f t="shared" si="41"/>
        <v>3.598875351452671</v>
      </c>
      <c r="P389" t="str">
        <f t="shared" si="37"/>
        <v>Low Stock</v>
      </c>
    </row>
    <row r="390" spans="1:16" hidden="1" x14ac:dyDescent="0.35">
      <c r="A390" s="4">
        <v>46154</v>
      </c>
      <c r="B390" t="s">
        <v>12</v>
      </c>
      <c r="C390" t="s">
        <v>13</v>
      </c>
      <c r="D390" t="s">
        <v>20</v>
      </c>
      <c r="E390" t="s">
        <v>21</v>
      </c>
      <c r="F390">
        <v>130</v>
      </c>
      <c r="G390">
        <v>34</v>
      </c>
      <c r="H390">
        <v>48</v>
      </c>
      <c r="I390">
        <f t="shared" si="38"/>
        <v>116</v>
      </c>
      <c r="J390">
        <v>59</v>
      </c>
      <c r="K390">
        <v>2</v>
      </c>
      <c r="L390" t="str">
        <f t="shared" si="39"/>
        <v>Correct</v>
      </c>
      <c r="M390">
        <f t="shared" si="40"/>
        <v>81.355932203389841</v>
      </c>
      <c r="N390">
        <f t="shared" si="36"/>
        <v>34.515151515151516</v>
      </c>
      <c r="O390">
        <f t="shared" si="41"/>
        <v>3.3608428446005267</v>
      </c>
      <c r="P390" t="str">
        <f t="shared" si="37"/>
        <v>Low Stock</v>
      </c>
    </row>
    <row r="391" spans="1:16" hidden="1" x14ac:dyDescent="0.35">
      <c r="A391" s="4">
        <v>46154</v>
      </c>
      <c r="B391" t="s">
        <v>12</v>
      </c>
      <c r="C391" t="s">
        <v>13</v>
      </c>
      <c r="D391" t="s">
        <v>22</v>
      </c>
      <c r="E391" t="s">
        <v>23</v>
      </c>
      <c r="F391">
        <v>202</v>
      </c>
      <c r="G391">
        <v>41</v>
      </c>
      <c r="H391">
        <v>11</v>
      </c>
      <c r="I391">
        <f t="shared" si="38"/>
        <v>232</v>
      </c>
      <c r="J391">
        <v>19</v>
      </c>
      <c r="K391">
        <v>4</v>
      </c>
      <c r="L391" t="str">
        <f t="shared" si="39"/>
        <v>Correct</v>
      </c>
      <c r="M391">
        <f t="shared" si="40"/>
        <v>57.894736842105267</v>
      </c>
      <c r="N391">
        <f t="shared" si="36"/>
        <v>9.9032258064516121</v>
      </c>
      <c r="O391">
        <f t="shared" si="41"/>
        <v>23.426710097719873</v>
      </c>
      <c r="P391" t="str">
        <f t="shared" si="37"/>
        <v>Healthy</v>
      </c>
    </row>
    <row r="392" spans="1:16" hidden="1" x14ac:dyDescent="0.35">
      <c r="A392" s="4">
        <v>46154</v>
      </c>
      <c r="B392" t="s">
        <v>12</v>
      </c>
      <c r="C392" t="s">
        <v>24</v>
      </c>
      <c r="D392" t="s">
        <v>14</v>
      </c>
      <c r="E392" t="s">
        <v>15</v>
      </c>
      <c r="F392">
        <v>185</v>
      </c>
      <c r="G392">
        <v>4</v>
      </c>
      <c r="H392">
        <v>17</v>
      </c>
      <c r="I392">
        <f t="shared" si="38"/>
        <v>172</v>
      </c>
      <c r="J392">
        <v>30</v>
      </c>
      <c r="K392">
        <v>2</v>
      </c>
      <c r="L392" t="str">
        <f t="shared" si="39"/>
        <v>Correct</v>
      </c>
      <c r="M392">
        <f t="shared" si="40"/>
        <v>56.666666666666664</v>
      </c>
      <c r="N392">
        <f t="shared" si="36"/>
        <v>21.35483870967742</v>
      </c>
      <c r="O392">
        <f t="shared" si="41"/>
        <v>8.0543806646525677</v>
      </c>
      <c r="P392" t="str">
        <f t="shared" si="37"/>
        <v>Low Stock</v>
      </c>
    </row>
    <row r="393" spans="1:16" hidden="1" x14ac:dyDescent="0.35">
      <c r="A393" s="4">
        <v>46154</v>
      </c>
      <c r="B393" t="s">
        <v>12</v>
      </c>
      <c r="C393" t="s">
        <v>24</v>
      </c>
      <c r="D393" t="s">
        <v>16</v>
      </c>
      <c r="E393" t="s">
        <v>17</v>
      </c>
      <c r="F393">
        <v>178</v>
      </c>
      <c r="G393">
        <v>31</v>
      </c>
      <c r="H393">
        <v>28</v>
      </c>
      <c r="I393">
        <f t="shared" si="38"/>
        <v>181</v>
      </c>
      <c r="J393">
        <v>40</v>
      </c>
      <c r="K393">
        <v>4</v>
      </c>
      <c r="L393" t="str">
        <f t="shared" si="39"/>
        <v>Correct</v>
      </c>
      <c r="M393">
        <f t="shared" si="40"/>
        <v>70</v>
      </c>
      <c r="N393">
        <f t="shared" si="36"/>
        <v>21.9</v>
      </c>
      <c r="O393">
        <f t="shared" si="41"/>
        <v>8.2648401826484026</v>
      </c>
      <c r="P393" t="str">
        <f t="shared" si="37"/>
        <v>Low Stock</v>
      </c>
    </row>
    <row r="394" spans="1:16" x14ac:dyDescent="0.35">
      <c r="A394" s="4">
        <v>46154</v>
      </c>
      <c r="B394" t="s">
        <v>12</v>
      </c>
      <c r="C394" t="s">
        <v>24</v>
      </c>
      <c r="D394" t="s">
        <v>18</v>
      </c>
      <c r="E394" t="s">
        <v>19</v>
      </c>
      <c r="F394">
        <v>77</v>
      </c>
      <c r="G394">
        <v>54</v>
      </c>
      <c r="H394">
        <v>26</v>
      </c>
      <c r="I394">
        <f t="shared" si="38"/>
        <v>105</v>
      </c>
      <c r="J394">
        <v>37</v>
      </c>
      <c r="K394">
        <v>1</v>
      </c>
      <c r="L394" t="str">
        <f t="shared" si="39"/>
        <v>Correct</v>
      </c>
      <c r="M394">
        <f t="shared" si="40"/>
        <v>70.270270270270274</v>
      </c>
      <c r="N394">
        <f t="shared" si="36"/>
        <v>31.586206896551722</v>
      </c>
      <c r="O394">
        <f t="shared" si="41"/>
        <v>3.3242358078602621</v>
      </c>
      <c r="P394" t="str">
        <f t="shared" si="37"/>
        <v>Low Stock</v>
      </c>
    </row>
    <row r="395" spans="1:16" hidden="1" x14ac:dyDescent="0.35">
      <c r="A395" s="4">
        <v>46154</v>
      </c>
      <c r="B395" t="s">
        <v>12</v>
      </c>
      <c r="C395" t="s">
        <v>24</v>
      </c>
      <c r="D395" t="s">
        <v>20</v>
      </c>
      <c r="E395" t="s">
        <v>21</v>
      </c>
      <c r="F395">
        <v>74</v>
      </c>
      <c r="G395">
        <v>29</v>
      </c>
      <c r="H395">
        <v>43</v>
      </c>
      <c r="I395">
        <f t="shared" si="38"/>
        <v>60</v>
      </c>
      <c r="J395">
        <v>52</v>
      </c>
      <c r="K395">
        <v>3</v>
      </c>
      <c r="L395" t="str">
        <f t="shared" si="39"/>
        <v>Correct</v>
      </c>
      <c r="M395">
        <f t="shared" si="40"/>
        <v>82.692307692307693</v>
      </c>
      <c r="N395">
        <f t="shared" si="36"/>
        <v>34.200000000000003</v>
      </c>
      <c r="O395">
        <f t="shared" si="41"/>
        <v>1.7543859649122806</v>
      </c>
      <c r="P395" t="str">
        <f t="shared" si="37"/>
        <v>Low Stock</v>
      </c>
    </row>
    <row r="396" spans="1:16" hidden="1" x14ac:dyDescent="0.35">
      <c r="A396" s="4">
        <v>46154</v>
      </c>
      <c r="B396" t="s">
        <v>12</v>
      </c>
      <c r="C396" t="s">
        <v>24</v>
      </c>
      <c r="D396" t="s">
        <v>22</v>
      </c>
      <c r="E396" t="s">
        <v>23</v>
      </c>
      <c r="F396">
        <v>361</v>
      </c>
      <c r="G396">
        <v>1</v>
      </c>
      <c r="H396">
        <v>5</v>
      </c>
      <c r="I396">
        <f t="shared" si="38"/>
        <v>357</v>
      </c>
      <c r="J396">
        <v>14</v>
      </c>
      <c r="K396">
        <v>2</v>
      </c>
      <c r="L396" t="str">
        <f t="shared" si="39"/>
        <v>Correct</v>
      </c>
      <c r="M396">
        <f t="shared" si="40"/>
        <v>35.714285714285715</v>
      </c>
      <c r="N396">
        <f t="shared" si="36"/>
        <v>10.96551724137931</v>
      </c>
      <c r="O396">
        <f t="shared" si="41"/>
        <v>32.556603773584911</v>
      </c>
      <c r="P396" t="str">
        <f t="shared" si="37"/>
        <v>Overstock</v>
      </c>
    </row>
    <row r="397" spans="1:16" hidden="1" x14ac:dyDescent="0.35">
      <c r="A397" s="4">
        <v>46154</v>
      </c>
      <c r="B397" t="s">
        <v>12</v>
      </c>
      <c r="C397" t="s">
        <v>25</v>
      </c>
      <c r="D397" t="s">
        <v>14</v>
      </c>
      <c r="E397" t="s">
        <v>15</v>
      </c>
      <c r="F397">
        <v>211</v>
      </c>
      <c r="G397">
        <v>30</v>
      </c>
      <c r="H397">
        <v>26</v>
      </c>
      <c r="I397">
        <f t="shared" si="38"/>
        <v>215</v>
      </c>
      <c r="J397">
        <v>40</v>
      </c>
      <c r="K397">
        <v>4</v>
      </c>
      <c r="L397" t="str">
        <f t="shared" si="39"/>
        <v>Correct</v>
      </c>
      <c r="M397">
        <f t="shared" si="40"/>
        <v>65</v>
      </c>
      <c r="N397">
        <f t="shared" si="36"/>
        <v>20.7</v>
      </c>
      <c r="O397">
        <f t="shared" si="41"/>
        <v>10.386473429951691</v>
      </c>
      <c r="P397" t="str">
        <f t="shared" si="37"/>
        <v>Low Stock</v>
      </c>
    </row>
    <row r="398" spans="1:16" hidden="1" x14ac:dyDescent="0.35">
      <c r="A398" s="4">
        <v>46154</v>
      </c>
      <c r="B398" t="s">
        <v>12</v>
      </c>
      <c r="C398" t="s">
        <v>25</v>
      </c>
      <c r="D398" t="s">
        <v>16</v>
      </c>
      <c r="E398" t="s">
        <v>17</v>
      </c>
      <c r="F398">
        <v>225</v>
      </c>
      <c r="G398">
        <v>41</v>
      </c>
      <c r="H398">
        <v>33</v>
      </c>
      <c r="I398">
        <f t="shared" si="38"/>
        <v>233</v>
      </c>
      <c r="J398">
        <v>46</v>
      </c>
      <c r="K398">
        <v>1</v>
      </c>
      <c r="L398" t="str">
        <f t="shared" si="39"/>
        <v>Correct</v>
      </c>
      <c r="M398">
        <f t="shared" si="40"/>
        <v>71.739130434782609</v>
      </c>
      <c r="N398">
        <f t="shared" si="36"/>
        <v>23.758620689655171</v>
      </c>
      <c r="O398">
        <f t="shared" si="41"/>
        <v>9.8069666182873743</v>
      </c>
      <c r="P398" t="str">
        <f t="shared" si="37"/>
        <v>Low Stock</v>
      </c>
    </row>
    <row r="399" spans="1:16" x14ac:dyDescent="0.35">
      <c r="A399" s="4">
        <v>46154</v>
      </c>
      <c r="B399" t="s">
        <v>12</v>
      </c>
      <c r="C399" t="s">
        <v>25</v>
      </c>
      <c r="D399" t="s">
        <v>18</v>
      </c>
      <c r="E399" t="s">
        <v>19</v>
      </c>
      <c r="F399">
        <v>141</v>
      </c>
      <c r="G399">
        <v>29</v>
      </c>
      <c r="H399">
        <v>17</v>
      </c>
      <c r="I399">
        <f t="shared" si="38"/>
        <v>153</v>
      </c>
      <c r="J399">
        <v>25</v>
      </c>
      <c r="K399">
        <v>5</v>
      </c>
      <c r="L399" t="str">
        <f t="shared" si="39"/>
        <v>Correct</v>
      </c>
      <c r="M399">
        <f t="shared" si="40"/>
        <v>68</v>
      </c>
      <c r="N399">
        <f t="shared" si="36"/>
        <v>31.142857142857142</v>
      </c>
      <c r="O399">
        <f t="shared" si="41"/>
        <v>4.9128440366972477</v>
      </c>
      <c r="P399" t="str">
        <f t="shared" si="37"/>
        <v>Low Stock</v>
      </c>
    </row>
    <row r="400" spans="1:16" hidden="1" x14ac:dyDescent="0.35">
      <c r="A400" s="4">
        <v>46154</v>
      </c>
      <c r="B400" t="s">
        <v>12</v>
      </c>
      <c r="C400" t="s">
        <v>25</v>
      </c>
      <c r="D400" t="s">
        <v>20</v>
      </c>
      <c r="E400" t="s">
        <v>21</v>
      </c>
      <c r="F400">
        <v>181</v>
      </c>
      <c r="G400">
        <v>21</v>
      </c>
      <c r="H400">
        <v>17</v>
      </c>
      <c r="I400">
        <f t="shared" si="38"/>
        <v>185</v>
      </c>
      <c r="J400">
        <v>18</v>
      </c>
      <c r="K400">
        <v>5</v>
      </c>
      <c r="L400" t="str">
        <f t="shared" si="39"/>
        <v>Correct</v>
      </c>
      <c r="M400">
        <f t="shared" si="40"/>
        <v>94.444444444444443</v>
      </c>
      <c r="N400">
        <f t="shared" si="36"/>
        <v>31.137931034482758</v>
      </c>
      <c r="O400">
        <f t="shared" si="41"/>
        <v>5.9413067552602437</v>
      </c>
      <c r="P400" t="str">
        <f t="shared" si="37"/>
        <v>Low Stock</v>
      </c>
    </row>
    <row r="401" spans="1:16" hidden="1" x14ac:dyDescent="0.35">
      <c r="A401" s="4">
        <v>46154</v>
      </c>
      <c r="B401" t="s">
        <v>12</v>
      </c>
      <c r="C401" t="s">
        <v>25</v>
      </c>
      <c r="D401" t="s">
        <v>22</v>
      </c>
      <c r="E401" t="s">
        <v>23</v>
      </c>
      <c r="F401">
        <v>330</v>
      </c>
      <c r="G401">
        <v>52</v>
      </c>
      <c r="H401">
        <v>8</v>
      </c>
      <c r="I401">
        <f t="shared" si="38"/>
        <v>374</v>
      </c>
      <c r="J401">
        <v>19</v>
      </c>
      <c r="K401">
        <v>2</v>
      </c>
      <c r="L401" t="str">
        <f t="shared" si="39"/>
        <v>Correct</v>
      </c>
      <c r="M401">
        <f t="shared" si="40"/>
        <v>42.105263157894733</v>
      </c>
      <c r="N401">
        <f t="shared" si="36"/>
        <v>11.3</v>
      </c>
      <c r="O401">
        <f t="shared" si="41"/>
        <v>33.097345132743364</v>
      </c>
      <c r="P401" t="str">
        <f t="shared" si="37"/>
        <v>Overstock</v>
      </c>
    </row>
    <row r="402" spans="1:16" hidden="1" x14ac:dyDescent="0.35">
      <c r="A402" s="4">
        <v>46154</v>
      </c>
      <c r="B402" t="s">
        <v>26</v>
      </c>
      <c r="C402" t="s">
        <v>27</v>
      </c>
      <c r="D402" t="s">
        <v>14</v>
      </c>
      <c r="E402" t="s">
        <v>15</v>
      </c>
      <c r="F402">
        <v>329</v>
      </c>
      <c r="G402">
        <v>59</v>
      </c>
      <c r="H402">
        <v>9</v>
      </c>
      <c r="I402">
        <f t="shared" si="38"/>
        <v>379</v>
      </c>
      <c r="J402">
        <v>12</v>
      </c>
      <c r="K402">
        <v>4</v>
      </c>
      <c r="L402" t="str">
        <f t="shared" si="39"/>
        <v>Correct</v>
      </c>
      <c r="M402">
        <f t="shared" si="40"/>
        <v>75</v>
      </c>
      <c r="N402">
        <f t="shared" si="36"/>
        <v>22.258064516129032</v>
      </c>
      <c r="O402">
        <f t="shared" si="41"/>
        <v>17.027536231884056</v>
      </c>
      <c r="P402" t="str">
        <f t="shared" si="37"/>
        <v>Healthy</v>
      </c>
    </row>
    <row r="403" spans="1:16" hidden="1" x14ac:dyDescent="0.35">
      <c r="A403" s="4">
        <v>46154</v>
      </c>
      <c r="B403" t="s">
        <v>26</v>
      </c>
      <c r="C403" t="s">
        <v>27</v>
      </c>
      <c r="D403" t="s">
        <v>16</v>
      </c>
      <c r="E403" t="s">
        <v>17</v>
      </c>
      <c r="F403">
        <v>187</v>
      </c>
      <c r="G403">
        <v>53</v>
      </c>
      <c r="H403">
        <v>11</v>
      </c>
      <c r="I403">
        <f t="shared" si="38"/>
        <v>229</v>
      </c>
      <c r="J403">
        <v>20</v>
      </c>
      <c r="K403">
        <v>1</v>
      </c>
      <c r="L403" t="str">
        <f t="shared" si="39"/>
        <v>Correct</v>
      </c>
      <c r="M403">
        <f t="shared" si="40"/>
        <v>55.000000000000007</v>
      </c>
      <c r="N403">
        <f t="shared" si="36"/>
        <v>20.172413793103448</v>
      </c>
      <c r="O403">
        <f t="shared" si="41"/>
        <v>11.352136752136753</v>
      </c>
      <c r="P403" t="str">
        <f t="shared" si="37"/>
        <v>Low Stock</v>
      </c>
    </row>
    <row r="404" spans="1:16" x14ac:dyDescent="0.35">
      <c r="A404" s="4">
        <v>46154</v>
      </c>
      <c r="B404" t="s">
        <v>26</v>
      </c>
      <c r="C404" t="s">
        <v>27</v>
      </c>
      <c r="D404" t="s">
        <v>18</v>
      </c>
      <c r="E404" t="s">
        <v>19</v>
      </c>
      <c r="F404">
        <v>220</v>
      </c>
      <c r="G404">
        <v>10</v>
      </c>
      <c r="H404">
        <v>29</v>
      </c>
      <c r="I404">
        <f t="shared" si="38"/>
        <v>201</v>
      </c>
      <c r="J404">
        <v>30</v>
      </c>
      <c r="K404">
        <v>2</v>
      </c>
      <c r="L404" t="str">
        <f t="shared" si="39"/>
        <v>Correct</v>
      </c>
      <c r="M404">
        <f t="shared" si="40"/>
        <v>96.666666666666671</v>
      </c>
      <c r="N404">
        <f t="shared" si="36"/>
        <v>29.733333333333334</v>
      </c>
      <c r="O404">
        <f t="shared" si="41"/>
        <v>6.7600896860986541</v>
      </c>
      <c r="P404" t="str">
        <f t="shared" si="37"/>
        <v>Low Stock</v>
      </c>
    </row>
    <row r="405" spans="1:16" hidden="1" x14ac:dyDescent="0.35">
      <c r="A405" s="4">
        <v>46154</v>
      </c>
      <c r="B405" t="s">
        <v>26</v>
      </c>
      <c r="C405" t="s">
        <v>27</v>
      </c>
      <c r="D405" t="s">
        <v>20</v>
      </c>
      <c r="E405" t="s">
        <v>21</v>
      </c>
      <c r="F405">
        <v>268</v>
      </c>
      <c r="G405">
        <v>56</v>
      </c>
      <c r="H405">
        <v>35</v>
      </c>
      <c r="I405">
        <f t="shared" si="38"/>
        <v>289</v>
      </c>
      <c r="J405">
        <v>39</v>
      </c>
      <c r="K405">
        <v>2</v>
      </c>
      <c r="L405" t="str">
        <f t="shared" si="39"/>
        <v>Correct</v>
      </c>
      <c r="M405">
        <f t="shared" si="40"/>
        <v>89.743589743589752</v>
      </c>
      <c r="N405">
        <f t="shared" si="36"/>
        <v>30.724137931034484</v>
      </c>
      <c r="O405">
        <f t="shared" si="41"/>
        <v>9.4062850729517393</v>
      </c>
      <c r="P405" t="str">
        <f t="shared" si="37"/>
        <v>Low Stock</v>
      </c>
    </row>
    <row r="406" spans="1:16" hidden="1" x14ac:dyDescent="0.35">
      <c r="A406" s="4">
        <v>46154</v>
      </c>
      <c r="B406" t="s">
        <v>26</v>
      </c>
      <c r="C406" t="s">
        <v>27</v>
      </c>
      <c r="D406" t="s">
        <v>22</v>
      </c>
      <c r="E406" t="s">
        <v>23</v>
      </c>
      <c r="F406">
        <v>295</v>
      </c>
      <c r="G406">
        <v>7</v>
      </c>
      <c r="H406">
        <v>17</v>
      </c>
      <c r="I406">
        <f t="shared" si="38"/>
        <v>285</v>
      </c>
      <c r="J406">
        <v>26</v>
      </c>
      <c r="K406">
        <v>5</v>
      </c>
      <c r="L406" t="str">
        <f t="shared" si="39"/>
        <v>Correct</v>
      </c>
      <c r="M406">
        <f t="shared" si="40"/>
        <v>65.384615384615387</v>
      </c>
      <c r="N406">
        <f t="shared" si="36"/>
        <v>11.566666666666666</v>
      </c>
      <c r="O406">
        <f t="shared" si="41"/>
        <v>24.639769452449567</v>
      </c>
      <c r="P406" t="str">
        <f t="shared" si="37"/>
        <v>Healthy</v>
      </c>
    </row>
    <row r="407" spans="1:16" hidden="1" x14ac:dyDescent="0.35">
      <c r="A407" s="4">
        <v>46154</v>
      </c>
      <c r="B407" t="s">
        <v>28</v>
      </c>
      <c r="C407" t="s">
        <v>29</v>
      </c>
      <c r="D407" t="s">
        <v>14</v>
      </c>
      <c r="E407" t="s">
        <v>15</v>
      </c>
      <c r="F407">
        <v>251</v>
      </c>
      <c r="G407">
        <v>57</v>
      </c>
      <c r="H407">
        <v>25</v>
      </c>
      <c r="I407">
        <f t="shared" si="38"/>
        <v>283</v>
      </c>
      <c r="J407">
        <v>32</v>
      </c>
      <c r="K407">
        <v>5</v>
      </c>
      <c r="L407" t="str">
        <f t="shared" si="39"/>
        <v>Correct</v>
      </c>
      <c r="M407">
        <f t="shared" si="40"/>
        <v>78.125</v>
      </c>
      <c r="N407">
        <f t="shared" si="36"/>
        <v>22.25</v>
      </c>
      <c r="O407">
        <f t="shared" si="41"/>
        <v>12.719101123595506</v>
      </c>
      <c r="P407" t="str">
        <f t="shared" si="37"/>
        <v>Low Stock</v>
      </c>
    </row>
    <row r="408" spans="1:16" hidden="1" x14ac:dyDescent="0.35">
      <c r="A408" s="4">
        <v>46154</v>
      </c>
      <c r="B408" t="s">
        <v>28</v>
      </c>
      <c r="C408" t="s">
        <v>29</v>
      </c>
      <c r="D408" t="s">
        <v>16</v>
      </c>
      <c r="E408" t="s">
        <v>17</v>
      </c>
      <c r="F408">
        <v>166</v>
      </c>
      <c r="G408">
        <v>56</v>
      </c>
      <c r="H408">
        <v>8</v>
      </c>
      <c r="I408">
        <f t="shared" si="38"/>
        <v>214</v>
      </c>
      <c r="J408">
        <v>20</v>
      </c>
      <c r="K408">
        <v>4</v>
      </c>
      <c r="L408" t="str">
        <f t="shared" si="39"/>
        <v>Correct</v>
      </c>
      <c r="M408">
        <f t="shared" si="40"/>
        <v>40</v>
      </c>
      <c r="N408">
        <f t="shared" si="36"/>
        <v>19.96551724137931</v>
      </c>
      <c r="O408">
        <f t="shared" si="41"/>
        <v>10.718480138169257</v>
      </c>
      <c r="P408" t="str">
        <f t="shared" si="37"/>
        <v>Low Stock</v>
      </c>
    </row>
    <row r="409" spans="1:16" x14ac:dyDescent="0.35">
      <c r="A409" s="4">
        <v>46154</v>
      </c>
      <c r="B409" t="s">
        <v>28</v>
      </c>
      <c r="C409" t="s">
        <v>29</v>
      </c>
      <c r="D409" t="s">
        <v>18</v>
      </c>
      <c r="E409" t="s">
        <v>19</v>
      </c>
      <c r="F409">
        <v>136</v>
      </c>
      <c r="G409">
        <v>5</v>
      </c>
      <c r="H409">
        <v>39</v>
      </c>
      <c r="I409">
        <f t="shared" si="38"/>
        <v>102</v>
      </c>
      <c r="J409">
        <v>43</v>
      </c>
      <c r="K409">
        <v>5</v>
      </c>
      <c r="L409" t="str">
        <f t="shared" si="39"/>
        <v>Correct</v>
      </c>
      <c r="M409">
        <f t="shared" si="40"/>
        <v>90.697674418604649</v>
      </c>
      <c r="N409">
        <f t="shared" si="36"/>
        <v>31.206896551724139</v>
      </c>
      <c r="O409">
        <f t="shared" si="41"/>
        <v>3.2685082872928177</v>
      </c>
      <c r="P409" t="str">
        <f t="shared" si="37"/>
        <v>Low Stock</v>
      </c>
    </row>
    <row r="410" spans="1:16" hidden="1" x14ac:dyDescent="0.35">
      <c r="A410" s="4">
        <v>46154</v>
      </c>
      <c r="B410" t="s">
        <v>28</v>
      </c>
      <c r="C410" t="s">
        <v>29</v>
      </c>
      <c r="D410" t="s">
        <v>20</v>
      </c>
      <c r="E410" t="s">
        <v>21</v>
      </c>
      <c r="F410">
        <v>112</v>
      </c>
      <c r="G410">
        <v>34</v>
      </c>
      <c r="H410">
        <v>30</v>
      </c>
      <c r="I410">
        <f t="shared" si="38"/>
        <v>116</v>
      </c>
      <c r="J410">
        <v>53</v>
      </c>
      <c r="K410">
        <v>5</v>
      </c>
      <c r="L410" t="str">
        <f t="shared" si="39"/>
        <v>Correct</v>
      </c>
      <c r="M410">
        <f t="shared" si="40"/>
        <v>56.60377358490566</v>
      </c>
      <c r="N410">
        <f t="shared" si="36"/>
        <v>32.620689655172413</v>
      </c>
      <c r="O410">
        <f t="shared" si="41"/>
        <v>3.5560253699788587</v>
      </c>
      <c r="P410" t="str">
        <f t="shared" si="37"/>
        <v>Low Stock</v>
      </c>
    </row>
    <row r="411" spans="1:16" hidden="1" x14ac:dyDescent="0.35">
      <c r="A411" s="4">
        <v>46154</v>
      </c>
      <c r="B411" t="s">
        <v>28</v>
      </c>
      <c r="C411" t="s">
        <v>29</v>
      </c>
      <c r="D411" t="s">
        <v>22</v>
      </c>
      <c r="E411" t="s">
        <v>23</v>
      </c>
      <c r="F411">
        <v>436</v>
      </c>
      <c r="G411">
        <v>15</v>
      </c>
      <c r="H411">
        <v>3</v>
      </c>
      <c r="I411">
        <f t="shared" si="38"/>
        <v>448</v>
      </c>
      <c r="J411">
        <v>5</v>
      </c>
      <c r="K411">
        <v>1</v>
      </c>
      <c r="L411" t="str">
        <f t="shared" si="39"/>
        <v>Correct</v>
      </c>
      <c r="M411">
        <f t="shared" si="40"/>
        <v>60</v>
      </c>
      <c r="N411">
        <f t="shared" si="36"/>
        <v>11.678571428571429</v>
      </c>
      <c r="O411">
        <f t="shared" si="41"/>
        <v>38.36085626911315</v>
      </c>
      <c r="P411" t="str">
        <f t="shared" si="37"/>
        <v>Overstock</v>
      </c>
    </row>
    <row r="412" spans="1:16" hidden="1" x14ac:dyDescent="0.35">
      <c r="A412" s="4">
        <v>46154</v>
      </c>
      <c r="B412" t="s">
        <v>31</v>
      </c>
      <c r="C412" t="s">
        <v>32</v>
      </c>
      <c r="D412" t="s">
        <v>14</v>
      </c>
      <c r="E412" t="s">
        <v>15</v>
      </c>
      <c r="F412">
        <v>257</v>
      </c>
      <c r="G412">
        <v>25</v>
      </c>
      <c r="H412">
        <v>25</v>
      </c>
      <c r="I412">
        <f t="shared" si="38"/>
        <v>257</v>
      </c>
      <c r="J412">
        <v>37</v>
      </c>
      <c r="K412">
        <v>2</v>
      </c>
      <c r="L412" t="str">
        <f t="shared" si="39"/>
        <v>Correct</v>
      </c>
      <c r="M412">
        <f t="shared" si="40"/>
        <v>67.567567567567565</v>
      </c>
      <c r="N412">
        <f t="shared" si="36"/>
        <v>20.84375</v>
      </c>
      <c r="O412">
        <f t="shared" si="41"/>
        <v>12.329835082458771</v>
      </c>
      <c r="P412" t="str">
        <f t="shared" si="37"/>
        <v>Low Stock</v>
      </c>
    </row>
    <row r="413" spans="1:16" hidden="1" x14ac:dyDescent="0.35">
      <c r="A413" s="4">
        <v>46154</v>
      </c>
      <c r="B413" t="s">
        <v>31</v>
      </c>
      <c r="C413" t="s">
        <v>32</v>
      </c>
      <c r="D413" t="s">
        <v>16</v>
      </c>
      <c r="E413" t="s">
        <v>17</v>
      </c>
      <c r="F413">
        <v>289</v>
      </c>
      <c r="G413">
        <v>12</v>
      </c>
      <c r="H413">
        <v>17</v>
      </c>
      <c r="I413">
        <f t="shared" si="38"/>
        <v>284</v>
      </c>
      <c r="J413">
        <v>28</v>
      </c>
      <c r="K413">
        <v>5</v>
      </c>
      <c r="L413" t="str">
        <f t="shared" si="39"/>
        <v>Correct</v>
      </c>
      <c r="M413">
        <f t="shared" si="40"/>
        <v>60.714285714285708</v>
      </c>
      <c r="N413">
        <f t="shared" si="36"/>
        <v>21.46875</v>
      </c>
      <c r="O413">
        <f t="shared" si="41"/>
        <v>13.228529839883551</v>
      </c>
      <c r="P413" t="str">
        <f t="shared" si="37"/>
        <v>Low Stock</v>
      </c>
    </row>
    <row r="414" spans="1:16" x14ac:dyDescent="0.35">
      <c r="A414" s="4">
        <v>46154</v>
      </c>
      <c r="B414" t="s">
        <v>31</v>
      </c>
      <c r="C414" t="s">
        <v>32</v>
      </c>
      <c r="D414" t="s">
        <v>18</v>
      </c>
      <c r="E414" t="s">
        <v>19</v>
      </c>
      <c r="F414">
        <v>91</v>
      </c>
      <c r="G414">
        <v>30</v>
      </c>
      <c r="H414">
        <v>21</v>
      </c>
      <c r="I414">
        <f t="shared" si="38"/>
        <v>100</v>
      </c>
      <c r="J414">
        <v>35</v>
      </c>
      <c r="K414">
        <v>3</v>
      </c>
      <c r="L414" t="str">
        <f t="shared" si="39"/>
        <v>Correct</v>
      </c>
      <c r="M414">
        <f t="shared" si="40"/>
        <v>60</v>
      </c>
      <c r="N414">
        <f t="shared" si="36"/>
        <v>30.586206896551722</v>
      </c>
      <c r="O414">
        <f t="shared" si="41"/>
        <v>3.269447576099211</v>
      </c>
      <c r="P414" t="str">
        <f t="shared" si="37"/>
        <v>Low Stock</v>
      </c>
    </row>
    <row r="415" spans="1:16" hidden="1" x14ac:dyDescent="0.35">
      <c r="A415" s="4">
        <v>46154</v>
      </c>
      <c r="B415" t="s">
        <v>31</v>
      </c>
      <c r="C415" t="s">
        <v>32</v>
      </c>
      <c r="D415" t="s">
        <v>20</v>
      </c>
      <c r="E415" t="s">
        <v>21</v>
      </c>
      <c r="F415">
        <v>129</v>
      </c>
      <c r="G415">
        <v>12</v>
      </c>
      <c r="H415">
        <v>25</v>
      </c>
      <c r="I415">
        <f t="shared" si="38"/>
        <v>116</v>
      </c>
      <c r="J415">
        <v>38</v>
      </c>
      <c r="K415">
        <v>2</v>
      </c>
      <c r="L415" t="str">
        <f t="shared" si="39"/>
        <v>Correct</v>
      </c>
      <c r="M415">
        <f t="shared" si="40"/>
        <v>65.789473684210535</v>
      </c>
      <c r="N415">
        <f t="shared" si="36"/>
        <v>32.299999999999997</v>
      </c>
      <c r="O415">
        <f t="shared" si="41"/>
        <v>3.5913312693498454</v>
      </c>
      <c r="P415" t="str">
        <f t="shared" si="37"/>
        <v>Low Stock</v>
      </c>
    </row>
    <row r="416" spans="1:16" hidden="1" x14ac:dyDescent="0.35">
      <c r="A416" s="4">
        <v>46154</v>
      </c>
      <c r="B416" t="s">
        <v>31</v>
      </c>
      <c r="C416" t="s">
        <v>32</v>
      </c>
      <c r="D416" t="s">
        <v>22</v>
      </c>
      <c r="E416" t="s">
        <v>23</v>
      </c>
      <c r="F416">
        <v>453</v>
      </c>
      <c r="G416">
        <v>52</v>
      </c>
      <c r="H416">
        <v>9</v>
      </c>
      <c r="I416">
        <f t="shared" si="38"/>
        <v>496</v>
      </c>
      <c r="J416">
        <v>21</v>
      </c>
      <c r="K416">
        <v>4</v>
      </c>
      <c r="L416" t="str">
        <f t="shared" si="39"/>
        <v>Correct</v>
      </c>
      <c r="M416">
        <f t="shared" si="40"/>
        <v>42.857142857142854</v>
      </c>
      <c r="N416">
        <f t="shared" si="36"/>
        <v>10.413793103448276</v>
      </c>
      <c r="O416">
        <f t="shared" si="41"/>
        <v>47.629139072847686</v>
      </c>
      <c r="P416" t="str">
        <f t="shared" si="37"/>
        <v>Overstock</v>
      </c>
    </row>
    <row r="417" spans="1:16" hidden="1" x14ac:dyDescent="0.35">
      <c r="A417" s="4">
        <v>46154</v>
      </c>
      <c r="B417" t="s">
        <v>33</v>
      </c>
      <c r="C417" t="s">
        <v>34</v>
      </c>
      <c r="D417" t="s">
        <v>14</v>
      </c>
      <c r="E417" t="s">
        <v>15</v>
      </c>
      <c r="F417">
        <v>161</v>
      </c>
      <c r="G417">
        <v>16</v>
      </c>
      <c r="H417">
        <v>19</v>
      </c>
      <c r="I417">
        <f t="shared" si="38"/>
        <v>158</v>
      </c>
      <c r="J417">
        <v>25</v>
      </c>
      <c r="K417">
        <v>5</v>
      </c>
      <c r="L417" t="str">
        <f t="shared" si="39"/>
        <v>Correct</v>
      </c>
      <c r="M417">
        <f t="shared" si="40"/>
        <v>76</v>
      </c>
      <c r="N417">
        <f t="shared" si="36"/>
        <v>20.70967741935484</v>
      </c>
      <c r="O417">
        <f t="shared" si="41"/>
        <v>7.6292834890965731</v>
      </c>
      <c r="P417" t="str">
        <f t="shared" si="37"/>
        <v>Low Stock</v>
      </c>
    </row>
    <row r="418" spans="1:16" hidden="1" x14ac:dyDescent="0.35">
      <c r="A418" s="4">
        <v>46154</v>
      </c>
      <c r="B418" t="s">
        <v>33</v>
      </c>
      <c r="C418" t="s">
        <v>34</v>
      </c>
      <c r="D418" t="s">
        <v>16</v>
      </c>
      <c r="E418" t="s">
        <v>17</v>
      </c>
      <c r="F418">
        <v>239</v>
      </c>
      <c r="G418">
        <v>50</v>
      </c>
      <c r="H418">
        <v>28</v>
      </c>
      <c r="I418">
        <f t="shared" si="38"/>
        <v>261</v>
      </c>
      <c r="J418">
        <v>42</v>
      </c>
      <c r="K418">
        <v>4</v>
      </c>
      <c r="L418" t="str">
        <f t="shared" si="39"/>
        <v>Correct</v>
      </c>
      <c r="M418">
        <f t="shared" si="40"/>
        <v>66.666666666666657</v>
      </c>
      <c r="N418">
        <f t="shared" si="36"/>
        <v>22.142857142857142</v>
      </c>
      <c r="O418">
        <f t="shared" si="41"/>
        <v>11.787096774193548</v>
      </c>
      <c r="P418" t="str">
        <f t="shared" si="37"/>
        <v>Low Stock</v>
      </c>
    </row>
    <row r="419" spans="1:16" x14ac:dyDescent="0.35">
      <c r="A419" s="4">
        <v>46154</v>
      </c>
      <c r="B419" t="s">
        <v>33</v>
      </c>
      <c r="C419" t="s">
        <v>34</v>
      </c>
      <c r="D419" t="s">
        <v>18</v>
      </c>
      <c r="E419" t="s">
        <v>19</v>
      </c>
      <c r="F419">
        <v>173</v>
      </c>
      <c r="G419">
        <v>33</v>
      </c>
      <c r="H419">
        <v>17</v>
      </c>
      <c r="I419">
        <f t="shared" si="38"/>
        <v>189</v>
      </c>
      <c r="J419">
        <v>25</v>
      </c>
      <c r="K419">
        <v>1</v>
      </c>
      <c r="L419" t="str">
        <f t="shared" si="39"/>
        <v>Correct</v>
      </c>
      <c r="M419">
        <f t="shared" si="40"/>
        <v>68</v>
      </c>
      <c r="N419">
        <f t="shared" si="36"/>
        <v>30.275862068965516</v>
      </c>
      <c r="O419">
        <f t="shared" si="41"/>
        <v>6.2425968109339411</v>
      </c>
      <c r="P419" t="str">
        <f t="shared" si="37"/>
        <v>Low Stock</v>
      </c>
    </row>
    <row r="420" spans="1:16" hidden="1" x14ac:dyDescent="0.35">
      <c r="A420" s="4">
        <v>46154</v>
      </c>
      <c r="B420" t="s">
        <v>33</v>
      </c>
      <c r="C420" t="s">
        <v>34</v>
      </c>
      <c r="D420" t="s">
        <v>20</v>
      </c>
      <c r="E420" t="s">
        <v>21</v>
      </c>
      <c r="F420">
        <v>339</v>
      </c>
      <c r="G420">
        <v>41</v>
      </c>
      <c r="H420">
        <v>25</v>
      </c>
      <c r="I420">
        <f t="shared" si="38"/>
        <v>355</v>
      </c>
      <c r="J420">
        <v>40</v>
      </c>
      <c r="K420">
        <v>5</v>
      </c>
      <c r="L420" t="str">
        <f t="shared" si="39"/>
        <v>Correct</v>
      </c>
      <c r="M420">
        <f t="shared" si="40"/>
        <v>62.5</v>
      </c>
      <c r="N420">
        <f t="shared" si="36"/>
        <v>30.931034482758619</v>
      </c>
      <c r="O420">
        <f t="shared" si="41"/>
        <v>11.477146042363435</v>
      </c>
      <c r="P420" t="str">
        <f t="shared" si="37"/>
        <v>Low Stock</v>
      </c>
    </row>
    <row r="421" spans="1:16" hidden="1" x14ac:dyDescent="0.35">
      <c r="A421" s="4">
        <v>46154</v>
      </c>
      <c r="B421" t="s">
        <v>33</v>
      </c>
      <c r="C421" t="s">
        <v>34</v>
      </c>
      <c r="D421" t="s">
        <v>14</v>
      </c>
      <c r="E421" t="s">
        <v>15</v>
      </c>
      <c r="F421">
        <v>301</v>
      </c>
      <c r="G421">
        <v>54</v>
      </c>
      <c r="H421">
        <v>17</v>
      </c>
      <c r="I421">
        <f t="shared" si="38"/>
        <v>338</v>
      </c>
      <c r="J421">
        <v>29</v>
      </c>
      <c r="K421">
        <v>5</v>
      </c>
      <c r="L421" t="str">
        <f t="shared" si="39"/>
        <v>Correct</v>
      </c>
      <c r="M421">
        <f t="shared" si="40"/>
        <v>58.620689655172406</v>
      </c>
      <c r="N421">
        <f t="shared" si="36"/>
        <v>20.70967741935484</v>
      </c>
      <c r="O421">
        <f t="shared" si="41"/>
        <v>16.320872274143301</v>
      </c>
      <c r="P421" t="str">
        <f t="shared" si="37"/>
        <v>Healthy</v>
      </c>
    </row>
    <row r="422" spans="1:16" hidden="1" x14ac:dyDescent="0.35">
      <c r="A422" s="4">
        <v>46155</v>
      </c>
      <c r="B422" t="s">
        <v>12</v>
      </c>
      <c r="C422" t="s">
        <v>13</v>
      </c>
      <c r="D422" t="s">
        <v>14</v>
      </c>
      <c r="E422" t="s">
        <v>15</v>
      </c>
      <c r="F422">
        <v>374</v>
      </c>
      <c r="G422">
        <v>37</v>
      </c>
      <c r="H422">
        <v>29</v>
      </c>
      <c r="I422">
        <f t="shared" si="38"/>
        <v>382</v>
      </c>
      <c r="J422">
        <v>41</v>
      </c>
      <c r="K422">
        <v>1</v>
      </c>
      <c r="L422" t="str">
        <f t="shared" si="39"/>
        <v>Correct</v>
      </c>
      <c r="M422">
        <f t="shared" si="40"/>
        <v>70.731707317073173</v>
      </c>
      <c r="N422">
        <f t="shared" si="36"/>
        <v>21.666666666666668</v>
      </c>
      <c r="O422">
        <f t="shared" si="41"/>
        <v>17.630769230769229</v>
      </c>
      <c r="P422" t="str">
        <f t="shared" si="37"/>
        <v>Healthy</v>
      </c>
    </row>
    <row r="423" spans="1:16" hidden="1" x14ac:dyDescent="0.35">
      <c r="A423" s="4">
        <v>46155</v>
      </c>
      <c r="B423" t="s">
        <v>12</v>
      </c>
      <c r="C423" t="s">
        <v>13</v>
      </c>
      <c r="D423" t="s">
        <v>16</v>
      </c>
      <c r="E423" t="s">
        <v>17</v>
      </c>
      <c r="F423">
        <v>284</v>
      </c>
      <c r="G423">
        <v>40</v>
      </c>
      <c r="H423">
        <v>29</v>
      </c>
      <c r="I423">
        <f t="shared" si="38"/>
        <v>295</v>
      </c>
      <c r="J423">
        <v>35</v>
      </c>
      <c r="K423">
        <v>5</v>
      </c>
      <c r="L423" t="str">
        <f t="shared" si="39"/>
        <v>Correct</v>
      </c>
      <c r="M423">
        <f t="shared" si="40"/>
        <v>82.857142857142861</v>
      </c>
      <c r="N423">
        <f t="shared" si="36"/>
        <v>20.030303030303031</v>
      </c>
      <c r="O423">
        <f t="shared" si="41"/>
        <v>14.727685325264749</v>
      </c>
      <c r="P423" t="str">
        <f t="shared" si="37"/>
        <v>Low Stock</v>
      </c>
    </row>
    <row r="424" spans="1:16" x14ac:dyDescent="0.35">
      <c r="A424" s="4">
        <v>46155</v>
      </c>
      <c r="B424" t="s">
        <v>12</v>
      </c>
      <c r="C424" t="s">
        <v>13</v>
      </c>
      <c r="D424" t="s">
        <v>18</v>
      </c>
      <c r="E424" t="s">
        <v>19</v>
      </c>
      <c r="F424">
        <v>120</v>
      </c>
      <c r="G424">
        <v>54</v>
      </c>
      <c r="H424">
        <v>26</v>
      </c>
      <c r="I424">
        <f t="shared" si="38"/>
        <v>148</v>
      </c>
      <c r="J424">
        <v>28</v>
      </c>
      <c r="K424">
        <v>3</v>
      </c>
      <c r="L424" t="str">
        <f t="shared" si="39"/>
        <v>Correct</v>
      </c>
      <c r="M424">
        <f t="shared" si="40"/>
        <v>92.857142857142861</v>
      </c>
      <c r="N424">
        <f t="shared" si="36"/>
        <v>33.34375</v>
      </c>
      <c r="O424">
        <f t="shared" si="41"/>
        <v>4.4386129334582947</v>
      </c>
      <c r="P424" t="str">
        <f t="shared" si="37"/>
        <v>Low Stock</v>
      </c>
    </row>
    <row r="425" spans="1:16" hidden="1" x14ac:dyDescent="0.35">
      <c r="A425" s="4">
        <v>46155</v>
      </c>
      <c r="B425" t="s">
        <v>12</v>
      </c>
      <c r="C425" t="s">
        <v>13</v>
      </c>
      <c r="D425" t="s">
        <v>20</v>
      </c>
      <c r="E425" t="s">
        <v>21</v>
      </c>
      <c r="F425">
        <v>116</v>
      </c>
      <c r="G425">
        <v>2</v>
      </c>
      <c r="H425">
        <v>32</v>
      </c>
      <c r="I425">
        <f t="shared" si="38"/>
        <v>86</v>
      </c>
      <c r="J425">
        <v>35</v>
      </c>
      <c r="K425">
        <v>2</v>
      </c>
      <c r="L425" t="str">
        <f t="shared" si="39"/>
        <v>Correct</v>
      </c>
      <c r="M425">
        <f t="shared" si="40"/>
        <v>91.428571428571431</v>
      </c>
      <c r="N425">
        <f t="shared" si="36"/>
        <v>34.515151515151516</v>
      </c>
      <c r="O425">
        <f t="shared" si="41"/>
        <v>2.491659350307287</v>
      </c>
      <c r="P425" t="str">
        <f t="shared" si="37"/>
        <v>Low Stock</v>
      </c>
    </row>
    <row r="426" spans="1:16" hidden="1" x14ac:dyDescent="0.35">
      <c r="A426" s="4">
        <v>46155</v>
      </c>
      <c r="B426" t="s">
        <v>12</v>
      </c>
      <c r="C426" t="s">
        <v>13</v>
      </c>
      <c r="D426" t="s">
        <v>22</v>
      </c>
      <c r="E426" t="s">
        <v>23</v>
      </c>
      <c r="F426">
        <v>232</v>
      </c>
      <c r="G426">
        <v>55</v>
      </c>
      <c r="H426">
        <v>3</v>
      </c>
      <c r="I426">
        <f t="shared" si="38"/>
        <v>284</v>
      </c>
      <c r="J426">
        <v>14</v>
      </c>
      <c r="K426">
        <v>1</v>
      </c>
      <c r="L426" t="str">
        <f t="shared" si="39"/>
        <v>Correct</v>
      </c>
      <c r="M426">
        <f t="shared" si="40"/>
        <v>21.428571428571427</v>
      </c>
      <c r="N426">
        <f t="shared" si="36"/>
        <v>9.9032258064516121</v>
      </c>
      <c r="O426">
        <f t="shared" si="41"/>
        <v>28.677524429967431</v>
      </c>
      <c r="P426" t="str">
        <f t="shared" si="37"/>
        <v>Healthy</v>
      </c>
    </row>
    <row r="427" spans="1:16" hidden="1" x14ac:dyDescent="0.35">
      <c r="A427" s="4">
        <v>46155</v>
      </c>
      <c r="B427" t="s">
        <v>12</v>
      </c>
      <c r="C427" t="s">
        <v>24</v>
      </c>
      <c r="D427" t="s">
        <v>14</v>
      </c>
      <c r="E427" t="s">
        <v>15</v>
      </c>
      <c r="F427">
        <v>172</v>
      </c>
      <c r="G427">
        <v>30</v>
      </c>
      <c r="H427">
        <v>32</v>
      </c>
      <c r="I427">
        <f t="shared" si="38"/>
        <v>170</v>
      </c>
      <c r="J427">
        <v>33</v>
      </c>
      <c r="K427">
        <v>2</v>
      </c>
      <c r="L427" t="str">
        <f t="shared" si="39"/>
        <v>Correct</v>
      </c>
      <c r="M427">
        <f t="shared" si="40"/>
        <v>96.969696969696969</v>
      </c>
      <c r="N427">
        <f t="shared" si="36"/>
        <v>21.35483870967742</v>
      </c>
      <c r="O427">
        <f t="shared" si="41"/>
        <v>7.9607250755287007</v>
      </c>
      <c r="P427" t="str">
        <f t="shared" si="37"/>
        <v>Low Stock</v>
      </c>
    </row>
    <row r="428" spans="1:16" hidden="1" x14ac:dyDescent="0.35">
      <c r="A428" s="4">
        <v>46155</v>
      </c>
      <c r="B428" t="s">
        <v>12</v>
      </c>
      <c r="C428" t="s">
        <v>24</v>
      </c>
      <c r="D428" t="s">
        <v>16</v>
      </c>
      <c r="E428" t="s">
        <v>17</v>
      </c>
      <c r="F428">
        <v>181</v>
      </c>
      <c r="G428">
        <v>13</v>
      </c>
      <c r="H428">
        <v>14</v>
      </c>
      <c r="I428">
        <f t="shared" si="38"/>
        <v>180</v>
      </c>
      <c r="J428">
        <v>20</v>
      </c>
      <c r="K428">
        <v>2</v>
      </c>
      <c r="L428" t="str">
        <f t="shared" si="39"/>
        <v>Correct</v>
      </c>
      <c r="M428">
        <f t="shared" si="40"/>
        <v>70</v>
      </c>
      <c r="N428">
        <f t="shared" si="36"/>
        <v>21.9</v>
      </c>
      <c r="O428">
        <f t="shared" si="41"/>
        <v>8.2191780821917817</v>
      </c>
      <c r="P428" t="str">
        <f t="shared" si="37"/>
        <v>Low Stock</v>
      </c>
    </row>
    <row r="429" spans="1:16" x14ac:dyDescent="0.35">
      <c r="A429" s="4">
        <v>46155</v>
      </c>
      <c r="B429" t="s">
        <v>12</v>
      </c>
      <c r="C429" t="s">
        <v>24</v>
      </c>
      <c r="D429" t="s">
        <v>18</v>
      </c>
      <c r="E429" t="s">
        <v>19</v>
      </c>
      <c r="F429">
        <v>105</v>
      </c>
      <c r="G429">
        <v>53</v>
      </c>
      <c r="H429">
        <v>31</v>
      </c>
      <c r="I429">
        <f t="shared" si="38"/>
        <v>127</v>
      </c>
      <c r="J429">
        <v>38</v>
      </c>
      <c r="K429">
        <v>3</v>
      </c>
      <c r="L429" t="str">
        <f t="shared" si="39"/>
        <v>Correct</v>
      </c>
      <c r="M429">
        <f t="shared" si="40"/>
        <v>81.578947368421055</v>
      </c>
      <c r="N429">
        <f t="shared" si="36"/>
        <v>31.586206896551722</v>
      </c>
      <c r="O429">
        <f t="shared" si="41"/>
        <v>4.0207423580786026</v>
      </c>
      <c r="P429" t="str">
        <f t="shared" si="37"/>
        <v>Low Stock</v>
      </c>
    </row>
    <row r="430" spans="1:16" hidden="1" x14ac:dyDescent="0.35">
      <c r="A430" s="4">
        <v>46155</v>
      </c>
      <c r="B430" t="s">
        <v>12</v>
      </c>
      <c r="C430" t="s">
        <v>24</v>
      </c>
      <c r="D430" t="s">
        <v>20</v>
      </c>
      <c r="E430" t="s">
        <v>21</v>
      </c>
      <c r="F430">
        <v>60</v>
      </c>
      <c r="G430">
        <v>45</v>
      </c>
      <c r="H430">
        <v>41</v>
      </c>
      <c r="I430">
        <f t="shared" si="38"/>
        <v>64</v>
      </c>
      <c r="J430">
        <v>56</v>
      </c>
      <c r="K430">
        <v>1</v>
      </c>
      <c r="L430" t="str">
        <f t="shared" si="39"/>
        <v>Correct</v>
      </c>
      <c r="M430">
        <f t="shared" si="40"/>
        <v>73.214285714285708</v>
      </c>
      <c r="N430">
        <f t="shared" si="36"/>
        <v>34.200000000000003</v>
      </c>
      <c r="O430">
        <f t="shared" si="41"/>
        <v>1.871345029239766</v>
      </c>
      <c r="P430" t="str">
        <f t="shared" si="37"/>
        <v>Low Stock</v>
      </c>
    </row>
    <row r="431" spans="1:16" hidden="1" x14ac:dyDescent="0.35">
      <c r="A431" s="4">
        <v>46155</v>
      </c>
      <c r="B431" t="s">
        <v>12</v>
      </c>
      <c r="C431" t="s">
        <v>24</v>
      </c>
      <c r="D431" t="s">
        <v>22</v>
      </c>
      <c r="E431" t="s">
        <v>23</v>
      </c>
      <c r="F431">
        <v>357</v>
      </c>
      <c r="G431">
        <v>41</v>
      </c>
      <c r="H431">
        <v>3</v>
      </c>
      <c r="I431">
        <f t="shared" si="38"/>
        <v>395</v>
      </c>
      <c r="J431">
        <v>3</v>
      </c>
      <c r="K431">
        <v>1</v>
      </c>
      <c r="L431" t="str">
        <f t="shared" si="39"/>
        <v>Correct</v>
      </c>
      <c r="M431">
        <f t="shared" si="40"/>
        <v>100</v>
      </c>
      <c r="N431">
        <f t="shared" si="36"/>
        <v>10.96551724137931</v>
      </c>
      <c r="O431">
        <f t="shared" si="41"/>
        <v>36.022012578616355</v>
      </c>
      <c r="P431" t="str">
        <f t="shared" si="37"/>
        <v>Overstock</v>
      </c>
    </row>
    <row r="432" spans="1:16" hidden="1" x14ac:dyDescent="0.35">
      <c r="A432" s="4">
        <v>46155</v>
      </c>
      <c r="B432" t="s">
        <v>12</v>
      </c>
      <c r="C432" t="s">
        <v>25</v>
      </c>
      <c r="D432" t="s">
        <v>14</v>
      </c>
      <c r="E432" t="s">
        <v>15</v>
      </c>
      <c r="F432">
        <v>215</v>
      </c>
      <c r="G432">
        <v>34</v>
      </c>
      <c r="H432">
        <v>19</v>
      </c>
      <c r="I432">
        <f t="shared" si="38"/>
        <v>230</v>
      </c>
      <c r="J432">
        <v>34</v>
      </c>
      <c r="K432">
        <v>4</v>
      </c>
      <c r="L432" t="str">
        <f t="shared" si="39"/>
        <v>Correct</v>
      </c>
      <c r="M432">
        <f t="shared" si="40"/>
        <v>55.882352941176471</v>
      </c>
      <c r="N432">
        <f t="shared" si="36"/>
        <v>20.7</v>
      </c>
      <c r="O432">
        <f t="shared" si="41"/>
        <v>11.111111111111111</v>
      </c>
      <c r="P432" t="str">
        <f t="shared" si="37"/>
        <v>Low Stock</v>
      </c>
    </row>
    <row r="433" spans="1:16" hidden="1" x14ac:dyDescent="0.35">
      <c r="A433" s="4">
        <v>46155</v>
      </c>
      <c r="B433" t="s">
        <v>12</v>
      </c>
      <c r="C433" t="s">
        <v>25</v>
      </c>
      <c r="D433" t="s">
        <v>16</v>
      </c>
      <c r="E433" t="s">
        <v>17</v>
      </c>
      <c r="F433">
        <v>233</v>
      </c>
      <c r="G433">
        <v>11</v>
      </c>
      <c r="H433">
        <v>27</v>
      </c>
      <c r="I433">
        <f t="shared" si="38"/>
        <v>217</v>
      </c>
      <c r="J433">
        <v>37</v>
      </c>
      <c r="K433">
        <v>5</v>
      </c>
      <c r="L433" t="str">
        <f t="shared" si="39"/>
        <v>Correct</v>
      </c>
      <c r="M433">
        <f t="shared" si="40"/>
        <v>72.972972972972968</v>
      </c>
      <c r="N433">
        <f t="shared" si="36"/>
        <v>23.758620689655171</v>
      </c>
      <c r="O433">
        <f t="shared" si="41"/>
        <v>9.1335268505079839</v>
      </c>
      <c r="P433" t="str">
        <f t="shared" si="37"/>
        <v>Low Stock</v>
      </c>
    </row>
    <row r="434" spans="1:16" x14ac:dyDescent="0.35">
      <c r="A434" s="4">
        <v>46155</v>
      </c>
      <c r="B434" t="s">
        <v>12</v>
      </c>
      <c r="C434" t="s">
        <v>25</v>
      </c>
      <c r="D434" t="s">
        <v>18</v>
      </c>
      <c r="E434" t="s">
        <v>19</v>
      </c>
      <c r="F434">
        <v>153</v>
      </c>
      <c r="G434">
        <v>59</v>
      </c>
      <c r="H434">
        <v>30</v>
      </c>
      <c r="I434">
        <f t="shared" si="38"/>
        <v>182</v>
      </c>
      <c r="J434">
        <v>31</v>
      </c>
      <c r="K434">
        <v>3</v>
      </c>
      <c r="L434" t="str">
        <f t="shared" si="39"/>
        <v>Correct</v>
      </c>
      <c r="M434">
        <f t="shared" si="40"/>
        <v>96.774193548387103</v>
      </c>
      <c r="N434">
        <f t="shared" si="36"/>
        <v>31.142857142857142</v>
      </c>
      <c r="O434">
        <f t="shared" si="41"/>
        <v>5.8440366972477067</v>
      </c>
      <c r="P434" t="str">
        <f t="shared" si="37"/>
        <v>Low Stock</v>
      </c>
    </row>
    <row r="435" spans="1:16" hidden="1" x14ac:dyDescent="0.35">
      <c r="A435" s="4">
        <v>46155</v>
      </c>
      <c r="B435" t="s">
        <v>12</v>
      </c>
      <c r="C435" t="s">
        <v>25</v>
      </c>
      <c r="D435" t="s">
        <v>20</v>
      </c>
      <c r="E435" t="s">
        <v>21</v>
      </c>
      <c r="F435">
        <v>185</v>
      </c>
      <c r="G435">
        <v>19</v>
      </c>
      <c r="H435">
        <v>36</v>
      </c>
      <c r="I435">
        <f t="shared" si="38"/>
        <v>168</v>
      </c>
      <c r="J435">
        <v>36</v>
      </c>
      <c r="K435">
        <v>4</v>
      </c>
      <c r="L435" t="str">
        <f t="shared" si="39"/>
        <v>Correct</v>
      </c>
      <c r="M435">
        <f t="shared" si="40"/>
        <v>100</v>
      </c>
      <c r="N435">
        <f t="shared" si="36"/>
        <v>31.137931034482758</v>
      </c>
      <c r="O435">
        <f t="shared" si="41"/>
        <v>5.3953488372093021</v>
      </c>
      <c r="P435" t="str">
        <f t="shared" si="37"/>
        <v>Low Stock</v>
      </c>
    </row>
    <row r="436" spans="1:16" hidden="1" x14ac:dyDescent="0.35">
      <c r="A436" s="4">
        <v>46155</v>
      </c>
      <c r="B436" t="s">
        <v>12</v>
      </c>
      <c r="C436" t="s">
        <v>25</v>
      </c>
      <c r="D436" t="s">
        <v>22</v>
      </c>
      <c r="E436" t="s">
        <v>23</v>
      </c>
      <c r="F436">
        <v>374</v>
      </c>
      <c r="G436">
        <v>17</v>
      </c>
      <c r="H436">
        <v>7</v>
      </c>
      <c r="I436">
        <f t="shared" si="38"/>
        <v>384</v>
      </c>
      <c r="J436">
        <v>20</v>
      </c>
      <c r="K436">
        <v>2</v>
      </c>
      <c r="L436" t="str">
        <f t="shared" si="39"/>
        <v>Correct</v>
      </c>
      <c r="M436">
        <f t="shared" si="40"/>
        <v>35</v>
      </c>
      <c r="N436">
        <f t="shared" si="36"/>
        <v>11.3</v>
      </c>
      <c r="O436">
        <f t="shared" si="41"/>
        <v>33.982300884955748</v>
      </c>
      <c r="P436" t="str">
        <f t="shared" si="37"/>
        <v>Overstock</v>
      </c>
    </row>
    <row r="437" spans="1:16" hidden="1" x14ac:dyDescent="0.35">
      <c r="A437" s="4">
        <v>46155</v>
      </c>
      <c r="B437" t="s">
        <v>26</v>
      </c>
      <c r="C437" t="s">
        <v>27</v>
      </c>
      <c r="D437" t="s">
        <v>14</v>
      </c>
      <c r="E437" t="s">
        <v>15</v>
      </c>
      <c r="F437">
        <v>379</v>
      </c>
      <c r="G437">
        <v>40</v>
      </c>
      <c r="H437">
        <v>20</v>
      </c>
      <c r="I437">
        <f t="shared" si="38"/>
        <v>399</v>
      </c>
      <c r="J437">
        <v>31</v>
      </c>
      <c r="K437">
        <v>4</v>
      </c>
      <c r="L437" t="str">
        <f t="shared" si="39"/>
        <v>Correct</v>
      </c>
      <c r="M437">
        <f t="shared" si="40"/>
        <v>64.516129032258064</v>
      </c>
      <c r="N437">
        <f t="shared" si="36"/>
        <v>22.258064516129032</v>
      </c>
      <c r="O437">
        <f t="shared" si="41"/>
        <v>17.92608695652174</v>
      </c>
      <c r="P437" t="str">
        <f t="shared" si="37"/>
        <v>Healthy</v>
      </c>
    </row>
    <row r="438" spans="1:16" hidden="1" x14ac:dyDescent="0.35">
      <c r="A438" s="4">
        <v>46155</v>
      </c>
      <c r="B438" t="s">
        <v>12</v>
      </c>
      <c r="C438" t="s">
        <v>13</v>
      </c>
      <c r="D438" t="s">
        <v>16</v>
      </c>
      <c r="E438" t="s">
        <v>17</v>
      </c>
      <c r="F438">
        <v>229</v>
      </c>
      <c r="G438">
        <v>12</v>
      </c>
      <c r="H438">
        <v>17</v>
      </c>
      <c r="I438">
        <f t="shared" si="38"/>
        <v>224</v>
      </c>
      <c r="J438">
        <v>30</v>
      </c>
      <c r="K438">
        <v>4</v>
      </c>
      <c r="L438" t="str">
        <f t="shared" si="39"/>
        <v>Correct</v>
      </c>
      <c r="M438">
        <f t="shared" si="40"/>
        <v>56.666666666666664</v>
      </c>
      <c r="N438">
        <f t="shared" si="36"/>
        <v>20.030303030303031</v>
      </c>
      <c r="O438">
        <f t="shared" si="41"/>
        <v>11.18305597579425</v>
      </c>
      <c r="P438" t="str">
        <f t="shared" si="37"/>
        <v>Low Stock</v>
      </c>
    </row>
    <row r="439" spans="1:16" x14ac:dyDescent="0.35">
      <c r="A439" s="4">
        <v>46155</v>
      </c>
      <c r="B439" t="s">
        <v>26</v>
      </c>
      <c r="C439" t="s">
        <v>27</v>
      </c>
      <c r="D439" t="s">
        <v>18</v>
      </c>
      <c r="E439" t="s">
        <v>19</v>
      </c>
      <c r="F439">
        <v>201</v>
      </c>
      <c r="G439">
        <v>21</v>
      </c>
      <c r="H439">
        <v>25</v>
      </c>
      <c r="I439">
        <f t="shared" si="38"/>
        <v>197</v>
      </c>
      <c r="J439">
        <v>31</v>
      </c>
      <c r="K439">
        <v>5</v>
      </c>
      <c r="L439" t="str">
        <f t="shared" si="39"/>
        <v>Correct</v>
      </c>
      <c r="M439">
        <f t="shared" si="40"/>
        <v>80.645161290322577</v>
      </c>
      <c r="N439">
        <f t="shared" si="36"/>
        <v>29.733333333333334</v>
      </c>
      <c r="O439">
        <f t="shared" si="41"/>
        <v>6.6255605381165914</v>
      </c>
      <c r="P439" t="str">
        <f t="shared" si="37"/>
        <v>Low Stock</v>
      </c>
    </row>
    <row r="440" spans="1:16" hidden="1" x14ac:dyDescent="0.35">
      <c r="A440" s="4">
        <v>46155</v>
      </c>
      <c r="B440" t="s">
        <v>26</v>
      </c>
      <c r="C440" t="s">
        <v>27</v>
      </c>
      <c r="D440" t="s">
        <v>20</v>
      </c>
      <c r="E440" t="s">
        <v>21</v>
      </c>
      <c r="F440">
        <v>289</v>
      </c>
      <c r="G440">
        <v>25</v>
      </c>
      <c r="H440">
        <v>41</v>
      </c>
      <c r="I440">
        <f t="shared" si="38"/>
        <v>273</v>
      </c>
      <c r="J440">
        <v>54</v>
      </c>
      <c r="K440">
        <v>4</v>
      </c>
      <c r="L440" t="str">
        <f t="shared" si="39"/>
        <v>Correct</v>
      </c>
      <c r="M440">
        <f t="shared" si="40"/>
        <v>75.925925925925924</v>
      </c>
      <c r="N440">
        <f t="shared" si="36"/>
        <v>30.724137931034484</v>
      </c>
      <c r="O440">
        <f t="shared" si="41"/>
        <v>8.8855218855218858</v>
      </c>
      <c r="P440" t="str">
        <f t="shared" si="37"/>
        <v>Low Stock</v>
      </c>
    </row>
    <row r="441" spans="1:16" hidden="1" x14ac:dyDescent="0.35">
      <c r="A441" s="4">
        <v>46155</v>
      </c>
      <c r="B441" t="s">
        <v>26</v>
      </c>
      <c r="C441" t="s">
        <v>27</v>
      </c>
      <c r="D441" t="s">
        <v>22</v>
      </c>
      <c r="E441" t="s">
        <v>23</v>
      </c>
      <c r="F441">
        <v>285</v>
      </c>
      <c r="G441">
        <v>45</v>
      </c>
      <c r="H441">
        <v>11</v>
      </c>
      <c r="I441">
        <f t="shared" si="38"/>
        <v>319</v>
      </c>
      <c r="J441">
        <v>26</v>
      </c>
      <c r="K441">
        <v>3</v>
      </c>
      <c r="L441" t="str">
        <f t="shared" si="39"/>
        <v>Correct</v>
      </c>
      <c r="M441">
        <f t="shared" si="40"/>
        <v>42.307692307692307</v>
      </c>
      <c r="N441">
        <f t="shared" si="36"/>
        <v>11.566666666666666</v>
      </c>
      <c r="O441">
        <f t="shared" si="41"/>
        <v>27.579250720461097</v>
      </c>
      <c r="P441" t="str">
        <f t="shared" si="37"/>
        <v>Healthy</v>
      </c>
    </row>
    <row r="442" spans="1:16" hidden="1" x14ac:dyDescent="0.35">
      <c r="A442" s="4">
        <v>46155</v>
      </c>
      <c r="B442" t="s">
        <v>28</v>
      </c>
      <c r="C442" t="s">
        <v>29</v>
      </c>
      <c r="D442" t="s">
        <v>14</v>
      </c>
      <c r="E442" t="s">
        <v>15</v>
      </c>
      <c r="F442">
        <v>283</v>
      </c>
      <c r="G442">
        <v>55</v>
      </c>
      <c r="H442">
        <v>24</v>
      </c>
      <c r="I442">
        <f t="shared" si="38"/>
        <v>314</v>
      </c>
      <c r="J442">
        <v>37</v>
      </c>
      <c r="K442">
        <v>1</v>
      </c>
      <c r="L442" t="str">
        <f t="shared" si="39"/>
        <v>Correct</v>
      </c>
      <c r="M442">
        <f t="shared" si="40"/>
        <v>64.86486486486487</v>
      </c>
      <c r="N442">
        <f t="shared" si="36"/>
        <v>22.25</v>
      </c>
      <c r="O442">
        <f t="shared" si="41"/>
        <v>14.112359550561798</v>
      </c>
      <c r="P442" t="str">
        <f t="shared" si="37"/>
        <v>Low Stock</v>
      </c>
    </row>
    <row r="443" spans="1:16" hidden="1" x14ac:dyDescent="0.35">
      <c r="A443" s="4">
        <v>46155</v>
      </c>
      <c r="B443" t="s">
        <v>28</v>
      </c>
      <c r="C443" t="s">
        <v>29</v>
      </c>
      <c r="D443" t="s">
        <v>16</v>
      </c>
      <c r="E443" t="s">
        <v>17</v>
      </c>
      <c r="F443">
        <v>214</v>
      </c>
      <c r="G443">
        <v>49</v>
      </c>
      <c r="H443">
        <v>29</v>
      </c>
      <c r="I443">
        <f t="shared" si="38"/>
        <v>234</v>
      </c>
      <c r="J443">
        <v>36</v>
      </c>
      <c r="K443">
        <v>1</v>
      </c>
      <c r="L443" t="str">
        <f t="shared" si="39"/>
        <v>Correct</v>
      </c>
      <c r="M443">
        <f t="shared" si="40"/>
        <v>80.555555555555557</v>
      </c>
      <c r="N443">
        <f t="shared" si="36"/>
        <v>19.96551724137931</v>
      </c>
      <c r="O443">
        <f t="shared" si="41"/>
        <v>11.720207253886011</v>
      </c>
      <c r="P443" t="str">
        <f t="shared" si="37"/>
        <v>Low Stock</v>
      </c>
    </row>
    <row r="444" spans="1:16" x14ac:dyDescent="0.35">
      <c r="A444" s="4">
        <v>46155</v>
      </c>
      <c r="B444" t="s">
        <v>28</v>
      </c>
      <c r="C444" t="s">
        <v>29</v>
      </c>
      <c r="D444" t="s">
        <v>18</v>
      </c>
      <c r="E444" t="s">
        <v>19</v>
      </c>
      <c r="F444">
        <v>102</v>
      </c>
      <c r="G444">
        <v>20</v>
      </c>
      <c r="H444">
        <v>44</v>
      </c>
      <c r="I444">
        <f t="shared" si="38"/>
        <v>78</v>
      </c>
      <c r="J444">
        <v>48</v>
      </c>
      <c r="K444">
        <v>1</v>
      </c>
      <c r="L444" t="str">
        <f t="shared" si="39"/>
        <v>Correct</v>
      </c>
      <c r="M444">
        <f t="shared" si="40"/>
        <v>91.666666666666657</v>
      </c>
      <c r="N444">
        <f t="shared" si="36"/>
        <v>31.206896551724139</v>
      </c>
      <c r="O444">
        <f t="shared" si="41"/>
        <v>2.4994475138121546</v>
      </c>
      <c r="P444" t="str">
        <f t="shared" si="37"/>
        <v>Low Stock</v>
      </c>
    </row>
    <row r="445" spans="1:16" hidden="1" x14ac:dyDescent="0.35">
      <c r="A445" s="4">
        <v>46155</v>
      </c>
      <c r="B445" t="s">
        <v>28</v>
      </c>
      <c r="C445" t="s">
        <v>29</v>
      </c>
      <c r="D445" t="s">
        <v>20</v>
      </c>
      <c r="E445" t="s">
        <v>21</v>
      </c>
      <c r="F445">
        <v>98</v>
      </c>
      <c r="G445">
        <v>23</v>
      </c>
      <c r="H445">
        <v>41</v>
      </c>
      <c r="I445">
        <f t="shared" si="38"/>
        <v>80</v>
      </c>
      <c r="J445">
        <v>43</v>
      </c>
      <c r="K445">
        <v>5</v>
      </c>
      <c r="L445" t="str">
        <f t="shared" si="39"/>
        <v>Correct</v>
      </c>
      <c r="M445">
        <f t="shared" si="40"/>
        <v>95.348837209302332</v>
      </c>
      <c r="N445">
        <f t="shared" si="36"/>
        <v>32.620689655172413</v>
      </c>
      <c r="O445">
        <f t="shared" si="41"/>
        <v>2.4524312896405922</v>
      </c>
      <c r="P445" t="str">
        <f t="shared" si="37"/>
        <v>Low Stock</v>
      </c>
    </row>
    <row r="446" spans="1:16" hidden="1" x14ac:dyDescent="0.35">
      <c r="A446" s="4">
        <v>46155</v>
      </c>
      <c r="B446" t="s">
        <v>28</v>
      </c>
      <c r="C446" t="s">
        <v>29</v>
      </c>
      <c r="D446" t="s">
        <v>22</v>
      </c>
      <c r="E446" t="s">
        <v>23</v>
      </c>
      <c r="F446">
        <v>448</v>
      </c>
      <c r="G446">
        <v>53</v>
      </c>
      <c r="H446">
        <v>14</v>
      </c>
      <c r="I446">
        <f t="shared" si="38"/>
        <v>487</v>
      </c>
      <c r="J446">
        <v>15</v>
      </c>
      <c r="K446">
        <v>5</v>
      </c>
      <c r="L446" t="str">
        <f t="shared" si="39"/>
        <v>Correct</v>
      </c>
      <c r="M446">
        <f t="shared" si="40"/>
        <v>93.333333333333329</v>
      </c>
      <c r="N446">
        <f t="shared" si="36"/>
        <v>11.678571428571429</v>
      </c>
      <c r="O446">
        <f t="shared" si="41"/>
        <v>41.700305810397552</v>
      </c>
      <c r="P446" t="str">
        <f t="shared" si="37"/>
        <v>Overstock</v>
      </c>
    </row>
    <row r="447" spans="1:16" hidden="1" x14ac:dyDescent="0.35">
      <c r="A447" s="4">
        <v>46155</v>
      </c>
      <c r="B447" t="s">
        <v>31</v>
      </c>
      <c r="C447" t="s">
        <v>32</v>
      </c>
      <c r="D447" t="s">
        <v>14</v>
      </c>
      <c r="E447" t="s">
        <v>15</v>
      </c>
      <c r="F447">
        <v>257</v>
      </c>
      <c r="G447">
        <v>33</v>
      </c>
      <c r="H447">
        <v>32</v>
      </c>
      <c r="I447">
        <f t="shared" si="38"/>
        <v>258</v>
      </c>
      <c r="J447">
        <v>44</v>
      </c>
      <c r="K447">
        <v>2</v>
      </c>
      <c r="L447" t="str">
        <f t="shared" si="39"/>
        <v>Correct</v>
      </c>
      <c r="M447">
        <f t="shared" si="40"/>
        <v>72.727272727272734</v>
      </c>
      <c r="N447">
        <f t="shared" si="36"/>
        <v>20.84375</v>
      </c>
      <c r="O447">
        <f t="shared" si="41"/>
        <v>12.377811094452774</v>
      </c>
      <c r="P447" t="str">
        <f t="shared" si="37"/>
        <v>Low Stock</v>
      </c>
    </row>
    <row r="448" spans="1:16" hidden="1" x14ac:dyDescent="0.35">
      <c r="A448" s="4">
        <v>46155</v>
      </c>
      <c r="B448" t="s">
        <v>31</v>
      </c>
      <c r="C448" t="s">
        <v>32</v>
      </c>
      <c r="D448" t="s">
        <v>16</v>
      </c>
      <c r="E448" t="s">
        <v>17</v>
      </c>
      <c r="F448">
        <v>284</v>
      </c>
      <c r="G448">
        <v>33</v>
      </c>
      <c r="H448">
        <v>13</v>
      </c>
      <c r="I448">
        <f t="shared" si="38"/>
        <v>304</v>
      </c>
      <c r="J448">
        <v>16</v>
      </c>
      <c r="K448">
        <v>3</v>
      </c>
      <c r="L448" t="str">
        <f t="shared" si="39"/>
        <v>Correct</v>
      </c>
      <c r="M448">
        <f t="shared" si="40"/>
        <v>81.25</v>
      </c>
      <c r="N448">
        <f t="shared" si="36"/>
        <v>21.46875</v>
      </c>
      <c r="O448">
        <f t="shared" si="41"/>
        <v>14.160116448326056</v>
      </c>
      <c r="P448" t="str">
        <f t="shared" si="37"/>
        <v>Low Stock</v>
      </c>
    </row>
    <row r="449" spans="1:16" x14ac:dyDescent="0.35">
      <c r="A449" s="4">
        <v>46155</v>
      </c>
      <c r="B449" t="s">
        <v>31</v>
      </c>
      <c r="C449" t="s">
        <v>32</v>
      </c>
      <c r="D449" t="s">
        <v>18</v>
      </c>
      <c r="E449" t="s">
        <v>19</v>
      </c>
      <c r="F449">
        <v>100</v>
      </c>
      <c r="G449">
        <v>34</v>
      </c>
      <c r="H449">
        <v>28</v>
      </c>
      <c r="I449">
        <f t="shared" si="38"/>
        <v>106</v>
      </c>
      <c r="J449">
        <v>41</v>
      </c>
      <c r="K449">
        <v>5</v>
      </c>
      <c r="L449" t="str">
        <f t="shared" si="39"/>
        <v>Correct</v>
      </c>
      <c r="M449">
        <f t="shared" si="40"/>
        <v>68.292682926829272</v>
      </c>
      <c r="N449">
        <f t="shared" si="36"/>
        <v>30.586206896551722</v>
      </c>
      <c r="O449">
        <f t="shared" si="41"/>
        <v>3.4656144306651635</v>
      </c>
      <c r="P449" t="str">
        <f t="shared" si="37"/>
        <v>Low Stock</v>
      </c>
    </row>
    <row r="450" spans="1:16" hidden="1" x14ac:dyDescent="0.35">
      <c r="A450" s="4">
        <v>46155</v>
      </c>
      <c r="B450" t="s">
        <v>31</v>
      </c>
      <c r="C450" t="s">
        <v>32</v>
      </c>
      <c r="D450" t="s">
        <v>20</v>
      </c>
      <c r="E450" t="s">
        <v>21</v>
      </c>
      <c r="F450">
        <v>116</v>
      </c>
      <c r="G450">
        <v>37</v>
      </c>
      <c r="H450">
        <v>37</v>
      </c>
      <c r="I450">
        <f t="shared" si="38"/>
        <v>116</v>
      </c>
      <c r="J450">
        <v>44</v>
      </c>
      <c r="K450">
        <v>2</v>
      </c>
      <c r="L450" t="str">
        <f t="shared" si="39"/>
        <v>Correct</v>
      </c>
      <c r="M450">
        <f t="shared" si="40"/>
        <v>84.090909090909093</v>
      </c>
      <c r="N450">
        <f t="shared" ref="N450:N513" si="42">SUMIFS($H:$H,$B:$B,B450,$C:$C,C450,$D:$D,D450)/COUNTIFS($B:$B,B450,$C:$C,C450,$D:$D,D450)</f>
        <v>32.299999999999997</v>
      </c>
      <c r="O450">
        <f t="shared" si="41"/>
        <v>3.5913312693498454</v>
      </c>
      <c r="P450" t="str">
        <f t="shared" ref="P450:P513" si="43">IF(O450&lt;15,"Low Stock",IF(O450&lt;=30,"Healthy","Overstock"))</f>
        <v>Low Stock</v>
      </c>
    </row>
    <row r="451" spans="1:16" hidden="1" x14ac:dyDescent="0.35">
      <c r="A451" s="4">
        <v>46155</v>
      </c>
      <c r="B451" t="s">
        <v>31</v>
      </c>
      <c r="C451" t="s">
        <v>32</v>
      </c>
      <c r="D451" t="s">
        <v>22</v>
      </c>
      <c r="E451" t="s">
        <v>23</v>
      </c>
      <c r="F451">
        <v>496</v>
      </c>
      <c r="G451">
        <v>60</v>
      </c>
      <c r="H451">
        <v>12</v>
      </c>
      <c r="I451">
        <f t="shared" ref="I451:I514" si="44">F451+G451-H451</f>
        <v>544</v>
      </c>
      <c r="J451">
        <v>13</v>
      </c>
      <c r="K451">
        <v>2</v>
      </c>
      <c r="L451" t="str">
        <f t="shared" ref="L451:L514" si="45">IF(I451&lt;0,"Need verification","Correct")</f>
        <v>Correct</v>
      </c>
      <c r="M451">
        <f t="shared" ref="M451:M514" si="46">IF(J451=0,0,(H451/J451)*100)</f>
        <v>92.307692307692307</v>
      </c>
      <c r="N451">
        <f t="shared" si="42"/>
        <v>10.413793103448276</v>
      </c>
      <c r="O451">
        <f t="shared" ref="O451:O514" si="47">IFERROR(I451/N451,0)</f>
        <v>52.23841059602649</v>
      </c>
      <c r="P451" t="str">
        <f t="shared" si="43"/>
        <v>Overstock</v>
      </c>
    </row>
    <row r="452" spans="1:16" hidden="1" x14ac:dyDescent="0.35">
      <c r="A452" s="4">
        <v>46155</v>
      </c>
      <c r="B452" t="s">
        <v>33</v>
      </c>
      <c r="C452" t="s">
        <v>34</v>
      </c>
      <c r="D452" t="s">
        <v>14</v>
      </c>
      <c r="E452" t="s">
        <v>15</v>
      </c>
      <c r="F452">
        <v>158</v>
      </c>
      <c r="G452">
        <v>2</v>
      </c>
      <c r="H452">
        <v>11</v>
      </c>
      <c r="I452">
        <f t="shared" si="44"/>
        <v>149</v>
      </c>
      <c r="J452">
        <v>18</v>
      </c>
      <c r="K452">
        <v>2</v>
      </c>
      <c r="L452" t="str">
        <f t="shared" si="45"/>
        <v>Correct</v>
      </c>
      <c r="M452">
        <f t="shared" si="46"/>
        <v>61.111111111111114</v>
      </c>
      <c r="N452">
        <f t="shared" si="42"/>
        <v>20.70967741935484</v>
      </c>
      <c r="O452">
        <f t="shared" si="47"/>
        <v>7.1947040498442361</v>
      </c>
      <c r="P452" t="str">
        <f t="shared" si="43"/>
        <v>Low Stock</v>
      </c>
    </row>
    <row r="453" spans="1:16" hidden="1" x14ac:dyDescent="0.35">
      <c r="A453" s="4">
        <v>46155</v>
      </c>
      <c r="B453" t="s">
        <v>33</v>
      </c>
      <c r="C453" t="s">
        <v>34</v>
      </c>
      <c r="D453" t="s">
        <v>16</v>
      </c>
      <c r="E453" t="s">
        <v>17</v>
      </c>
      <c r="F453">
        <v>261</v>
      </c>
      <c r="G453">
        <v>16</v>
      </c>
      <c r="H453">
        <v>33</v>
      </c>
      <c r="I453">
        <f t="shared" si="44"/>
        <v>244</v>
      </c>
      <c r="J453">
        <v>0</v>
      </c>
      <c r="K453">
        <v>1</v>
      </c>
      <c r="L453" t="str">
        <f t="shared" si="45"/>
        <v>Correct</v>
      </c>
      <c r="M453">
        <f t="shared" si="46"/>
        <v>0</v>
      </c>
      <c r="N453">
        <f t="shared" si="42"/>
        <v>22.142857142857142</v>
      </c>
      <c r="O453">
        <f t="shared" si="47"/>
        <v>11.019354838709678</v>
      </c>
      <c r="P453" t="str">
        <f t="shared" si="43"/>
        <v>Low Stock</v>
      </c>
    </row>
    <row r="454" spans="1:16" x14ac:dyDescent="0.35">
      <c r="A454" s="4">
        <v>46146</v>
      </c>
      <c r="B454" t="s">
        <v>33</v>
      </c>
      <c r="C454" t="s">
        <v>34</v>
      </c>
      <c r="D454" t="s">
        <v>18</v>
      </c>
      <c r="E454" t="s">
        <v>19</v>
      </c>
      <c r="F454">
        <v>189</v>
      </c>
      <c r="G454">
        <v>28</v>
      </c>
      <c r="H454">
        <v>35</v>
      </c>
      <c r="I454">
        <f t="shared" si="44"/>
        <v>182</v>
      </c>
      <c r="J454">
        <v>41</v>
      </c>
      <c r="K454">
        <v>5</v>
      </c>
      <c r="L454" t="str">
        <f t="shared" si="45"/>
        <v>Correct</v>
      </c>
      <c r="M454">
        <f t="shared" si="46"/>
        <v>85.365853658536579</v>
      </c>
      <c r="N454">
        <f t="shared" si="42"/>
        <v>30.275862068965516</v>
      </c>
      <c r="O454">
        <f t="shared" si="47"/>
        <v>6.0113895216400914</v>
      </c>
      <c r="P454" t="str">
        <f t="shared" si="43"/>
        <v>Low Stock</v>
      </c>
    </row>
    <row r="455" spans="1:16" hidden="1" x14ac:dyDescent="0.35">
      <c r="A455" s="4">
        <v>46155</v>
      </c>
      <c r="B455" t="s">
        <v>33</v>
      </c>
      <c r="C455" t="s">
        <v>34</v>
      </c>
      <c r="D455" t="s">
        <v>20</v>
      </c>
      <c r="E455" t="s">
        <v>21</v>
      </c>
      <c r="F455">
        <v>355</v>
      </c>
      <c r="G455">
        <v>22</v>
      </c>
      <c r="H455">
        <v>39</v>
      </c>
      <c r="I455">
        <f t="shared" si="44"/>
        <v>338</v>
      </c>
      <c r="J455">
        <v>45</v>
      </c>
      <c r="K455">
        <v>3</v>
      </c>
      <c r="L455" t="str">
        <f t="shared" si="45"/>
        <v>Correct</v>
      </c>
      <c r="M455">
        <f t="shared" si="46"/>
        <v>86.666666666666671</v>
      </c>
      <c r="N455">
        <f t="shared" si="42"/>
        <v>30.931034482758619</v>
      </c>
      <c r="O455">
        <f t="shared" si="47"/>
        <v>10.927536231884059</v>
      </c>
      <c r="P455" t="str">
        <f t="shared" si="43"/>
        <v>Low Stock</v>
      </c>
    </row>
    <row r="456" spans="1:16" hidden="1" x14ac:dyDescent="0.35">
      <c r="A456" s="4">
        <v>46155</v>
      </c>
      <c r="B456" t="s">
        <v>33</v>
      </c>
      <c r="C456" t="s">
        <v>34</v>
      </c>
      <c r="D456" t="s">
        <v>22</v>
      </c>
      <c r="E456" t="s">
        <v>23</v>
      </c>
      <c r="F456">
        <v>338</v>
      </c>
      <c r="G456">
        <v>57</v>
      </c>
      <c r="H456">
        <v>3</v>
      </c>
      <c r="I456">
        <f t="shared" si="44"/>
        <v>392</v>
      </c>
      <c r="J456">
        <v>9</v>
      </c>
      <c r="K456">
        <v>3</v>
      </c>
      <c r="L456" t="str">
        <f t="shared" si="45"/>
        <v>Correct</v>
      </c>
      <c r="M456">
        <f t="shared" si="46"/>
        <v>33.333333333333329</v>
      </c>
      <c r="N456">
        <f t="shared" si="42"/>
        <v>10.25</v>
      </c>
      <c r="O456">
        <f t="shared" si="47"/>
        <v>38.243902439024389</v>
      </c>
      <c r="P456" t="str">
        <f t="shared" si="43"/>
        <v>Overstock</v>
      </c>
    </row>
    <row r="457" spans="1:16" hidden="1" x14ac:dyDescent="0.35">
      <c r="A457" s="4">
        <v>46156</v>
      </c>
      <c r="B457" t="s">
        <v>12</v>
      </c>
      <c r="C457" t="s">
        <v>13</v>
      </c>
      <c r="D457" t="s">
        <v>14</v>
      </c>
      <c r="E457" t="s">
        <v>15</v>
      </c>
      <c r="F457">
        <v>382</v>
      </c>
      <c r="G457">
        <v>20</v>
      </c>
      <c r="H457">
        <v>31</v>
      </c>
      <c r="I457">
        <f t="shared" si="44"/>
        <v>371</v>
      </c>
      <c r="J457">
        <v>33</v>
      </c>
      <c r="K457">
        <v>3</v>
      </c>
      <c r="L457" t="str">
        <f t="shared" si="45"/>
        <v>Correct</v>
      </c>
      <c r="M457">
        <f t="shared" si="46"/>
        <v>93.939393939393938</v>
      </c>
      <c r="N457">
        <f t="shared" si="42"/>
        <v>21.666666666666668</v>
      </c>
      <c r="O457">
        <f t="shared" si="47"/>
        <v>17.123076923076923</v>
      </c>
      <c r="P457" t="str">
        <f t="shared" si="43"/>
        <v>Healthy</v>
      </c>
    </row>
    <row r="458" spans="1:16" hidden="1" x14ac:dyDescent="0.35">
      <c r="A458" s="4">
        <v>46156</v>
      </c>
      <c r="B458" t="s">
        <v>12</v>
      </c>
      <c r="C458" t="s">
        <v>13</v>
      </c>
      <c r="D458" t="s">
        <v>16</v>
      </c>
      <c r="E458" t="s">
        <v>17</v>
      </c>
      <c r="F458">
        <v>295</v>
      </c>
      <c r="G458">
        <v>56</v>
      </c>
      <c r="H458">
        <v>28</v>
      </c>
      <c r="I458">
        <f t="shared" si="44"/>
        <v>323</v>
      </c>
      <c r="J458">
        <v>34</v>
      </c>
      <c r="K458">
        <v>4</v>
      </c>
      <c r="L458" t="str">
        <f t="shared" si="45"/>
        <v>Correct</v>
      </c>
      <c r="M458">
        <f t="shared" si="46"/>
        <v>82.35294117647058</v>
      </c>
      <c r="N458">
        <f t="shared" si="42"/>
        <v>20.030303030303031</v>
      </c>
      <c r="O458">
        <f t="shared" si="47"/>
        <v>16.125567322239032</v>
      </c>
      <c r="P458" t="str">
        <f t="shared" si="43"/>
        <v>Healthy</v>
      </c>
    </row>
    <row r="459" spans="1:16" x14ac:dyDescent="0.35">
      <c r="A459" s="4">
        <v>46156</v>
      </c>
      <c r="B459" t="s">
        <v>12</v>
      </c>
      <c r="C459" t="s">
        <v>13</v>
      </c>
      <c r="D459" t="s">
        <v>18</v>
      </c>
      <c r="E459" t="s">
        <v>19</v>
      </c>
      <c r="F459">
        <v>148</v>
      </c>
      <c r="G459">
        <v>55</v>
      </c>
      <c r="H459">
        <v>22</v>
      </c>
      <c r="I459">
        <f t="shared" si="44"/>
        <v>181</v>
      </c>
      <c r="J459">
        <v>25</v>
      </c>
      <c r="K459">
        <v>3</v>
      </c>
      <c r="L459" t="str">
        <f t="shared" si="45"/>
        <v>Correct</v>
      </c>
      <c r="M459">
        <f t="shared" si="46"/>
        <v>88</v>
      </c>
      <c r="N459">
        <f t="shared" si="42"/>
        <v>33.34375</v>
      </c>
      <c r="O459">
        <f t="shared" si="47"/>
        <v>5.4283036551077792</v>
      </c>
      <c r="P459" t="str">
        <f t="shared" si="43"/>
        <v>Low Stock</v>
      </c>
    </row>
    <row r="460" spans="1:16" hidden="1" x14ac:dyDescent="0.35">
      <c r="A460" s="4">
        <v>46156</v>
      </c>
      <c r="B460" t="s">
        <v>12</v>
      </c>
      <c r="C460" t="s">
        <v>13</v>
      </c>
      <c r="D460" t="s">
        <v>20</v>
      </c>
      <c r="E460" t="s">
        <v>21</v>
      </c>
      <c r="F460">
        <v>86</v>
      </c>
      <c r="G460">
        <v>48</v>
      </c>
      <c r="H460">
        <v>34</v>
      </c>
      <c r="I460">
        <f t="shared" si="44"/>
        <v>100</v>
      </c>
      <c r="J460">
        <v>41</v>
      </c>
      <c r="K460">
        <v>5</v>
      </c>
      <c r="L460" t="str">
        <f t="shared" si="45"/>
        <v>Correct</v>
      </c>
      <c r="M460">
        <f t="shared" si="46"/>
        <v>82.926829268292678</v>
      </c>
      <c r="N460">
        <f t="shared" si="42"/>
        <v>34.515151515151516</v>
      </c>
      <c r="O460">
        <f t="shared" si="47"/>
        <v>2.8972783143107987</v>
      </c>
      <c r="P460" t="str">
        <f t="shared" si="43"/>
        <v>Low Stock</v>
      </c>
    </row>
    <row r="461" spans="1:16" hidden="1" x14ac:dyDescent="0.35">
      <c r="A461" s="4">
        <v>46156</v>
      </c>
      <c r="B461" t="s">
        <v>12</v>
      </c>
      <c r="C461" t="s">
        <v>13</v>
      </c>
      <c r="D461" t="s">
        <v>22</v>
      </c>
      <c r="E461" t="s">
        <v>23</v>
      </c>
      <c r="F461">
        <v>284</v>
      </c>
      <c r="G461">
        <v>29</v>
      </c>
      <c r="H461">
        <v>3</v>
      </c>
      <c r="I461">
        <f t="shared" si="44"/>
        <v>310</v>
      </c>
      <c r="J461">
        <v>8</v>
      </c>
      <c r="K461">
        <v>5</v>
      </c>
      <c r="L461" t="str">
        <f t="shared" si="45"/>
        <v>Correct</v>
      </c>
      <c r="M461">
        <f t="shared" si="46"/>
        <v>37.5</v>
      </c>
      <c r="N461">
        <f t="shared" si="42"/>
        <v>9.9032258064516121</v>
      </c>
      <c r="O461">
        <f t="shared" si="47"/>
        <v>31.302931596091209</v>
      </c>
      <c r="P461" t="str">
        <f t="shared" si="43"/>
        <v>Overstock</v>
      </c>
    </row>
    <row r="462" spans="1:16" hidden="1" x14ac:dyDescent="0.35">
      <c r="A462" s="4">
        <v>46156</v>
      </c>
      <c r="B462" t="s">
        <v>12</v>
      </c>
      <c r="C462" t="s">
        <v>24</v>
      </c>
      <c r="D462" t="s">
        <v>14</v>
      </c>
      <c r="E462" t="s">
        <v>15</v>
      </c>
      <c r="F462">
        <v>170</v>
      </c>
      <c r="G462">
        <v>35</v>
      </c>
      <c r="H462">
        <v>16</v>
      </c>
      <c r="I462">
        <f t="shared" si="44"/>
        <v>189</v>
      </c>
      <c r="J462">
        <v>25</v>
      </c>
      <c r="K462">
        <v>1</v>
      </c>
      <c r="L462" t="str">
        <f t="shared" si="45"/>
        <v>Correct</v>
      </c>
      <c r="M462">
        <f t="shared" si="46"/>
        <v>64</v>
      </c>
      <c r="N462">
        <f t="shared" si="42"/>
        <v>21.35483870967742</v>
      </c>
      <c r="O462">
        <f t="shared" si="47"/>
        <v>8.8504531722054374</v>
      </c>
      <c r="P462" t="str">
        <f t="shared" si="43"/>
        <v>Low Stock</v>
      </c>
    </row>
    <row r="463" spans="1:16" hidden="1" x14ac:dyDescent="0.35">
      <c r="A463" s="4">
        <v>46156</v>
      </c>
      <c r="B463" t="s">
        <v>12</v>
      </c>
      <c r="C463" t="s">
        <v>24</v>
      </c>
      <c r="D463" t="s">
        <v>16</v>
      </c>
      <c r="E463" t="s">
        <v>17</v>
      </c>
      <c r="F463">
        <v>180</v>
      </c>
      <c r="G463">
        <v>10</v>
      </c>
      <c r="H463">
        <v>25</v>
      </c>
      <c r="I463">
        <f t="shared" si="44"/>
        <v>165</v>
      </c>
      <c r="J463">
        <v>38</v>
      </c>
      <c r="K463">
        <v>2</v>
      </c>
      <c r="L463" t="str">
        <f t="shared" si="45"/>
        <v>Correct</v>
      </c>
      <c r="M463">
        <f t="shared" si="46"/>
        <v>65.789473684210535</v>
      </c>
      <c r="N463">
        <f t="shared" si="42"/>
        <v>21.9</v>
      </c>
      <c r="O463">
        <f t="shared" si="47"/>
        <v>7.5342465753424666</v>
      </c>
      <c r="P463" t="str">
        <f t="shared" si="43"/>
        <v>Low Stock</v>
      </c>
    </row>
    <row r="464" spans="1:16" x14ac:dyDescent="0.35">
      <c r="A464" s="4">
        <v>46156</v>
      </c>
      <c r="B464" t="s">
        <v>12</v>
      </c>
      <c r="C464" t="s">
        <v>24</v>
      </c>
      <c r="D464" t="s">
        <v>18</v>
      </c>
      <c r="E464" t="s">
        <v>19</v>
      </c>
      <c r="F464">
        <v>127</v>
      </c>
      <c r="G464">
        <v>16</v>
      </c>
      <c r="H464">
        <v>37</v>
      </c>
      <c r="I464">
        <f t="shared" si="44"/>
        <v>106</v>
      </c>
      <c r="J464">
        <v>39</v>
      </c>
      <c r="K464">
        <v>5</v>
      </c>
      <c r="L464" t="str">
        <f t="shared" si="45"/>
        <v>Correct</v>
      </c>
      <c r="M464">
        <f t="shared" si="46"/>
        <v>94.871794871794862</v>
      </c>
      <c r="N464">
        <f t="shared" si="42"/>
        <v>31.586206896551722</v>
      </c>
      <c r="O464">
        <f t="shared" si="47"/>
        <v>3.3558951965065504</v>
      </c>
      <c r="P464" t="str">
        <f t="shared" si="43"/>
        <v>Low Stock</v>
      </c>
    </row>
    <row r="465" spans="1:16" hidden="1" x14ac:dyDescent="0.35">
      <c r="A465" s="4">
        <v>46156</v>
      </c>
      <c r="B465" t="s">
        <v>12</v>
      </c>
      <c r="C465" t="s">
        <v>24</v>
      </c>
      <c r="D465" t="s">
        <v>20</v>
      </c>
      <c r="E465" t="s">
        <v>21</v>
      </c>
      <c r="F465">
        <v>64</v>
      </c>
      <c r="G465">
        <v>1</v>
      </c>
      <c r="H465">
        <v>32</v>
      </c>
      <c r="I465">
        <f t="shared" si="44"/>
        <v>33</v>
      </c>
      <c r="J465">
        <v>33</v>
      </c>
      <c r="K465">
        <v>2</v>
      </c>
      <c r="L465" t="str">
        <f t="shared" si="45"/>
        <v>Correct</v>
      </c>
      <c r="M465">
        <f t="shared" si="46"/>
        <v>96.969696969696969</v>
      </c>
      <c r="N465">
        <f t="shared" si="42"/>
        <v>34.200000000000003</v>
      </c>
      <c r="O465">
        <f t="shared" si="47"/>
        <v>0.96491228070175428</v>
      </c>
      <c r="P465" t="str">
        <f t="shared" si="43"/>
        <v>Low Stock</v>
      </c>
    </row>
    <row r="466" spans="1:16" hidden="1" x14ac:dyDescent="0.35">
      <c r="A466" s="4">
        <v>46156</v>
      </c>
      <c r="B466" t="s">
        <v>12</v>
      </c>
      <c r="C466" t="s">
        <v>24</v>
      </c>
      <c r="D466" t="s">
        <v>22</v>
      </c>
      <c r="E466" t="s">
        <v>23</v>
      </c>
      <c r="F466">
        <v>395</v>
      </c>
      <c r="G466">
        <v>15</v>
      </c>
      <c r="H466">
        <v>10</v>
      </c>
      <c r="I466">
        <f t="shared" si="44"/>
        <v>400</v>
      </c>
      <c r="J466">
        <v>16</v>
      </c>
      <c r="K466">
        <v>3</v>
      </c>
      <c r="L466" t="str">
        <f t="shared" si="45"/>
        <v>Correct</v>
      </c>
      <c r="M466">
        <f t="shared" si="46"/>
        <v>62.5</v>
      </c>
      <c r="N466">
        <f t="shared" si="42"/>
        <v>10.96551724137931</v>
      </c>
      <c r="O466">
        <f t="shared" si="47"/>
        <v>36.477987421383652</v>
      </c>
      <c r="P466" t="str">
        <f t="shared" si="43"/>
        <v>Overstock</v>
      </c>
    </row>
    <row r="467" spans="1:16" hidden="1" x14ac:dyDescent="0.35">
      <c r="A467" s="4">
        <v>46156</v>
      </c>
      <c r="B467" t="s">
        <v>12</v>
      </c>
      <c r="C467" t="s">
        <v>25</v>
      </c>
      <c r="D467" t="s">
        <v>14</v>
      </c>
      <c r="E467" t="s">
        <v>15</v>
      </c>
      <c r="F467">
        <v>230</v>
      </c>
      <c r="G467">
        <v>59</v>
      </c>
      <c r="H467">
        <v>23</v>
      </c>
      <c r="I467">
        <f t="shared" si="44"/>
        <v>266</v>
      </c>
      <c r="J467">
        <v>32</v>
      </c>
      <c r="K467">
        <v>5</v>
      </c>
      <c r="L467" t="str">
        <f t="shared" si="45"/>
        <v>Correct</v>
      </c>
      <c r="M467">
        <f t="shared" si="46"/>
        <v>71.875</v>
      </c>
      <c r="N467">
        <f t="shared" si="42"/>
        <v>20.7</v>
      </c>
      <c r="O467">
        <f t="shared" si="47"/>
        <v>12.85024154589372</v>
      </c>
      <c r="P467" t="str">
        <f t="shared" si="43"/>
        <v>Low Stock</v>
      </c>
    </row>
    <row r="468" spans="1:16" hidden="1" x14ac:dyDescent="0.35">
      <c r="A468" s="4">
        <v>46156</v>
      </c>
      <c r="B468" t="s">
        <v>12</v>
      </c>
      <c r="C468" t="s">
        <v>25</v>
      </c>
      <c r="D468" t="s">
        <v>16</v>
      </c>
      <c r="E468" t="s">
        <v>17</v>
      </c>
      <c r="F468">
        <v>217</v>
      </c>
      <c r="G468">
        <v>52</v>
      </c>
      <c r="H468">
        <v>9</v>
      </c>
      <c r="I468">
        <f t="shared" si="44"/>
        <v>260</v>
      </c>
      <c r="J468">
        <v>10</v>
      </c>
      <c r="K468">
        <v>4</v>
      </c>
      <c r="L468" t="str">
        <f t="shared" si="45"/>
        <v>Correct</v>
      </c>
      <c r="M468">
        <f t="shared" si="46"/>
        <v>90</v>
      </c>
      <c r="N468">
        <f t="shared" si="42"/>
        <v>23.758620689655171</v>
      </c>
      <c r="O468">
        <f t="shared" si="47"/>
        <v>10.943396226415095</v>
      </c>
      <c r="P468" t="str">
        <f t="shared" si="43"/>
        <v>Low Stock</v>
      </c>
    </row>
    <row r="469" spans="1:16" x14ac:dyDescent="0.35">
      <c r="A469" s="4">
        <v>46156</v>
      </c>
      <c r="B469" t="s">
        <v>12</v>
      </c>
      <c r="C469" t="s">
        <v>25</v>
      </c>
      <c r="D469" t="s">
        <v>18</v>
      </c>
      <c r="E469" t="s">
        <v>19</v>
      </c>
      <c r="F469">
        <v>182</v>
      </c>
      <c r="G469">
        <v>42</v>
      </c>
      <c r="H469">
        <v>28</v>
      </c>
      <c r="I469">
        <f t="shared" si="44"/>
        <v>196</v>
      </c>
      <c r="J469">
        <v>35</v>
      </c>
      <c r="K469">
        <v>5</v>
      </c>
      <c r="L469" t="str">
        <f t="shared" si="45"/>
        <v>Correct</v>
      </c>
      <c r="M469">
        <f t="shared" si="46"/>
        <v>80</v>
      </c>
      <c r="N469">
        <f t="shared" si="42"/>
        <v>31.142857142857142</v>
      </c>
      <c r="O469">
        <f t="shared" si="47"/>
        <v>6.2935779816513762</v>
      </c>
      <c r="P469" t="str">
        <f t="shared" si="43"/>
        <v>Low Stock</v>
      </c>
    </row>
    <row r="470" spans="1:16" hidden="1" x14ac:dyDescent="0.35">
      <c r="A470" s="4">
        <v>46156</v>
      </c>
      <c r="B470" t="s">
        <v>12</v>
      </c>
      <c r="C470" t="s">
        <v>25</v>
      </c>
      <c r="D470" t="s">
        <v>20</v>
      </c>
      <c r="E470" t="s">
        <v>21</v>
      </c>
      <c r="F470">
        <v>168</v>
      </c>
      <c r="G470">
        <v>34</v>
      </c>
      <c r="H470">
        <v>20</v>
      </c>
      <c r="I470">
        <f t="shared" si="44"/>
        <v>182</v>
      </c>
      <c r="J470">
        <v>22</v>
      </c>
      <c r="K470">
        <v>3</v>
      </c>
      <c r="L470" t="str">
        <f t="shared" si="45"/>
        <v>Correct</v>
      </c>
      <c r="M470">
        <f t="shared" si="46"/>
        <v>90.909090909090907</v>
      </c>
      <c r="N470">
        <f t="shared" si="42"/>
        <v>31.137931034482758</v>
      </c>
      <c r="O470">
        <f t="shared" si="47"/>
        <v>5.8449612403100772</v>
      </c>
      <c r="P470" t="str">
        <f t="shared" si="43"/>
        <v>Low Stock</v>
      </c>
    </row>
    <row r="471" spans="1:16" hidden="1" x14ac:dyDescent="0.35">
      <c r="A471" s="4">
        <v>46156</v>
      </c>
      <c r="B471" t="s">
        <v>12</v>
      </c>
      <c r="C471" t="s">
        <v>25</v>
      </c>
      <c r="D471" t="s">
        <v>22</v>
      </c>
      <c r="E471" t="s">
        <v>23</v>
      </c>
      <c r="F471">
        <v>384</v>
      </c>
      <c r="G471">
        <v>11</v>
      </c>
      <c r="H471">
        <v>10</v>
      </c>
      <c r="I471">
        <f t="shared" si="44"/>
        <v>385</v>
      </c>
      <c r="J471">
        <v>20</v>
      </c>
      <c r="K471">
        <v>4</v>
      </c>
      <c r="L471" t="str">
        <f t="shared" si="45"/>
        <v>Correct</v>
      </c>
      <c r="M471">
        <f t="shared" si="46"/>
        <v>50</v>
      </c>
      <c r="N471">
        <f t="shared" si="42"/>
        <v>11.3</v>
      </c>
      <c r="O471">
        <f t="shared" si="47"/>
        <v>34.070796460176986</v>
      </c>
      <c r="P471" t="str">
        <f t="shared" si="43"/>
        <v>Overstock</v>
      </c>
    </row>
    <row r="472" spans="1:16" hidden="1" x14ac:dyDescent="0.35">
      <c r="A472" s="4">
        <v>46156</v>
      </c>
      <c r="B472" t="s">
        <v>26</v>
      </c>
      <c r="C472" t="s">
        <v>27</v>
      </c>
      <c r="D472" t="s">
        <v>14</v>
      </c>
      <c r="E472" t="s">
        <v>15</v>
      </c>
      <c r="F472">
        <v>399</v>
      </c>
      <c r="G472">
        <v>41</v>
      </c>
      <c r="H472">
        <v>34</v>
      </c>
      <c r="I472">
        <f t="shared" si="44"/>
        <v>406</v>
      </c>
      <c r="J472">
        <v>36</v>
      </c>
      <c r="K472">
        <v>2</v>
      </c>
      <c r="L472" t="str">
        <f t="shared" si="45"/>
        <v>Correct</v>
      </c>
      <c r="M472">
        <f t="shared" si="46"/>
        <v>94.444444444444443</v>
      </c>
      <c r="N472">
        <f t="shared" si="42"/>
        <v>22.258064516129032</v>
      </c>
      <c r="O472">
        <f t="shared" si="47"/>
        <v>18.240579710144928</v>
      </c>
      <c r="P472" t="str">
        <f t="shared" si="43"/>
        <v>Healthy</v>
      </c>
    </row>
    <row r="473" spans="1:16" hidden="1" x14ac:dyDescent="0.35">
      <c r="A473" s="4">
        <v>46156</v>
      </c>
      <c r="B473" t="s">
        <v>26</v>
      </c>
      <c r="C473" t="s">
        <v>27</v>
      </c>
      <c r="D473" t="s">
        <v>16</v>
      </c>
      <c r="E473" t="s">
        <v>17</v>
      </c>
      <c r="F473">
        <v>224</v>
      </c>
      <c r="G473">
        <v>45</v>
      </c>
      <c r="H473">
        <v>8</v>
      </c>
      <c r="I473">
        <f t="shared" si="44"/>
        <v>261</v>
      </c>
      <c r="J473">
        <v>14</v>
      </c>
      <c r="K473">
        <v>4</v>
      </c>
      <c r="L473" t="str">
        <f t="shared" si="45"/>
        <v>Correct</v>
      </c>
      <c r="M473">
        <f t="shared" si="46"/>
        <v>57.142857142857139</v>
      </c>
      <c r="N473">
        <f t="shared" si="42"/>
        <v>20.172413793103448</v>
      </c>
      <c r="O473">
        <f t="shared" si="47"/>
        <v>12.938461538461539</v>
      </c>
      <c r="P473" t="str">
        <f t="shared" si="43"/>
        <v>Low Stock</v>
      </c>
    </row>
    <row r="474" spans="1:16" x14ac:dyDescent="0.35">
      <c r="A474" s="4">
        <v>46156</v>
      </c>
      <c r="B474" t="s">
        <v>26</v>
      </c>
      <c r="C474" t="s">
        <v>27</v>
      </c>
      <c r="D474" t="s">
        <v>18</v>
      </c>
      <c r="E474" t="s">
        <v>19</v>
      </c>
      <c r="F474">
        <v>197</v>
      </c>
      <c r="G474">
        <v>30</v>
      </c>
      <c r="H474">
        <v>24</v>
      </c>
      <c r="I474">
        <f t="shared" si="44"/>
        <v>203</v>
      </c>
      <c r="J474">
        <v>35</v>
      </c>
      <c r="K474">
        <v>5</v>
      </c>
      <c r="L474" t="str">
        <f t="shared" si="45"/>
        <v>Correct</v>
      </c>
      <c r="M474">
        <f t="shared" si="46"/>
        <v>68.571428571428569</v>
      </c>
      <c r="N474">
        <f t="shared" si="42"/>
        <v>29.733333333333334</v>
      </c>
      <c r="O474">
        <f t="shared" si="47"/>
        <v>6.8273542600896855</v>
      </c>
      <c r="P474" t="str">
        <f t="shared" si="43"/>
        <v>Low Stock</v>
      </c>
    </row>
    <row r="475" spans="1:16" hidden="1" x14ac:dyDescent="0.35">
      <c r="A475" s="4">
        <v>46156</v>
      </c>
      <c r="B475" t="s">
        <v>26</v>
      </c>
      <c r="C475" t="s">
        <v>27</v>
      </c>
      <c r="D475" t="s">
        <v>20</v>
      </c>
      <c r="E475" t="s">
        <v>21</v>
      </c>
      <c r="F475">
        <v>273</v>
      </c>
      <c r="G475">
        <v>52</v>
      </c>
      <c r="H475">
        <v>19</v>
      </c>
      <c r="I475">
        <f t="shared" si="44"/>
        <v>306</v>
      </c>
      <c r="J475">
        <v>22</v>
      </c>
      <c r="K475">
        <v>3</v>
      </c>
      <c r="L475" t="str">
        <f t="shared" si="45"/>
        <v>Correct</v>
      </c>
      <c r="M475">
        <f t="shared" si="46"/>
        <v>86.36363636363636</v>
      </c>
      <c r="N475">
        <f t="shared" si="42"/>
        <v>30.724137931034484</v>
      </c>
      <c r="O475">
        <f t="shared" si="47"/>
        <v>9.9595959595959584</v>
      </c>
      <c r="P475" t="str">
        <f t="shared" si="43"/>
        <v>Low Stock</v>
      </c>
    </row>
    <row r="476" spans="1:16" hidden="1" x14ac:dyDescent="0.35">
      <c r="A476" s="4">
        <v>46156</v>
      </c>
      <c r="B476" t="s">
        <v>26</v>
      </c>
      <c r="C476" t="s">
        <v>27</v>
      </c>
      <c r="D476" t="s">
        <v>22</v>
      </c>
      <c r="E476" t="s">
        <v>23</v>
      </c>
      <c r="F476">
        <v>319</v>
      </c>
      <c r="G476">
        <v>1</v>
      </c>
      <c r="H476">
        <v>16</v>
      </c>
      <c r="I476">
        <f t="shared" si="44"/>
        <v>304</v>
      </c>
      <c r="J476">
        <v>20</v>
      </c>
      <c r="K476">
        <v>5</v>
      </c>
      <c r="L476" t="str">
        <f t="shared" si="45"/>
        <v>Correct</v>
      </c>
      <c r="M476">
        <f t="shared" si="46"/>
        <v>80</v>
      </c>
      <c r="N476">
        <f t="shared" si="42"/>
        <v>11.566666666666666</v>
      </c>
      <c r="O476">
        <f t="shared" si="47"/>
        <v>26.282420749279538</v>
      </c>
      <c r="P476" t="str">
        <f t="shared" si="43"/>
        <v>Healthy</v>
      </c>
    </row>
    <row r="477" spans="1:16" hidden="1" x14ac:dyDescent="0.35">
      <c r="A477" s="4">
        <v>46156</v>
      </c>
      <c r="B477" t="s">
        <v>28</v>
      </c>
      <c r="C477" t="s">
        <v>29</v>
      </c>
      <c r="D477" t="s">
        <v>14</v>
      </c>
      <c r="E477" t="s">
        <v>15</v>
      </c>
      <c r="F477">
        <v>314</v>
      </c>
      <c r="G477">
        <v>3</v>
      </c>
      <c r="H477">
        <v>32</v>
      </c>
      <c r="I477">
        <f t="shared" si="44"/>
        <v>285</v>
      </c>
      <c r="J477">
        <v>36</v>
      </c>
      <c r="K477">
        <v>1</v>
      </c>
      <c r="L477" t="str">
        <f t="shared" si="45"/>
        <v>Correct</v>
      </c>
      <c r="M477">
        <f t="shared" si="46"/>
        <v>88.888888888888886</v>
      </c>
      <c r="N477">
        <f t="shared" si="42"/>
        <v>22.25</v>
      </c>
      <c r="O477">
        <f t="shared" si="47"/>
        <v>12.808988764044944</v>
      </c>
      <c r="P477" t="str">
        <f t="shared" si="43"/>
        <v>Low Stock</v>
      </c>
    </row>
    <row r="478" spans="1:16" hidden="1" x14ac:dyDescent="0.35">
      <c r="A478" s="4">
        <v>46156</v>
      </c>
      <c r="B478" t="s">
        <v>28</v>
      </c>
      <c r="C478" t="s">
        <v>29</v>
      </c>
      <c r="D478" t="s">
        <v>16</v>
      </c>
      <c r="E478" t="s">
        <v>17</v>
      </c>
      <c r="F478">
        <v>234</v>
      </c>
      <c r="G478">
        <v>31</v>
      </c>
      <c r="H478">
        <v>23</v>
      </c>
      <c r="I478">
        <f t="shared" si="44"/>
        <v>242</v>
      </c>
      <c r="J478">
        <v>29</v>
      </c>
      <c r="K478">
        <v>1</v>
      </c>
      <c r="L478" t="str">
        <f t="shared" si="45"/>
        <v>Correct</v>
      </c>
      <c r="M478">
        <f t="shared" si="46"/>
        <v>79.310344827586206</v>
      </c>
      <c r="N478">
        <f t="shared" si="42"/>
        <v>19.96551724137931</v>
      </c>
      <c r="O478">
        <f t="shared" si="47"/>
        <v>12.120898100172711</v>
      </c>
      <c r="P478" t="str">
        <f t="shared" si="43"/>
        <v>Low Stock</v>
      </c>
    </row>
    <row r="479" spans="1:16" x14ac:dyDescent="0.35">
      <c r="A479" s="4">
        <v>46156</v>
      </c>
      <c r="B479" t="s">
        <v>28</v>
      </c>
      <c r="C479" t="s">
        <v>29</v>
      </c>
      <c r="D479" t="s">
        <v>18</v>
      </c>
      <c r="E479" t="s">
        <v>19</v>
      </c>
      <c r="F479">
        <v>78</v>
      </c>
      <c r="G479">
        <v>31</v>
      </c>
      <c r="H479">
        <v>39</v>
      </c>
      <c r="I479">
        <f t="shared" si="44"/>
        <v>70</v>
      </c>
      <c r="J479">
        <v>43</v>
      </c>
      <c r="K479">
        <v>5</v>
      </c>
      <c r="L479" t="str">
        <f t="shared" si="45"/>
        <v>Correct</v>
      </c>
      <c r="M479">
        <f t="shared" si="46"/>
        <v>90.697674418604649</v>
      </c>
      <c r="N479">
        <f t="shared" si="42"/>
        <v>31.206896551724139</v>
      </c>
      <c r="O479">
        <f t="shared" si="47"/>
        <v>2.2430939226519335</v>
      </c>
      <c r="P479" t="str">
        <f t="shared" si="43"/>
        <v>Low Stock</v>
      </c>
    </row>
    <row r="480" spans="1:16" hidden="1" x14ac:dyDescent="0.35">
      <c r="A480" s="4">
        <v>46156</v>
      </c>
      <c r="B480" t="s">
        <v>28</v>
      </c>
      <c r="C480" t="s">
        <v>29</v>
      </c>
      <c r="D480" t="s">
        <v>20</v>
      </c>
      <c r="E480" t="s">
        <v>21</v>
      </c>
      <c r="F480">
        <v>80</v>
      </c>
      <c r="G480">
        <v>52</v>
      </c>
      <c r="H480">
        <v>47</v>
      </c>
      <c r="I480">
        <f t="shared" si="44"/>
        <v>85</v>
      </c>
      <c r="J480">
        <v>56</v>
      </c>
      <c r="K480">
        <v>1</v>
      </c>
      <c r="L480" t="str">
        <f t="shared" si="45"/>
        <v>Correct</v>
      </c>
      <c r="M480">
        <f t="shared" si="46"/>
        <v>83.928571428571431</v>
      </c>
      <c r="N480">
        <f t="shared" si="42"/>
        <v>32.620689655172413</v>
      </c>
      <c r="O480">
        <f t="shared" si="47"/>
        <v>2.6057082452431288</v>
      </c>
      <c r="P480" t="str">
        <f t="shared" si="43"/>
        <v>Low Stock</v>
      </c>
    </row>
    <row r="481" spans="1:16" hidden="1" x14ac:dyDescent="0.35">
      <c r="A481" s="4">
        <v>46156</v>
      </c>
      <c r="B481" t="s">
        <v>28</v>
      </c>
      <c r="C481" t="s">
        <v>29</v>
      </c>
      <c r="D481" t="s">
        <v>22</v>
      </c>
      <c r="E481" t="s">
        <v>23</v>
      </c>
      <c r="F481">
        <v>487</v>
      </c>
      <c r="G481">
        <v>42</v>
      </c>
      <c r="H481">
        <v>9</v>
      </c>
      <c r="I481">
        <f t="shared" si="44"/>
        <v>520</v>
      </c>
      <c r="J481">
        <v>20</v>
      </c>
      <c r="K481">
        <v>3</v>
      </c>
      <c r="L481" t="str">
        <f t="shared" si="45"/>
        <v>Correct</v>
      </c>
      <c r="M481">
        <f t="shared" si="46"/>
        <v>45</v>
      </c>
      <c r="N481">
        <f t="shared" si="42"/>
        <v>11.678571428571429</v>
      </c>
      <c r="O481">
        <f t="shared" si="47"/>
        <v>44.525993883792047</v>
      </c>
      <c r="P481" t="str">
        <f t="shared" si="43"/>
        <v>Overstock</v>
      </c>
    </row>
    <row r="482" spans="1:16" hidden="1" x14ac:dyDescent="0.35">
      <c r="A482" s="4">
        <v>46156</v>
      </c>
      <c r="B482" t="s">
        <v>31</v>
      </c>
      <c r="C482" t="s">
        <v>32</v>
      </c>
      <c r="D482" t="s">
        <v>14</v>
      </c>
      <c r="E482" t="s">
        <v>15</v>
      </c>
      <c r="F482">
        <v>258</v>
      </c>
      <c r="G482">
        <v>38</v>
      </c>
      <c r="H482">
        <v>23</v>
      </c>
      <c r="I482">
        <f t="shared" si="44"/>
        <v>273</v>
      </c>
      <c r="J482">
        <v>23</v>
      </c>
      <c r="K482">
        <v>4</v>
      </c>
      <c r="L482" t="str">
        <f t="shared" si="45"/>
        <v>Correct</v>
      </c>
      <c r="M482">
        <f t="shared" si="46"/>
        <v>100</v>
      </c>
      <c r="N482">
        <f t="shared" si="42"/>
        <v>20.84375</v>
      </c>
      <c r="O482">
        <f t="shared" si="47"/>
        <v>13.097451274362818</v>
      </c>
      <c r="P482" t="str">
        <f t="shared" si="43"/>
        <v>Low Stock</v>
      </c>
    </row>
    <row r="483" spans="1:16" hidden="1" x14ac:dyDescent="0.35">
      <c r="A483" s="4">
        <v>46156</v>
      </c>
      <c r="B483" t="s">
        <v>31</v>
      </c>
      <c r="C483" t="s">
        <v>32</v>
      </c>
      <c r="D483" t="s">
        <v>16</v>
      </c>
      <c r="E483" t="s">
        <v>17</v>
      </c>
      <c r="F483">
        <v>304</v>
      </c>
      <c r="G483">
        <v>14</v>
      </c>
      <c r="H483">
        <v>30</v>
      </c>
      <c r="I483">
        <f t="shared" si="44"/>
        <v>288</v>
      </c>
      <c r="J483">
        <v>42</v>
      </c>
      <c r="K483">
        <v>2</v>
      </c>
      <c r="L483" t="str">
        <f t="shared" si="45"/>
        <v>Correct</v>
      </c>
      <c r="M483">
        <f t="shared" si="46"/>
        <v>71.428571428571431</v>
      </c>
      <c r="N483">
        <f t="shared" si="42"/>
        <v>21.46875</v>
      </c>
      <c r="O483">
        <f t="shared" si="47"/>
        <v>13.414847161572052</v>
      </c>
      <c r="P483" t="str">
        <f t="shared" si="43"/>
        <v>Low Stock</v>
      </c>
    </row>
    <row r="484" spans="1:16" x14ac:dyDescent="0.35">
      <c r="A484" s="4">
        <v>46156</v>
      </c>
      <c r="B484" t="s">
        <v>31</v>
      </c>
      <c r="C484" t="s">
        <v>32</v>
      </c>
      <c r="D484" t="s">
        <v>18</v>
      </c>
      <c r="E484" t="s">
        <v>19</v>
      </c>
      <c r="F484">
        <v>106</v>
      </c>
      <c r="G484">
        <v>42</v>
      </c>
      <c r="H484">
        <v>34</v>
      </c>
      <c r="I484">
        <f t="shared" si="44"/>
        <v>114</v>
      </c>
      <c r="J484">
        <v>34</v>
      </c>
      <c r="K484">
        <v>4</v>
      </c>
      <c r="L484" t="str">
        <f t="shared" si="45"/>
        <v>Correct</v>
      </c>
      <c r="M484">
        <f t="shared" si="46"/>
        <v>100</v>
      </c>
      <c r="N484">
        <f t="shared" si="42"/>
        <v>30.586206896551722</v>
      </c>
      <c r="O484">
        <f t="shared" si="47"/>
        <v>3.7271702367531003</v>
      </c>
      <c r="P484" t="str">
        <f t="shared" si="43"/>
        <v>Low Stock</v>
      </c>
    </row>
    <row r="485" spans="1:16" hidden="1" x14ac:dyDescent="0.35">
      <c r="A485" s="4">
        <v>46156</v>
      </c>
      <c r="B485" t="s">
        <v>31</v>
      </c>
      <c r="C485" t="s">
        <v>32</v>
      </c>
      <c r="D485" t="s">
        <v>20</v>
      </c>
      <c r="E485" t="s">
        <v>21</v>
      </c>
      <c r="F485">
        <v>116</v>
      </c>
      <c r="G485">
        <v>41</v>
      </c>
      <c r="H485">
        <v>44</v>
      </c>
      <c r="I485">
        <f t="shared" si="44"/>
        <v>113</v>
      </c>
      <c r="J485">
        <v>47</v>
      </c>
      <c r="K485">
        <v>4</v>
      </c>
      <c r="L485" t="str">
        <f t="shared" si="45"/>
        <v>Correct</v>
      </c>
      <c r="M485">
        <f t="shared" si="46"/>
        <v>93.61702127659575</v>
      </c>
      <c r="N485">
        <f t="shared" si="42"/>
        <v>32.299999999999997</v>
      </c>
      <c r="O485">
        <f t="shared" si="47"/>
        <v>3.4984520123839014</v>
      </c>
      <c r="P485" t="str">
        <f t="shared" si="43"/>
        <v>Low Stock</v>
      </c>
    </row>
    <row r="486" spans="1:16" hidden="1" x14ac:dyDescent="0.35">
      <c r="A486" s="4">
        <v>46156</v>
      </c>
      <c r="B486" t="s">
        <v>31</v>
      </c>
      <c r="C486" t="s">
        <v>32</v>
      </c>
      <c r="D486" t="s">
        <v>22</v>
      </c>
      <c r="E486" t="s">
        <v>23</v>
      </c>
      <c r="F486">
        <v>544</v>
      </c>
      <c r="G486">
        <v>45</v>
      </c>
      <c r="H486">
        <v>5</v>
      </c>
      <c r="I486">
        <f t="shared" si="44"/>
        <v>584</v>
      </c>
      <c r="J486">
        <v>18</v>
      </c>
      <c r="K486">
        <v>3</v>
      </c>
      <c r="L486" t="str">
        <f t="shared" si="45"/>
        <v>Correct</v>
      </c>
      <c r="M486">
        <f t="shared" si="46"/>
        <v>27.777777777777779</v>
      </c>
      <c r="N486">
        <f t="shared" si="42"/>
        <v>10.413793103448276</v>
      </c>
      <c r="O486">
        <f t="shared" si="47"/>
        <v>56.079470198675494</v>
      </c>
      <c r="P486" t="str">
        <f t="shared" si="43"/>
        <v>Overstock</v>
      </c>
    </row>
    <row r="487" spans="1:16" hidden="1" x14ac:dyDescent="0.35">
      <c r="A487" s="4">
        <v>46156</v>
      </c>
      <c r="B487" t="s">
        <v>33</v>
      </c>
      <c r="C487" t="s">
        <v>34</v>
      </c>
      <c r="D487" t="s">
        <v>14</v>
      </c>
      <c r="E487" t="s">
        <v>15</v>
      </c>
      <c r="F487">
        <v>149</v>
      </c>
      <c r="G487">
        <v>60</v>
      </c>
      <c r="H487">
        <v>22</v>
      </c>
      <c r="I487">
        <f t="shared" si="44"/>
        <v>187</v>
      </c>
      <c r="J487">
        <v>33</v>
      </c>
      <c r="K487">
        <v>5</v>
      </c>
      <c r="L487" t="str">
        <f t="shared" si="45"/>
        <v>Correct</v>
      </c>
      <c r="M487">
        <f t="shared" si="46"/>
        <v>66.666666666666657</v>
      </c>
      <c r="N487">
        <f t="shared" si="42"/>
        <v>20.70967741935484</v>
      </c>
      <c r="O487">
        <f t="shared" si="47"/>
        <v>9.0295950155763229</v>
      </c>
      <c r="P487" t="str">
        <f t="shared" si="43"/>
        <v>Low Stock</v>
      </c>
    </row>
    <row r="488" spans="1:16" hidden="1" x14ac:dyDescent="0.35">
      <c r="A488" s="4">
        <v>46156</v>
      </c>
      <c r="B488" t="s">
        <v>33</v>
      </c>
      <c r="C488" t="s">
        <v>34</v>
      </c>
      <c r="D488" t="s">
        <v>16</v>
      </c>
      <c r="E488" t="s">
        <v>17</v>
      </c>
      <c r="F488">
        <v>244</v>
      </c>
      <c r="G488">
        <v>55</v>
      </c>
      <c r="H488">
        <v>22</v>
      </c>
      <c r="I488">
        <f t="shared" si="44"/>
        <v>277</v>
      </c>
      <c r="J488">
        <v>29</v>
      </c>
      <c r="K488">
        <v>4</v>
      </c>
      <c r="L488" t="str">
        <f t="shared" si="45"/>
        <v>Correct</v>
      </c>
      <c r="M488">
        <f t="shared" si="46"/>
        <v>75.862068965517238</v>
      </c>
      <c r="N488">
        <f t="shared" si="42"/>
        <v>22.142857142857142</v>
      </c>
      <c r="O488">
        <f t="shared" si="47"/>
        <v>12.509677419354839</v>
      </c>
      <c r="P488" t="str">
        <f t="shared" si="43"/>
        <v>Low Stock</v>
      </c>
    </row>
    <row r="489" spans="1:16" x14ac:dyDescent="0.35">
      <c r="A489" s="4">
        <v>46156</v>
      </c>
      <c r="B489" t="s">
        <v>33</v>
      </c>
      <c r="C489" t="s">
        <v>34</v>
      </c>
      <c r="D489" t="s">
        <v>18</v>
      </c>
      <c r="E489" t="s">
        <v>19</v>
      </c>
      <c r="F489">
        <v>182</v>
      </c>
      <c r="G489">
        <v>39</v>
      </c>
      <c r="H489">
        <v>36</v>
      </c>
      <c r="I489">
        <f t="shared" si="44"/>
        <v>185</v>
      </c>
      <c r="J489">
        <v>42</v>
      </c>
      <c r="K489">
        <v>3</v>
      </c>
      <c r="L489" t="str">
        <f t="shared" si="45"/>
        <v>Correct</v>
      </c>
      <c r="M489">
        <f t="shared" si="46"/>
        <v>85.714285714285708</v>
      </c>
      <c r="N489">
        <f t="shared" si="42"/>
        <v>30.275862068965516</v>
      </c>
      <c r="O489">
        <f t="shared" si="47"/>
        <v>6.1104783599088837</v>
      </c>
      <c r="P489" t="str">
        <f t="shared" si="43"/>
        <v>Low Stock</v>
      </c>
    </row>
    <row r="490" spans="1:16" hidden="1" x14ac:dyDescent="0.35">
      <c r="A490" s="4">
        <v>46156</v>
      </c>
      <c r="B490" t="s">
        <v>33</v>
      </c>
      <c r="C490" t="s">
        <v>34</v>
      </c>
      <c r="D490" t="s">
        <v>20</v>
      </c>
      <c r="E490" t="s">
        <v>21</v>
      </c>
      <c r="F490">
        <v>338</v>
      </c>
      <c r="G490">
        <v>19</v>
      </c>
      <c r="H490">
        <v>47</v>
      </c>
      <c r="I490">
        <f t="shared" si="44"/>
        <v>310</v>
      </c>
      <c r="J490">
        <v>55</v>
      </c>
      <c r="K490">
        <v>4</v>
      </c>
      <c r="L490" t="str">
        <f t="shared" si="45"/>
        <v>Correct</v>
      </c>
      <c r="M490">
        <f t="shared" si="46"/>
        <v>85.454545454545453</v>
      </c>
      <c r="N490">
        <f t="shared" si="42"/>
        <v>30.931034482758619</v>
      </c>
      <c r="O490">
        <f t="shared" si="47"/>
        <v>10.022296544035674</v>
      </c>
      <c r="P490" t="str">
        <f t="shared" si="43"/>
        <v>Low Stock</v>
      </c>
    </row>
    <row r="491" spans="1:16" hidden="1" x14ac:dyDescent="0.35">
      <c r="A491" s="4">
        <v>46156</v>
      </c>
      <c r="B491" t="s">
        <v>33</v>
      </c>
      <c r="C491" t="s">
        <v>34</v>
      </c>
      <c r="D491" t="s">
        <v>22</v>
      </c>
      <c r="E491" t="s">
        <v>23</v>
      </c>
      <c r="F491">
        <v>392</v>
      </c>
      <c r="G491">
        <v>23</v>
      </c>
      <c r="H491">
        <v>5</v>
      </c>
      <c r="I491">
        <f t="shared" si="44"/>
        <v>410</v>
      </c>
      <c r="J491">
        <v>8</v>
      </c>
      <c r="K491">
        <v>4</v>
      </c>
      <c r="L491" t="str">
        <f t="shared" si="45"/>
        <v>Correct</v>
      </c>
      <c r="M491">
        <f t="shared" si="46"/>
        <v>62.5</v>
      </c>
      <c r="N491">
        <f t="shared" si="42"/>
        <v>10.25</v>
      </c>
      <c r="O491">
        <f t="shared" si="47"/>
        <v>40</v>
      </c>
      <c r="P491" t="str">
        <f t="shared" si="43"/>
        <v>Overstock</v>
      </c>
    </row>
    <row r="492" spans="1:16" hidden="1" x14ac:dyDescent="0.35">
      <c r="A492" s="4">
        <v>46157</v>
      </c>
      <c r="B492" t="s">
        <v>12</v>
      </c>
      <c r="C492" t="s">
        <v>13</v>
      </c>
      <c r="D492" t="s">
        <v>14</v>
      </c>
      <c r="E492" t="s">
        <v>15</v>
      </c>
      <c r="F492">
        <v>371</v>
      </c>
      <c r="G492">
        <v>23</v>
      </c>
      <c r="H492">
        <v>23</v>
      </c>
      <c r="I492">
        <f t="shared" si="44"/>
        <v>371</v>
      </c>
      <c r="J492">
        <v>28</v>
      </c>
      <c r="K492">
        <v>2</v>
      </c>
      <c r="L492" t="str">
        <f t="shared" si="45"/>
        <v>Correct</v>
      </c>
      <c r="M492">
        <f t="shared" si="46"/>
        <v>82.142857142857139</v>
      </c>
      <c r="N492">
        <f t="shared" si="42"/>
        <v>21.666666666666668</v>
      </c>
      <c r="O492">
        <f t="shared" si="47"/>
        <v>17.123076923076923</v>
      </c>
      <c r="P492" t="str">
        <f t="shared" si="43"/>
        <v>Healthy</v>
      </c>
    </row>
    <row r="493" spans="1:16" hidden="1" x14ac:dyDescent="0.35">
      <c r="A493" s="4">
        <v>46157</v>
      </c>
      <c r="B493" t="s">
        <v>12</v>
      </c>
      <c r="C493" t="s">
        <v>13</v>
      </c>
      <c r="D493" t="s">
        <v>16</v>
      </c>
      <c r="E493" t="s">
        <v>17</v>
      </c>
      <c r="F493">
        <v>323</v>
      </c>
      <c r="G493">
        <v>15</v>
      </c>
      <c r="H493">
        <v>34</v>
      </c>
      <c r="I493">
        <f t="shared" si="44"/>
        <v>304</v>
      </c>
      <c r="J493">
        <v>49</v>
      </c>
      <c r="K493">
        <v>1</v>
      </c>
      <c r="L493" t="str">
        <f t="shared" si="45"/>
        <v>Correct</v>
      </c>
      <c r="M493">
        <f t="shared" si="46"/>
        <v>69.387755102040813</v>
      </c>
      <c r="N493">
        <f t="shared" si="42"/>
        <v>20.030303030303031</v>
      </c>
      <c r="O493">
        <f t="shared" si="47"/>
        <v>15.177004538577911</v>
      </c>
      <c r="P493" t="str">
        <f t="shared" si="43"/>
        <v>Healthy</v>
      </c>
    </row>
    <row r="494" spans="1:16" x14ac:dyDescent="0.35">
      <c r="A494" s="4">
        <v>46157</v>
      </c>
      <c r="B494" t="s">
        <v>12</v>
      </c>
      <c r="C494" t="s">
        <v>13</v>
      </c>
      <c r="D494" t="s">
        <v>18</v>
      </c>
      <c r="E494" t="s">
        <v>19</v>
      </c>
      <c r="F494">
        <v>181</v>
      </c>
      <c r="G494">
        <v>33</v>
      </c>
      <c r="H494">
        <v>37</v>
      </c>
      <c r="I494">
        <f t="shared" si="44"/>
        <v>177</v>
      </c>
      <c r="J494">
        <v>52</v>
      </c>
      <c r="K494">
        <v>1</v>
      </c>
      <c r="L494" t="str">
        <f t="shared" si="45"/>
        <v>Correct</v>
      </c>
      <c r="M494">
        <f t="shared" si="46"/>
        <v>71.15384615384616</v>
      </c>
      <c r="N494">
        <f t="shared" si="42"/>
        <v>33.34375</v>
      </c>
      <c r="O494">
        <f t="shared" si="47"/>
        <v>5.3083411433926901</v>
      </c>
      <c r="P494" t="str">
        <f t="shared" si="43"/>
        <v>Low Stock</v>
      </c>
    </row>
    <row r="495" spans="1:16" hidden="1" x14ac:dyDescent="0.35">
      <c r="A495" s="4">
        <v>46157</v>
      </c>
      <c r="B495" t="s">
        <v>12</v>
      </c>
      <c r="C495" t="s">
        <v>13</v>
      </c>
      <c r="D495" t="s">
        <v>20</v>
      </c>
      <c r="E495" t="s">
        <v>21</v>
      </c>
      <c r="F495">
        <v>100</v>
      </c>
      <c r="G495">
        <v>1</v>
      </c>
      <c r="H495">
        <v>30</v>
      </c>
      <c r="I495">
        <f t="shared" si="44"/>
        <v>71</v>
      </c>
      <c r="J495">
        <v>33</v>
      </c>
      <c r="K495">
        <v>5</v>
      </c>
      <c r="L495" t="str">
        <f t="shared" si="45"/>
        <v>Correct</v>
      </c>
      <c r="M495">
        <f t="shared" si="46"/>
        <v>90.909090909090907</v>
      </c>
      <c r="N495">
        <f t="shared" si="42"/>
        <v>34.515151515151516</v>
      </c>
      <c r="O495">
        <f t="shared" si="47"/>
        <v>2.0570676031606672</v>
      </c>
      <c r="P495" t="str">
        <f t="shared" si="43"/>
        <v>Low Stock</v>
      </c>
    </row>
    <row r="496" spans="1:16" hidden="1" x14ac:dyDescent="0.35">
      <c r="A496" s="4">
        <v>46157</v>
      </c>
      <c r="B496" t="s">
        <v>12</v>
      </c>
      <c r="C496" t="s">
        <v>13</v>
      </c>
      <c r="D496" t="s">
        <v>22</v>
      </c>
      <c r="E496" t="s">
        <v>23</v>
      </c>
      <c r="F496">
        <v>310</v>
      </c>
      <c r="G496">
        <v>13</v>
      </c>
      <c r="H496">
        <v>5</v>
      </c>
      <c r="I496">
        <f t="shared" si="44"/>
        <v>318</v>
      </c>
      <c r="J496">
        <v>16</v>
      </c>
      <c r="K496">
        <v>1</v>
      </c>
      <c r="L496" t="str">
        <f t="shared" si="45"/>
        <v>Correct</v>
      </c>
      <c r="M496">
        <f t="shared" si="46"/>
        <v>31.25</v>
      </c>
      <c r="N496">
        <f t="shared" si="42"/>
        <v>9.9032258064516121</v>
      </c>
      <c r="O496">
        <f t="shared" si="47"/>
        <v>32.110749185667757</v>
      </c>
      <c r="P496" t="str">
        <f t="shared" si="43"/>
        <v>Overstock</v>
      </c>
    </row>
    <row r="497" spans="1:16" hidden="1" x14ac:dyDescent="0.35">
      <c r="A497" s="4">
        <v>46157</v>
      </c>
      <c r="B497" t="s">
        <v>12</v>
      </c>
      <c r="C497" t="s">
        <v>24</v>
      </c>
      <c r="D497" t="s">
        <v>14</v>
      </c>
      <c r="E497" t="s">
        <v>15</v>
      </c>
      <c r="F497">
        <v>189</v>
      </c>
      <c r="G497">
        <v>52</v>
      </c>
      <c r="H497">
        <v>33</v>
      </c>
      <c r="I497">
        <f t="shared" si="44"/>
        <v>208</v>
      </c>
      <c r="J497">
        <v>47</v>
      </c>
      <c r="K497">
        <v>3</v>
      </c>
      <c r="L497" t="str">
        <f t="shared" si="45"/>
        <v>Correct</v>
      </c>
      <c r="M497">
        <f t="shared" si="46"/>
        <v>70.212765957446805</v>
      </c>
      <c r="N497">
        <f t="shared" si="42"/>
        <v>21.35483870967742</v>
      </c>
      <c r="O497">
        <f t="shared" si="47"/>
        <v>9.7401812688821749</v>
      </c>
      <c r="P497" t="str">
        <f t="shared" si="43"/>
        <v>Low Stock</v>
      </c>
    </row>
    <row r="498" spans="1:16" hidden="1" x14ac:dyDescent="0.35">
      <c r="A498" s="4">
        <v>46157</v>
      </c>
      <c r="B498" t="s">
        <v>12</v>
      </c>
      <c r="C498" t="s">
        <v>24</v>
      </c>
      <c r="D498" t="s">
        <v>16</v>
      </c>
      <c r="E498" t="s">
        <v>17</v>
      </c>
      <c r="F498">
        <v>165</v>
      </c>
      <c r="G498">
        <v>35</v>
      </c>
      <c r="H498">
        <v>8</v>
      </c>
      <c r="I498">
        <f t="shared" si="44"/>
        <v>192</v>
      </c>
      <c r="J498">
        <v>9</v>
      </c>
      <c r="K498">
        <v>1</v>
      </c>
      <c r="L498" t="str">
        <f t="shared" si="45"/>
        <v>Correct</v>
      </c>
      <c r="M498">
        <f t="shared" si="46"/>
        <v>88.888888888888886</v>
      </c>
      <c r="N498">
        <f t="shared" si="42"/>
        <v>21.9</v>
      </c>
      <c r="O498">
        <f t="shared" si="47"/>
        <v>8.7671232876712342</v>
      </c>
      <c r="P498" t="str">
        <f t="shared" si="43"/>
        <v>Low Stock</v>
      </c>
    </row>
    <row r="499" spans="1:16" x14ac:dyDescent="0.35">
      <c r="A499" s="4">
        <v>46157</v>
      </c>
      <c r="B499" t="s">
        <v>12</v>
      </c>
      <c r="C499" t="s">
        <v>24</v>
      </c>
      <c r="D499" t="s">
        <v>18</v>
      </c>
      <c r="E499" t="s">
        <v>19</v>
      </c>
      <c r="F499">
        <v>106</v>
      </c>
      <c r="G499">
        <v>59</v>
      </c>
      <c r="H499">
        <v>40</v>
      </c>
      <c r="I499">
        <f t="shared" si="44"/>
        <v>125</v>
      </c>
      <c r="J499">
        <v>46</v>
      </c>
      <c r="K499">
        <v>3</v>
      </c>
      <c r="L499" t="str">
        <f t="shared" si="45"/>
        <v>Correct</v>
      </c>
      <c r="M499">
        <f t="shared" si="46"/>
        <v>86.956521739130437</v>
      </c>
      <c r="N499">
        <f t="shared" si="42"/>
        <v>31.586206896551722</v>
      </c>
      <c r="O499">
        <f t="shared" si="47"/>
        <v>3.9574235807860263</v>
      </c>
      <c r="P499" t="str">
        <f t="shared" si="43"/>
        <v>Low Stock</v>
      </c>
    </row>
    <row r="500" spans="1:16" hidden="1" x14ac:dyDescent="0.35">
      <c r="A500" s="4">
        <v>46157</v>
      </c>
      <c r="B500" t="s">
        <v>12</v>
      </c>
      <c r="C500" t="s">
        <v>24</v>
      </c>
      <c r="D500" t="s">
        <v>20</v>
      </c>
      <c r="E500" t="s">
        <v>21</v>
      </c>
      <c r="F500">
        <v>33</v>
      </c>
      <c r="G500">
        <v>10</v>
      </c>
      <c r="H500">
        <v>40</v>
      </c>
      <c r="I500">
        <f t="shared" si="44"/>
        <v>3</v>
      </c>
      <c r="J500">
        <v>46</v>
      </c>
      <c r="K500">
        <v>1</v>
      </c>
      <c r="L500" t="str">
        <f t="shared" si="45"/>
        <v>Correct</v>
      </c>
      <c r="M500">
        <f t="shared" si="46"/>
        <v>86.956521739130437</v>
      </c>
      <c r="N500">
        <f t="shared" si="42"/>
        <v>34.200000000000003</v>
      </c>
      <c r="O500">
        <f t="shared" si="47"/>
        <v>8.771929824561403E-2</v>
      </c>
      <c r="P500" t="str">
        <f t="shared" si="43"/>
        <v>Low Stock</v>
      </c>
    </row>
    <row r="501" spans="1:16" hidden="1" x14ac:dyDescent="0.35">
      <c r="A501" s="4">
        <v>46157</v>
      </c>
      <c r="B501" t="s">
        <v>12</v>
      </c>
      <c r="C501" t="s">
        <v>24</v>
      </c>
      <c r="D501" t="s">
        <v>22</v>
      </c>
      <c r="E501" t="s">
        <v>23</v>
      </c>
      <c r="F501">
        <v>400</v>
      </c>
      <c r="G501">
        <v>12</v>
      </c>
      <c r="H501">
        <v>4</v>
      </c>
      <c r="I501">
        <f t="shared" si="44"/>
        <v>408</v>
      </c>
      <c r="J501">
        <v>15</v>
      </c>
      <c r="K501">
        <v>1</v>
      </c>
      <c r="L501" t="str">
        <f t="shared" si="45"/>
        <v>Correct</v>
      </c>
      <c r="M501">
        <f t="shared" si="46"/>
        <v>26.666666666666668</v>
      </c>
      <c r="N501">
        <f t="shared" si="42"/>
        <v>10.96551724137931</v>
      </c>
      <c r="O501">
        <f t="shared" si="47"/>
        <v>37.20754716981132</v>
      </c>
      <c r="P501" t="str">
        <f t="shared" si="43"/>
        <v>Overstock</v>
      </c>
    </row>
    <row r="502" spans="1:16" hidden="1" x14ac:dyDescent="0.35">
      <c r="A502" s="4">
        <v>46157</v>
      </c>
      <c r="B502" t="s">
        <v>12</v>
      </c>
      <c r="C502" t="s">
        <v>25</v>
      </c>
      <c r="D502" t="s">
        <v>14</v>
      </c>
      <c r="E502" t="s">
        <v>15</v>
      </c>
      <c r="F502">
        <v>266</v>
      </c>
      <c r="G502">
        <v>18</v>
      </c>
      <c r="H502">
        <v>26</v>
      </c>
      <c r="I502">
        <f t="shared" si="44"/>
        <v>258</v>
      </c>
      <c r="J502">
        <v>33</v>
      </c>
      <c r="K502">
        <v>1</v>
      </c>
      <c r="L502" t="str">
        <f t="shared" si="45"/>
        <v>Correct</v>
      </c>
      <c r="M502">
        <f t="shared" si="46"/>
        <v>78.787878787878782</v>
      </c>
      <c r="N502">
        <f t="shared" si="42"/>
        <v>20.7</v>
      </c>
      <c r="O502">
        <f t="shared" si="47"/>
        <v>12.463768115942029</v>
      </c>
      <c r="P502" t="str">
        <f t="shared" si="43"/>
        <v>Low Stock</v>
      </c>
    </row>
    <row r="503" spans="1:16" hidden="1" x14ac:dyDescent="0.35">
      <c r="A503" s="4">
        <v>46157</v>
      </c>
      <c r="B503" t="s">
        <v>12</v>
      </c>
      <c r="C503" t="s">
        <v>25</v>
      </c>
      <c r="D503" t="s">
        <v>16</v>
      </c>
      <c r="E503" t="s">
        <v>17</v>
      </c>
      <c r="F503">
        <v>260</v>
      </c>
      <c r="G503">
        <v>20</v>
      </c>
      <c r="H503">
        <v>20</v>
      </c>
      <c r="I503">
        <f t="shared" si="44"/>
        <v>260</v>
      </c>
      <c r="J503">
        <v>25</v>
      </c>
      <c r="K503">
        <v>1</v>
      </c>
      <c r="L503" t="str">
        <f t="shared" si="45"/>
        <v>Correct</v>
      </c>
      <c r="M503">
        <f t="shared" si="46"/>
        <v>80</v>
      </c>
      <c r="N503">
        <f t="shared" si="42"/>
        <v>23.758620689655171</v>
      </c>
      <c r="O503">
        <f t="shared" si="47"/>
        <v>10.943396226415095</v>
      </c>
      <c r="P503" t="str">
        <f t="shared" si="43"/>
        <v>Low Stock</v>
      </c>
    </row>
    <row r="504" spans="1:16" hidden="1" x14ac:dyDescent="0.35">
      <c r="A504" s="4">
        <v>46157</v>
      </c>
      <c r="B504" t="s">
        <v>12</v>
      </c>
      <c r="C504" t="s">
        <v>25</v>
      </c>
      <c r="D504" t="s">
        <v>14</v>
      </c>
      <c r="E504" t="s">
        <v>15</v>
      </c>
      <c r="F504">
        <v>196</v>
      </c>
      <c r="G504">
        <v>32</v>
      </c>
      <c r="H504">
        <v>32</v>
      </c>
      <c r="I504">
        <f t="shared" si="44"/>
        <v>196</v>
      </c>
      <c r="J504">
        <v>34</v>
      </c>
      <c r="K504">
        <v>1</v>
      </c>
      <c r="L504" t="str">
        <f t="shared" si="45"/>
        <v>Correct</v>
      </c>
      <c r="M504">
        <f t="shared" si="46"/>
        <v>94.117647058823522</v>
      </c>
      <c r="N504">
        <f t="shared" si="42"/>
        <v>20.7</v>
      </c>
      <c r="O504">
        <f t="shared" si="47"/>
        <v>9.4685990338164263</v>
      </c>
      <c r="P504" t="str">
        <f t="shared" si="43"/>
        <v>Low Stock</v>
      </c>
    </row>
    <row r="505" spans="1:16" hidden="1" x14ac:dyDescent="0.35">
      <c r="A505" s="4">
        <v>46157</v>
      </c>
      <c r="B505" t="s">
        <v>12</v>
      </c>
      <c r="C505" t="s">
        <v>25</v>
      </c>
      <c r="D505" t="s">
        <v>20</v>
      </c>
      <c r="E505" t="s">
        <v>21</v>
      </c>
      <c r="F505">
        <v>182</v>
      </c>
      <c r="G505">
        <v>45</v>
      </c>
      <c r="H505">
        <v>23</v>
      </c>
      <c r="I505">
        <f t="shared" si="44"/>
        <v>204</v>
      </c>
      <c r="J505">
        <v>30</v>
      </c>
      <c r="K505">
        <v>4</v>
      </c>
      <c r="L505" t="str">
        <f t="shared" si="45"/>
        <v>Correct</v>
      </c>
      <c r="M505">
        <f t="shared" si="46"/>
        <v>76.666666666666671</v>
      </c>
      <c r="N505">
        <f t="shared" si="42"/>
        <v>31.137931034482758</v>
      </c>
      <c r="O505">
        <f t="shared" si="47"/>
        <v>6.5514950166112955</v>
      </c>
      <c r="P505" t="str">
        <f t="shared" si="43"/>
        <v>Low Stock</v>
      </c>
    </row>
    <row r="506" spans="1:16" hidden="1" x14ac:dyDescent="0.35">
      <c r="A506" s="4">
        <v>46157</v>
      </c>
      <c r="B506" t="s">
        <v>12</v>
      </c>
      <c r="C506" t="s">
        <v>25</v>
      </c>
      <c r="D506" t="s">
        <v>22</v>
      </c>
      <c r="E506" t="s">
        <v>23</v>
      </c>
      <c r="F506">
        <v>385</v>
      </c>
      <c r="G506">
        <v>35</v>
      </c>
      <c r="H506">
        <v>3</v>
      </c>
      <c r="I506">
        <f t="shared" si="44"/>
        <v>417</v>
      </c>
      <c r="J506">
        <v>4</v>
      </c>
      <c r="K506">
        <v>5</v>
      </c>
      <c r="L506" t="str">
        <f t="shared" si="45"/>
        <v>Correct</v>
      </c>
      <c r="M506">
        <f t="shared" si="46"/>
        <v>75</v>
      </c>
      <c r="N506">
        <f t="shared" si="42"/>
        <v>11.3</v>
      </c>
      <c r="O506">
        <f t="shared" si="47"/>
        <v>36.902654867256636</v>
      </c>
      <c r="P506" t="str">
        <f t="shared" si="43"/>
        <v>Overstock</v>
      </c>
    </row>
    <row r="507" spans="1:16" hidden="1" x14ac:dyDescent="0.35">
      <c r="A507" s="4">
        <v>46157</v>
      </c>
      <c r="B507" t="s">
        <v>26</v>
      </c>
      <c r="C507" t="s">
        <v>27</v>
      </c>
      <c r="D507" t="s">
        <v>14</v>
      </c>
      <c r="E507" t="s">
        <v>15</v>
      </c>
      <c r="F507">
        <v>406</v>
      </c>
      <c r="G507">
        <v>45</v>
      </c>
      <c r="H507">
        <v>28</v>
      </c>
      <c r="I507">
        <f t="shared" si="44"/>
        <v>423</v>
      </c>
      <c r="J507">
        <v>37</v>
      </c>
      <c r="K507">
        <v>5</v>
      </c>
      <c r="L507" t="str">
        <f t="shared" si="45"/>
        <v>Correct</v>
      </c>
      <c r="M507">
        <f t="shared" si="46"/>
        <v>75.675675675675677</v>
      </c>
      <c r="N507">
        <f t="shared" si="42"/>
        <v>22.258064516129032</v>
      </c>
      <c r="O507">
        <f t="shared" si="47"/>
        <v>19.004347826086956</v>
      </c>
      <c r="P507" t="str">
        <f t="shared" si="43"/>
        <v>Healthy</v>
      </c>
    </row>
    <row r="508" spans="1:16" hidden="1" x14ac:dyDescent="0.35">
      <c r="A508" s="4">
        <v>46157</v>
      </c>
      <c r="B508" t="s">
        <v>26</v>
      </c>
      <c r="C508" t="s">
        <v>27</v>
      </c>
      <c r="D508" t="s">
        <v>16</v>
      </c>
      <c r="E508" t="s">
        <v>17</v>
      </c>
      <c r="F508">
        <v>261</v>
      </c>
      <c r="G508">
        <v>18</v>
      </c>
      <c r="H508">
        <v>15</v>
      </c>
      <c r="I508">
        <f t="shared" si="44"/>
        <v>264</v>
      </c>
      <c r="J508">
        <v>21</v>
      </c>
      <c r="K508">
        <v>1</v>
      </c>
      <c r="L508" t="str">
        <f t="shared" si="45"/>
        <v>Correct</v>
      </c>
      <c r="M508">
        <f t="shared" si="46"/>
        <v>71.428571428571431</v>
      </c>
      <c r="N508">
        <f t="shared" si="42"/>
        <v>20.172413793103448</v>
      </c>
      <c r="O508">
        <f t="shared" si="47"/>
        <v>13.087179487179487</v>
      </c>
      <c r="P508" t="str">
        <f t="shared" si="43"/>
        <v>Low Stock</v>
      </c>
    </row>
    <row r="509" spans="1:16" x14ac:dyDescent="0.35">
      <c r="A509" s="4">
        <v>46157</v>
      </c>
      <c r="B509" t="s">
        <v>26</v>
      </c>
      <c r="C509" t="s">
        <v>27</v>
      </c>
      <c r="D509" t="s">
        <v>18</v>
      </c>
      <c r="E509" t="s">
        <v>19</v>
      </c>
      <c r="F509">
        <v>203</v>
      </c>
      <c r="G509">
        <v>4</v>
      </c>
      <c r="H509">
        <v>25</v>
      </c>
      <c r="I509">
        <f t="shared" si="44"/>
        <v>182</v>
      </c>
      <c r="J509">
        <v>36</v>
      </c>
      <c r="K509">
        <v>3</v>
      </c>
      <c r="L509" t="str">
        <f t="shared" si="45"/>
        <v>Correct</v>
      </c>
      <c r="M509">
        <f t="shared" si="46"/>
        <v>69.444444444444443</v>
      </c>
      <c r="N509">
        <f t="shared" si="42"/>
        <v>29.733333333333334</v>
      </c>
      <c r="O509">
        <f t="shared" si="47"/>
        <v>6.1210762331838566</v>
      </c>
      <c r="P509" t="str">
        <f t="shared" si="43"/>
        <v>Low Stock</v>
      </c>
    </row>
    <row r="510" spans="1:16" hidden="1" x14ac:dyDescent="0.35">
      <c r="A510" s="4">
        <v>46157</v>
      </c>
      <c r="B510" t="s">
        <v>26</v>
      </c>
      <c r="C510" t="s">
        <v>27</v>
      </c>
      <c r="D510" t="s">
        <v>20</v>
      </c>
      <c r="E510" t="s">
        <v>21</v>
      </c>
      <c r="F510">
        <v>306</v>
      </c>
      <c r="G510">
        <v>10</v>
      </c>
      <c r="H510">
        <v>34</v>
      </c>
      <c r="I510">
        <f t="shared" si="44"/>
        <v>282</v>
      </c>
      <c r="J510">
        <v>34</v>
      </c>
      <c r="K510">
        <v>1</v>
      </c>
      <c r="L510" t="str">
        <f t="shared" si="45"/>
        <v>Correct</v>
      </c>
      <c r="M510">
        <f t="shared" si="46"/>
        <v>100</v>
      </c>
      <c r="N510">
        <f t="shared" si="42"/>
        <v>30.724137931034484</v>
      </c>
      <c r="O510">
        <f t="shared" si="47"/>
        <v>9.1784511784511782</v>
      </c>
      <c r="P510" t="str">
        <f t="shared" si="43"/>
        <v>Low Stock</v>
      </c>
    </row>
    <row r="511" spans="1:16" hidden="1" x14ac:dyDescent="0.35">
      <c r="A511" s="4">
        <v>46157</v>
      </c>
      <c r="B511" t="s">
        <v>26</v>
      </c>
      <c r="C511" t="s">
        <v>27</v>
      </c>
      <c r="D511" t="s">
        <v>22</v>
      </c>
      <c r="E511" t="s">
        <v>23</v>
      </c>
      <c r="F511">
        <v>304</v>
      </c>
      <c r="G511">
        <v>51</v>
      </c>
      <c r="H511">
        <v>13</v>
      </c>
      <c r="I511">
        <f t="shared" si="44"/>
        <v>342</v>
      </c>
      <c r="J511">
        <v>16</v>
      </c>
      <c r="K511">
        <v>1</v>
      </c>
      <c r="L511" t="str">
        <f t="shared" si="45"/>
        <v>Correct</v>
      </c>
      <c r="M511">
        <f t="shared" si="46"/>
        <v>81.25</v>
      </c>
      <c r="N511">
        <f t="shared" si="42"/>
        <v>11.566666666666666</v>
      </c>
      <c r="O511">
        <f t="shared" si="47"/>
        <v>29.56772334293948</v>
      </c>
      <c r="P511" t="str">
        <f t="shared" si="43"/>
        <v>Healthy</v>
      </c>
    </row>
    <row r="512" spans="1:16" hidden="1" x14ac:dyDescent="0.35">
      <c r="A512" s="4">
        <v>46157</v>
      </c>
      <c r="B512" t="s">
        <v>28</v>
      </c>
      <c r="C512" t="s">
        <v>29</v>
      </c>
      <c r="D512" t="s">
        <v>14</v>
      </c>
      <c r="E512" t="s">
        <v>15</v>
      </c>
      <c r="F512">
        <v>285</v>
      </c>
      <c r="G512">
        <v>30</v>
      </c>
      <c r="H512">
        <v>29</v>
      </c>
      <c r="I512">
        <f t="shared" si="44"/>
        <v>286</v>
      </c>
      <c r="J512">
        <v>30</v>
      </c>
      <c r="K512">
        <v>4</v>
      </c>
      <c r="L512" t="str">
        <f t="shared" si="45"/>
        <v>Correct</v>
      </c>
      <c r="M512">
        <f t="shared" si="46"/>
        <v>96.666666666666671</v>
      </c>
      <c r="N512">
        <f t="shared" si="42"/>
        <v>22.25</v>
      </c>
      <c r="O512">
        <f t="shared" si="47"/>
        <v>12.853932584269662</v>
      </c>
      <c r="P512" t="str">
        <f t="shared" si="43"/>
        <v>Low Stock</v>
      </c>
    </row>
    <row r="513" spans="1:16" hidden="1" x14ac:dyDescent="0.35">
      <c r="A513" s="4">
        <v>46157</v>
      </c>
      <c r="B513" t="s">
        <v>12</v>
      </c>
      <c r="C513" t="s">
        <v>13</v>
      </c>
      <c r="D513" t="s">
        <v>16</v>
      </c>
      <c r="E513" t="s">
        <v>17</v>
      </c>
      <c r="F513">
        <v>242</v>
      </c>
      <c r="G513">
        <v>18</v>
      </c>
      <c r="H513">
        <v>11</v>
      </c>
      <c r="I513">
        <f t="shared" si="44"/>
        <v>249</v>
      </c>
      <c r="J513">
        <v>14</v>
      </c>
      <c r="K513">
        <v>4</v>
      </c>
      <c r="L513" t="str">
        <f t="shared" si="45"/>
        <v>Correct</v>
      </c>
      <c r="M513">
        <f t="shared" si="46"/>
        <v>78.571428571428569</v>
      </c>
      <c r="N513">
        <f t="shared" si="42"/>
        <v>20.030303030303031</v>
      </c>
      <c r="O513">
        <f t="shared" si="47"/>
        <v>12.431164901664145</v>
      </c>
      <c r="P513" t="str">
        <f t="shared" si="43"/>
        <v>Low Stock</v>
      </c>
    </row>
    <row r="514" spans="1:16" x14ac:dyDescent="0.35">
      <c r="A514" s="4">
        <v>46157</v>
      </c>
      <c r="B514" t="s">
        <v>28</v>
      </c>
      <c r="C514" t="s">
        <v>29</v>
      </c>
      <c r="D514" t="s">
        <v>18</v>
      </c>
      <c r="E514" t="s">
        <v>19</v>
      </c>
      <c r="F514">
        <v>70</v>
      </c>
      <c r="G514">
        <v>28</v>
      </c>
      <c r="H514">
        <v>38</v>
      </c>
      <c r="I514">
        <f t="shared" si="44"/>
        <v>60</v>
      </c>
      <c r="J514">
        <v>49</v>
      </c>
      <c r="K514">
        <v>1</v>
      </c>
      <c r="L514" t="str">
        <f t="shared" si="45"/>
        <v>Correct</v>
      </c>
      <c r="M514">
        <f t="shared" si="46"/>
        <v>77.551020408163268</v>
      </c>
      <c r="N514">
        <f t="shared" ref="N514:N577" si="48">SUMIFS($H:$H,$B:$B,B514,$C:$C,C514,$D:$D,D514)/COUNTIFS($B:$B,B514,$C:$C,C514,$D:$D,D514)</f>
        <v>31.206896551724139</v>
      </c>
      <c r="O514">
        <f t="shared" si="47"/>
        <v>1.9226519337016574</v>
      </c>
      <c r="P514" t="str">
        <f t="shared" ref="P514:P577" si="49">IF(O514&lt;15,"Low Stock",IF(O514&lt;=30,"Healthy","Overstock"))</f>
        <v>Low Stock</v>
      </c>
    </row>
    <row r="515" spans="1:16" hidden="1" x14ac:dyDescent="0.35">
      <c r="A515" s="4">
        <v>46157</v>
      </c>
      <c r="B515" t="s">
        <v>28</v>
      </c>
      <c r="C515" t="s">
        <v>29</v>
      </c>
      <c r="D515" t="s">
        <v>20</v>
      </c>
      <c r="E515" t="s">
        <v>21</v>
      </c>
      <c r="F515">
        <v>85</v>
      </c>
      <c r="G515">
        <v>9</v>
      </c>
      <c r="H515">
        <v>44</v>
      </c>
      <c r="I515">
        <f t="shared" ref="I515:I578" si="50">F515+G515-H515</f>
        <v>50</v>
      </c>
      <c r="J515">
        <v>51</v>
      </c>
      <c r="K515">
        <v>4</v>
      </c>
      <c r="L515" t="str">
        <f t="shared" ref="L515:L578" si="51">IF(I515&lt;0,"Need verification","Correct")</f>
        <v>Correct</v>
      </c>
      <c r="M515">
        <f t="shared" ref="M515:M578" si="52">IF(J515=0,0,(H515/J515)*100)</f>
        <v>86.274509803921575</v>
      </c>
      <c r="N515">
        <f t="shared" si="48"/>
        <v>32.620689655172413</v>
      </c>
      <c r="O515">
        <f t="shared" ref="O515:O578" si="53">IFERROR(I515/N515,0)</f>
        <v>1.53276955602537</v>
      </c>
      <c r="P515" t="str">
        <f t="shared" si="49"/>
        <v>Low Stock</v>
      </c>
    </row>
    <row r="516" spans="1:16" hidden="1" x14ac:dyDescent="0.35">
      <c r="A516" s="4">
        <v>46157</v>
      </c>
      <c r="B516" t="s">
        <v>28</v>
      </c>
      <c r="C516" t="s">
        <v>29</v>
      </c>
      <c r="D516" t="s">
        <v>22</v>
      </c>
      <c r="E516" t="s">
        <v>23</v>
      </c>
      <c r="F516">
        <v>520</v>
      </c>
      <c r="G516">
        <v>40</v>
      </c>
      <c r="H516">
        <v>9</v>
      </c>
      <c r="I516">
        <f t="shared" si="50"/>
        <v>551</v>
      </c>
      <c r="J516">
        <v>17</v>
      </c>
      <c r="K516">
        <v>4</v>
      </c>
      <c r="L516" t="str">
        <f t="shared" si="51"/>
        <v>Correct</v>
      </c>
      <c r="M516">
        <f t="shared" si="52"/>
        <v>52.941176470588239</v>
      </c>
      <c r="N516">
        <f t="shared" si="48"/>
        <v>11.678571428571429</v>
      </c>
      <c r="O516">
        <f t="shared" si="53"/>
        <v>47.180428134556571</v>
      </c>
      <c r="P516" t="str">
        <f t="shared" si="49"/>
        <v>Overstock</v>
      </c>
    </row>
    <row r="517" spans="1:16" hidden="1" x14ac:dyDescent="0.35">
      <c r="A517" s="4">
        <v>46157</v>
      </c>
      <c r="B517" t="s">
        <v>31</v>
      </c>
      <c r="C517" t="s">
        <v>32</v>
      </c>
      <c r="D517" t="s">
        <v>14</v>
      </c>
      <c r="E517" t="s">
        <v>15</v>
      </c>
      <c r="F517">
        <v>273</v>
      </c>
      <c r="G517">
        <v>15</v>
      </c>
      <c r="H517">
        <v>17</v>
      </c>
      <c r="I517">
        <f t="shared" si="50"/>
        <v>271</v>
      </c>
      <c r="J517">
        <v>26</v>
      </c>
      <c r="K517">
        <v>4</v>
      </c>
      <c r="L517" t="str">
        <f t="shared" si="51"/>
        <v>Correct</v>
      </c>
      <c r="M517">
        <f t="shared" si="52"/>
        <v>65.384615384615387</v>
      </c>
      <c r="N517">
        <f t="shared" si="48"/>
        <v>20.84375</v>
      </c>
      <c r="O517">
        <f t="shared" si="53"/>
        <v>13.001499250374813</v>
      </c>
      <c r="P517" t="str">
        <f t="shared" si="49"/>
        <v>Low Stock</v>
      </c>
    </row>
    <row r="518" spans="1:16" hidden="1" x14ac:dyDescent="0.35">
      <c r="A518" s="4">
        <v>46157</v>
      </c>
      <c r="B518" t="s">
        <v>31</v>
      </c>
      <c r="C518" t="s">
        <v>32</v>
      </c>
      <c r="D518" t="s">
        <v>16</v>
      </c>
      <c r="E518" t="s">
        <v>17</v>
      </c>
      <c r="F518">
        <v>288</v>
      </c>
      <c r="G518">
        <v>36</v>
      </c>
      <c r="H518">
        <v>27</v>
      </c>
      <c r="I518">
        <f t="shared" si="50"/>
        <v>297</v>
      </c>
      <c r="J518">
        <v>42</v>
      </c>
      <c r="K518">
        <v>5</v>
      </c>
      <c r="L518" t="str">
        <f t="shared" si="51"/>
        <v>Correct</v>
      </c>
      <c r="M518">
        <f t="shared" si="52"/>
        <v>64.285714285714292</v>
      </c>
      <c r="N518">
        <f t="shared" si="48"/>
        <v>21.46875</v>
      </c>
      <c r="O518">
        <f t="shared" si="53"/>
        <v>13.834061135371179</v>
      </c>
      <c r="P518" t="str">
        <f t="shared" si="49"/>
        <v>Low Stock</v>
      </c>
    </row>
    <row r="519" spans="1:16" x14ac:dyDescent="0.35">
      <c r="A519" s="4">
        <v>46157</v>
      </c>
      <c r="B519" t="s">
        <v>31</v>
      </c>
      <c r="C519" t="s">
        <v>32</v>
      </c>
      <c r="D519" t="s">
        <v>18</v>
      </c>
      <c r="E519" t="s">
        <v>19</v>
      </c>
      <c r="F519">
        <v>114</v>
      </c>
      <c r="G519">
        <v>6</v>
      </c>
      <c r="H519">
        <v>16</v>
      </c>
      <c r="I519">
        <f t="shared" si="50"/>
        <v>104</v>
      </c>
      <c r="J519">
        <v>28</v>
      </c>
      <c r="K519">
        <v>1</v>
      </c>
      <c r="L519" t="str">
        <f t="shared" si="51"/>
        <v>Correct</v>
      </c>
      <c r="M519">
        <f t="shared" si="52"/>
        <v>57.142857142857139</v>
      </c>
      <c r="N519">
        <f t="shared" si="48"/>
        <v>30.586206896551722</v>
      </c>
      <c r="O519">
        <f t="shared" si="53"/>
        <v>3.4002254791431796</v>
      </c>
      <c r="P519" t="str">
        <f t="shared" si="49"/>
        <v>Low Stock</v>
      </c>
    </row>
    <row r="520" spans="1:16" hidden="1" x14ac:dyDescent="0.35">
      <c r="A520" s="4">
        <v>46157</v>
      </c>
      <c r="B520" t="s">
        <v>31</v>
      </c>
      <c r="C520" t="s">
        <v>32</v>
      </c>
      <c r="D520" t="s">
        <v>20</v>
      </c>
      <c r="E520" t="s">
        <v>21</v>
      </c>
      <c r="F520">
        <v>113</v>
      </c>
      <c r="G520">
        <v>36</v>
      </c>
      <c r="H520">
        <v>25</v>
      </c>
      <c r="I520">
        <f t="shared" si="50"/>
        <v>124</v>
      </c>
      <c r="J520">
        <v>31</v>
      </c>
      <c r="K520">
        <v>3</v>
      </c>
      <c r="L520" t="str">
        <f t="shared" si="51"/>
        <v>Correct</v>
      </c>
      <c r="M520">
        <f t="shared" si="52"/>
        <v>80.645161290322577</v>
      </c>
      <c r="N520">
        <f t="shared" si="48"/>
        <v>32.299999999999997</v>
      </c>
      <c r="O520">
        <f t="shared" si="53"/>
        <v>3.839009287925697</v>
      </c>
      <c r="P520" t="str">
        <f t="shared" si="49"/>
        <v>Low Stock</v>
      </c>
    </row>
    <row r="521" spans="1:16" hidden="1" x14ac:dyDescent="0.35">
      <c r="A521" s="4">
        <v>46157</v>
      </c>
      <c r="B521" t="s">
        <v>31</v>
      </c>
      <c r="C521" t="s">
        <v>32</v>
      </c>
      <c r="D521" t="s">
        <v>22</v>
      </c>
      <c r="E521" t="s">
        <v>23</v>
      </c>
      <c r="F521">
        <v>584</v>
      </c>
      <c r="G521">
        <v>50</v>
      </c>
      <c r="H521">
        <v>12</v>
      </c>
      <c r="I521">
        <f t="shared" si="50"/>
        <v>622</v>
      </c>
      <c r="J521">
        <v>26</v>
      </c>
      <c r="K521">
        <v>3</v>
      </c>
      <c r="L521" t="str">
        <f t="shared" si="51"/>
        <v>Correct</v>
      </c>
      <c r="M521">
        <f t="shared" si="52"/>
        <v>46.153846153846153</v>
      </c>
      <c r="N521">
        <f t="shared" si="48"/>
        <v>10.413793103448276</v>
      </c>
      <c r="O521">
        <f t="shared" si="53"/>
        <v>59.728476821192054</v>
      </c>
      <c r="P521" t="str">
        <f t="shared" si="49"/>
        <v>Overstock</v>
      </c>
    </row>
    <row r="522" spans="1:16" hidden="1" x14ac:dyDescent="0.35">
      <c r="A522" s="4">
        <v>46157</v>
      </c>
      <c r="B522" t="s">
        <v>33</v>
      </c>
      <c r="C522" t="s">
        <v>34</v>
      </c>
      <c r="D522" t="s">
        <v>14</v>
      </c>
      <c r="E522" t="s">
        <v>15</v>
      </c>
      <c r="F522">
        <v>187</v>
      </c>
      <c r="G522">
        <v>13</v>
      </c>
      <c r="H522">
        <v>12</v>
      </c>
      <c r="I522">
        <f t="shared" si="50"/>
        <v>188</v>
      </c>
      <c r="J522">
        <v>19</v>
      </c>
      <c r="K522">
        <v>5</v>
      </c>
      <c r="L522" t="str">
        <f t="shared" si="51"/>
        <v>Correct</v>
      </c>
      <c r="M522">
        <f t="shared" si="52"/>
        <v>63.157894736842103</v>
      </c>
      <c r="N522">
        <f t="shared" si="48"/>
        <v>20.70967741935484</v>
      </c>
      <c r="O522">
        <f t="shared" si="53"/>
        <v>9.0778816199376937</v>
      </c>
      <c r="P522" t="str">
        <f t="shared" si="49"/>
        <v>Low Stock</v>
      </c>
    </row>
    <row r="523" spans="1:16" hidden="1" x14ac:dyDescent="0.35">
      <c r="A523" s="4">
        <v>46157</v>
      </c>
      <c r="B523" t="s">
        <v>33</v>
      </c>
      <c r="C523" t="s">
        <v>34</v>
      </c>
      <c r="D523" t="s">
        <v>16</v>
      </c>
      <c r="E523" t="s">
        <v>17</v>
      </c>
      <c r="F523">
        <v>277</v>
      </c>
      <c r="G523">
        <v>9</v>
      </c>
      <c r="H523">
        <v>19</v>
      </c>
      <c r="I523">
        <f t="shared" si="50"/>
        <v>267</v>
      </c>
      <c r="J523">
        <v>20</v>
      </c>
      <c r="K523">
        <v>2</v>
      </c>
      <c r="L523" t="str">
        <f t="shared" si="51"/>
        <v>Correct</v>
      </c>
      <c r="M523">
        <f t="shared" si="52"/>
        <v>95</v>
      </c>
      <c r="N523">
        <f t="shared" si="48"/>
        <v>22.142857142857142</v>
      </c>
      <c r="O523">
        <f t="shared" si="53"/>
        <v>12.058064516129033</v>
      </c>
      <c r="P523" t="str">
        <f t="shared" si="49"/>
        <v>Low Stock</v>
      </c>
    </row>
    <row r="524" spans="1:16" x14ac:dyDescent="0.35">
      <c r="A524" s="4">
        <v>46157</v>
      </c>
      <c r="B524" t="s">
        <v>33</v>
      </c>
      <c r="C524" t="s">
        <v>34</v>
      </c>
      <c r="D524" t="s">
        <v>18</v>
      </c>
      <c r="E524" t="s">
        <v>19</v>
      </c>
      <c r="F524">
        <v>185</v>
      </c>
      <c r="G524">
        <v>27</v>
      </c>
      <c r="H524">
        <v>29</v>
      </c>
      <c r="I524">
        <f t="shared" si="50"/>
        <v>183</v>
      </c>
      <c r="J524">
        <v>37</v>
      </c>
      <c r="K524">
        <v>4</v>
      </c>
      <c r="L524" t="str">
        <f t="shared" si="51"/>
        <v>Correct</v>
      </c>
      <c r="M524">
        <f t="shared" si="52"/>
        <v>78.378378378378372</v>
      </c>
      <c r="N524">
        <f t="shared" si="48"/>
        <v>30.275862068965516</v>
      </c>
      <c r="O524">
        <f t="shared" si="53"/>
        <v>6.0444191343963558</v>
      </c>
      <c r="P524" t="str">
        <f t="shared" si="49"/>
        <v>Low Stock</v>
      </c>
    </row>
    <row r="525" spans="1:16" hidden="1" x14ac:dyDescent="0.35">
      <c r="A525" s="4">
        <v>46157</v>
      </c>
      <c r="B525" t="s">
        <v>33</v>
      </c>
      <c r="C525" t="s">
        <v>34</v>
      </c>
      <c r="D525" t="s">
        <v>20</v>
      </c>
      <c r="E525" t="s">
        <v>21</v>
      </c>
      <c r="F525">
        <v>310</v>
      </c>
      <c r="G525">
        <v>22</v>
      </c>
      <c r="H525">
        <v>21</v>
      </c>
      <c r="I525">
        <f t="shared" si="50"/>
        <v>311</v>
      </c>
      <c r="J525">
        <v>26</v>
      </c>
      <c r="K525">
        <v>2</v>
      </c>
      <c r="L525" t="str">
        <f t="shared" si="51"/>
        <v>Correct</v>
      </c>
      <c r="M525">
        <f t="shared" si="52"/>
        <v>80.769230769230774</v>
      </c>
      <c r="N525">
        <f t="shared" si="48"/>
        <v>30.931034482758619</v>
      </c>
      <c r="O525">
        <f t="shared" si="53"/>
        <v>10.054626532887402</v>
      </c>
      <c r="P525" t="str">
        <f t="shared" si="49"/>
        <v>Low Stock</v>
      </c>
    </row>
    <row r="526" spans="1:16" hidden="1" x14ac:dyDescent="0.35">
      <c r="A526" s="4">
        <v>46157</v>
      </c>
      <c r="B526" t="s">
        <v>33</v>
      </c>
      <c r="C526" t="s">
        <v>34</v>
      </c>
      <c r="D526" t="s">
        <v>22</v>
      </c>
      <c r="E526" t="s">
        <v>23</v>
      </c>
      <c r="F526">
        <v>410</v>
      </c>
      <c r="G526">
        <v>4</v>
      </c>
      <c r="H526">
        <v>14</v>
      </c>
      <c r="I526">
        <f t="shared" si="50"/>
        <v>400</v>
      </c>
      <c r="J526">
        <v>18</v>
      </c>
      <c r="K526">
        <v>4</v>
      </c>
      <c r="L526" t="str">
        <f t="shared" si="51"/>
        <v>Correct</v>
      </c>
      <c r="M526">
        <f t="shared" si="52"/>
        <v>77.777777777777786</v>
      </c>
      <c r="N526">
        <f t="shared" si="48"/>
        <v>10.25</v>
      </c>
      <c r="O526">
        <f t="shared" si="53"/>
        <v>39.024390243902438</v>
      </c>
      <c r="P526" t="str">
        <f t="shared" si="49"/>
        <v>Overstock</v>
      </c>
    </row>
    <row r="527" spans="1:16" hidden="1" x14ac:dyDescent="0.35">
      <c r="A527" s="4">
        <v>46158</v>
      </c>
      <c r="B527" t="s">
        <v>12</v>
      </c>
      <c r="C527" t="s">
        <v>13</v>
      </c>
      <c r="D527" t="s">
        <v>14</v>
      </c>
      <c r="E527" t="s">
        <v>15</v>
      </c>
      <c r="F527">
        <v>371</v>
      </c>
      <c r="G527">
        <v>56</v>
      </c>
      <c r="H527">
        <v>28</v>
      </c>
      <c r="I527">
        <f t="shared" si="50"/>
        <v>399</v>
      </c>
      <c r="J527">
        <v>37</v>
      </c>
      <c r="K527">
        <v>2</v>
      </c>
      <c r="L527" t="str">
        <f t="shared" si="51"/>
        <v>Correct</v>
      </c>
      <c r="M527">
        <f t="shared" si="52"/>
        <v>75.675675675675677</v>
      </c>
      <c r="N527">
        <f t="shared" si="48"/>
        <v>21.666666666666668</v>
      </c>
      <c r="O527">
        <f t="shared" si="53"/>
        <v>18.415384615384614</v>
      </c>
      <c r="P527" t="str">
        <f t="shared" si="49"/>
        <v>Healthy</v>
      </c>
    </row>
    <row r="528" spans="1:16" hidden="1" x14ac:dyDescent="0.35">
      <c r="A528" s="4">
        <v>46158</v>
      </c>
      <c r="B528" t="s">
        <v>12</v>
      </c>
      <c r="C528" t="s">
        <v>13</v>
      </c>
      <c r="D528" t="s">
        <v>16</v>
      </c>
      <c r="E528" t="s">
        <v>17</v>
      </c>
      <c r="F528">
        <v>304</v>
      </c>
      <c r="G528">
        <v>15</v>
      </c>
      <c r="H528">
        <v>23</v>
      </c>
      <c r="I528">
        <f t="shared" si="50"/>
        <v>296</v>
      </c>
      <c r="J528">
        <v>33</v>
      </c>
      <c r="K528">
        <v>1</v>
      </c>
      <c r="L528" t="str">
        <f t="shared" si="51"/>
        <v>Correct</v>
      </c>
      <c r="M528">
        <f t="shared" si="52"/>
        <v>69.696969696969703</v>
      </c>
      <c r="N528">
        <f t="shared" si="48"/>
        <v>20.030303030303031</v>
      </c>
      <c r="O528">
        <f t="shared" si="53"/>
        <v>14.777609682299545</v>
      </c>
      <c r="P528" t="str">
        <f t="shared" si="49"/>
        <v>Low Stock</v>
      </c>
    </row>
    <row r="529" spans="1:16" x14ac:dyDescent="0.35">
      <c r="A529" s="4">
        <v>46158</v>
      </c>
      <c r="B529" t="s">
        <v>12</v>
      </c>
      <c r="C529" t="s">
        <v>13</v>
      </c>
      <c r="D529" t="s">
        <v>18</v>
      </c>
      <c r="E529" t="s">
        <v>19</v>
      </c>
      <c r="F529">
        <v>177</v>
      </c>
      <c r="G529">
        <v>35</v>
      </c>
      <c r="H529">
        <v>24</v>
      </c>
      <c r="I529">
        <f t="shared" si="50"/>
        <v>188</v>
      </c>
      <c r="J529">
        <v>33</v>
      </c>
      <c r="K529">
        <v>5</v>
      </c>
      <c r="L529" t="str">
        <f t="shared" si="51"/>
        <v>Correct</v>
      </c>
      <c r="M529">
        <f t="shared" si="52"/>
        <v>72.727272727272734</v>
      </c>
      <c r="N529">
        <f t="shared" si="48"/>
        <v>33.34375</v>
      </c>
      <c r="O529">
        <f t="shared" si="53"/>
        <v>5.6382380506091847</v>
      </c>
      <c r="P529" t="str">
        <f t="shared" si="49"/>
        <v>Low Stock</v>
      </c>
    </row>
    <row r="530" spans="1:16" hidden="1" x14ac:dyDescent="0.35">
      <c r="A530" s="4">
        <v>46158</v>
      </c>
      <c r="B530" t="s">
        <v>12</v>
      </c>
      <c r="C530" t="s">
        <v>13</v>
      </c>
      <c r="D530" t="s">
        <v>20</v>
      </c>
      <c r="E530" t="s">
        <v>21</v>
      </c>
      <c r="F530">
        <v>71</v>
      </c>
      <c r="G530">
        <v>19</v>
      </c>
      <c r="H530">
        <v>22</v>
      </c>
      <c r="I530">
        <f t="shared" si="50"/>
        <v>68</v>
      </c>
      <c r="J530">
        <v>29</v>
      </c>
      <c r="K530">
        <v>2</v>
      </c>
      <c r="L530" t="str">
        <f t="shared" si="51"/>
        <v>Correct</v>
      </c>
      <c r="M530">
        <f t="shared" si="52"/>
        <v>75.862068965517238</v>
      </c>
      <c r="N530">
        <f t="shared" si="48"/>
        <v>34.515151515151516</v>
      </c>
      <c r="O530">
        <f t="shared" si="53"/>
        <v>1.9701492537313432</v>
      </c>
      <c r="P530" t="str">
        <f t="shared" si="49"/>
        <v>Low Stock</v>
      </c>
    </row>
    <row r="531" spans="1:16" hidden="1" x14ac:dyDescent="0.35">
      <c r="A531" s="4">
        <v>46158</v>
      </c>
      <c r="B531" t="s">
        <v>12</v>
      </c>
      <c r="C531" t="s">
        <v>13</v>
      </c>
      <c r="D531" t="s">
        <v>22</v>
      </c>
      <c r="E531" t="s">
        <v>23</v>
      </c>
      <c r="F531">
        <v>318</v>
      </c>
      <c r="G531">
        <v>6</v>
      </c>
      <c r="H531">
        <v>10</v>
      </c>
      <c r="I531">
        <f t="shared" si="50"/>
        <v>314</v>
      </c>
      <c r="J531">
        <v>15</v>
      </c>
      <c r="K531">
        <v>5</v>
      </c>
      <c r="L531" t="str">
        <f t="shared" si="51"/>
        <v>Correct</v>
      </c>
      <c r="M531">
        <f t="shared" si="52"/>
        <v>66.666666666666657</v>
      </c>
      <c r="N531">
        <f t="shared" si="48"/>
        <v>9.9032258064516121</v>
      </c>
      <c r="O531">
        <f t="shared" si="53"/>
        <v>31.706840390879481</v>
      </c>
      <c r="P531" t="str">
        <f t="shared" si="49"/>
        <v>Overstock</v>
      </c>
    </row>
    <row r="532" spans="1:16" hidden="1" x14ac:dyDescent="0.35">
      <c r="A532" s="4">
        <v>46158</v>
      </c>
      <c r="B532" t="s">
        <v>12</v>
      </c>
      <c r="C532" t="s">
        <v>24</v>
      </c>
      <c r="D532" t="s">
        <v>14</v>
      </c>
      <c r="E532" t="s">
        <v>15</v>
      </c>
      <c r="F532">
        <v>208</v>
      </c>
      <c r="G532">
        <v>49</v>
      </c>
      <c r="H532">
        <v>19</v>
      </c>
      <c r="I532">
        <f t="shared" si="50"/>
        <v>238</v>
      </c>
      <c r="J532">
        <v>20</v>
      </c>
      <c r="K532">
        <v>3</v>
      </c>
      <c r="L532" t="str">
        <f t="shared" si="51"/>
        <v>Correct</v>
      </c>
      <c r="M532">
        <f t="shared" si="52"/>
        <v>95</v>
      </c>
      <c r="N532">
        <f t="shared" si="48"/>
        <v>21.35483870967742</v>
      </c>
      <c r="O532">
        <f t="shared" si="53"/>
        <v>11.145015105740182</v>
      </c>
      <c r="P532" t="str">
        <f t="shared" si="49"/>
        <v>Low Stock</v>
      </c>
    </row>
    <row r="533" spans="1:16" hidden="1" x14ac:dyDescent="0.35">
      <c r="A533" s="4">
        <v>46158</v>
      </c>
      <c r="B533" t="s">
        <v>12</v>
      </c>
      <c r="C533" t="s">
        <v>24</v>
      </c>
      <c r="D533" t="s">
        <v>16</v>
      </c>
      <c r="E533" t="s">
        <v>17</v>
      </c>
      <c r="F533">
        <v>192</v>
      </c>
      <c r="G533">
        <v>21</v>
      </c>
      <c r="H533">
        <v>25</v>
      </c>
      <c r="I533">
        <f t="shared" si="50"/>
        <v>188</v>
      </c>
      <c r="J533">
        <v>33</v>
      </c>
      <c r="K533">
        <v>4</v>
      </c>
      <c r="L533" t="str">
        <f t="shared" si="51"/>
        <v>Correct</v>
      </c>
      <c r="M533">
        <f t="shared" si="52"/>
        <v>75.757575757575751</v>
      </c>
      <c r="N533">
        <f t="shared" si="48"/>
        <v>21.9</v>
      </c>
      <c r="O533">
        <f t="shared" si="53"/>
        <v>8.5844748858447488</v>
      </c>
      <c r="P533" t="str">
        <f t="shared" si="49"/>
        <v>Low Stock</v>
      </c>
    </row>
    <row r="534" spans="1:16" x14ac:dyDescent="0.35">
      <c r="A534" s="4">
        <v>46158</v>
      </c>
      <c r="B534" t="s">
        <v>12</v>
      </c>
      <c r="C534" t="s">
        <v>24</v>
      </c>
      <c r="D534" t="s">
        <v>18</v>
      </c>
      <c r="E534" t="s">
        <v>19</v>
      </c>
      <c r="F534">
        <v>125</v>
      </c>
      <c r="G534">
        <v>11</v>
      </c>
      <c r="H534">
        <v>15</v>
      </c>
      <c r="I534">
        <f t="shared" si="50"/>
        <v>121</v>
      </c>
      <c r="J534">
        <v>30</v>
      </c>
      <c r="K534">
        <v>4</v>
      </c>
      <c r="L534" t="str">
        <f t="shared" si="51"/>
        <v>Correct</v>
      </c>
      <c r="M534">
        <f t="shared" si="52"/>
        <v>50</v>
      </c>
      <c r="N534">
        <f t="shared" si="48"/>
        <v>31.586206896551722</v>
      </c>
      <c r="O534">
        <f t="shared" si="53"/>
        <v>3.8307860262008737</v>
      </c>
      <c r="P534" t="str">
        <f t="shared" si="49"/>
        <v>Low Stock</v>
      </c>
    </row>
    <row r="535" spans="1:16" hidden="1" x14ac:dyDescent="0.35">
      <c r="A535" s="4">
        <v>46158</v>
      </c>
      <c r="B535" t="s">
        <v>12</v>
      </c>
      <c r="C535" t="s">
        <v>24</v>
      </c>
      <c r="D535" t="s">
        <v>20</v>
      </c>
      <c r="E535" t="s">
        <v>21</v>
      </c>
      <c r="F535">
        <v>3</v>
      </c>
      <c r="G535">
        <v>35</v>
      </c>
      <c r="H535">
        <v>40</v>
      </c>
      <c r="I535">
        <f t="shared" si="50"/>
        <v>-2</v>
      </c>
      <c r="J535">
        <v>50</v>
      </c>
      <c r="K535">
        <v>5</v>
      </c>
      <c r="L535" t="str">
        <f t="shared" si="51"/>
        <v>Need verification</v>
      </c>
      <c r="M535">
        <f t="shared" si="52"/>
        <v>80</v>
      </c>
      <c r="N535">
        <f t="shared" si="48"/>
        <v>34.200000000000003</v>
      </c>
      <c r="O535">
        <f t="shared" si="53"/>
        <v>-5.8479532163742687E-2</v>
      </c>
      <c r="P535" t="str">
        <f t="shared" si="49"/>
        <v>Low Stock</v>
      </c>
    </row>
    <row r="536" spans="1:16" hidden="1" x14ac:dyDescent="0.35">
      <c r="A536" s="4">
        <v>46158</v>
      </c>
      <c r="B536" t="s">
        <v>12</v>
      </c>
      <c r="C536" t="s">
        <v>24</v>
      </c>
      <c r="D536" t="s">
        <v>22</v>
      </c>
      <c r="E536" t="s">
        <v>23</v>
      </c>
      <c r="F536">
        <v>408</v>
      </c>
      <c r="G536">
        <v>2</v>
      </c>
      <c r="H536">
        <v>5</v>
      </c>
      <c r="I536">
        <f t="shared" si="50"/>
        <v>405</v>
      </c>
      <c r="J536">
        <v>7</v>
      </c>
      <c r="K536">
        <v>3</v>
      </c>
      <c r="L536" t="str">
        <f t="shared" si="51"/>
        <v>Correct</v>
      </c>
      <c r="M536">
        <f t="shared" si="52"/>
        <v>71.428571428571431</v>
      </c>
      <c r="N536">
        <f t="shared" si="48"/>
        <v>10.96551724137931</v>
      </c>
      <c r="O536">
        <f t="shared" si="53"/>
        <v>36.933962264150949</v>
      </c>
      <c r="P536" t="str">
        <f t="shared" si="49"/>
        <v>Overstock</v>
      </c>
    </row>
    <row r="537" spans="1:16" hidden="1" x14ac:dyDescent="0.35">
      <c r="A537" s="4">
        <v>46158</v>
      </c>
      <c r="B537" t="s">
        <v>12</v>
      </c>
      <c r="C537" t="s">
        <v>25</v>
      </c>
      <c r="D537" t="s">
        <v>14</v>
      </c>
      <c r="E537" t="s">
        <v>15</v>
      </c>
      <c r="F537">
        <v>258</v>
      </c>
      <c r="G537">
        <v>15</v>
      </c>
      <c r="H537">
        <v>18</v>
      </c>
      <c r="I537">
        <f t="shared" si="50"/>
        <v>255</v>
      </c>
      <c r="J537">
        <v>19</v>
      </c>
      <c r="K537">
        <v>1</v>
      </c>
      <c r="L537" t="str">
        <f t="shared" si="51"/>
        <v>Correct</v>
      </c>
      <c r="M537">
        <f t="shared" si="52"/>
        <v>94.73684210526315</v>
      </c>
      <c r="N537">
        <f t="shared" si="48"/>
        <v>20.7</v>
      </c>
      <c r="O537">
        <f t="shared" si="53"/>
        <v>12.318840579710145</v>
      </c>
      <c r="P537" t="str">
        <f t="shared" si="49"/>
        <v>Low Stock</v>
      </c>
    </row>
    <row r="538" spans="1:16" hidden="1" x14ac:dyDescent="0.35">
      <c r="A538" s="4">
        <v>46158</v>
      </c>
      <c r="B538" t="s">
        <v>12</v>
      </c>
      <c r="C538" t="s">
        <v>25</v>
      </c>
      <c r="D538" t="s">
        <v>16</v>
      </c>
      <c r="E538" t="s">
        <v>17</v>
      </c>
      <c r="F538">
        <v>260</v>
      </c>
      <c r="G538">
        <v>48</v>
      </c>
      <c r="H538">
        <v>34</v>
      </c>
      <c r="I538">
        <f t="shared" si="50"/>
        <v>274</v>
      </c>
      <c r="J538">
        <v>41</v>
      </c>
      <c r="K538">
        <v>5</v>
      </c>
      <c r="L538" t="str">
        <f t="shared" si="51"/>
        <v>Correct</v>
      </c>
      <c r="M538">
        <f t="shared" si="52"/>
        <v>82.926829268292678</v>
      </c>
      <c r="N538">
        <f t="shared" si="48"/>
        <v>23.758620689655171</v>
      </c>
      <c r="O538">
        <f t="shared" si="53"/>
        <v>11.532656023222062</v>
      </c>
      <c r="P538" t="str">
        <f t="shared" si="49"/>
        <v>Low Stock</v>
      </c>
    </row>
    <row r="539" spans="1:16" x14ac:dyDescent="0.35">
      <c r="A539" s="4">
        <v>46158</v>
      </c>
      <c r="B539" t="s">
        <v>12</v>
      </c>
      <c r="C539" t="s">
        <v>25</v>
      </c>
      <c r="D539" t="s">
        <v>18</v>
      </c>
      <c r="E539" t="s">
        <v>19</v>
      </c>
      <c r="F539">
        <v>196</v>
      </c>
      <c r="G539">
        <v>10</v>
      </c>
      <c r="H539">
        <v>41</v>
      </c>
      <c r="I539">
        <f t="shared" si="50"/>
        <v>165</v>
      </c>
      <c r="J539">
        <v>54</v>
      </c>
      <c r="K539">
        <v>5</v>
      </c>
      <c r="L539" t="str">
        <f t="shared" si="51"/>
        <v>Correct</v>
      </c>
      <c r="M539">
        <f t="shared" si="52"/>
        <v>75.925925925925924</v>
      </c>
      <c r="N539">
        <f t="shared" si="48"/>
        <v>31.142857142857142</v>
      </c>
      <c r="O539">
        <f t="shared" si="53"/>
        <v>5.2981651376146788</v>
      </c>
      <c r="P539" t="str">
        <f t="shared" si="49"/>
        <v>Low Stock</v>
      </c>
    </row>
    <row r="540" spans="1:16" hidden="1" x14ac:dyDescent="0.35">
      <c r="A540" s="4">
        <v>46158</v>
      </c>
      <c r="B540" t="s">
        <v>12</v>
      </c>
      <c r="C540" t="s">
        <v>25</v>
      </c>
      <c r="D540" t="s">
        <v>20</v>
      </c>
      <c r="E540" t="s">
        <v>21</v>
      </c>
      <c r="F540">
        <v>204</v>
      </c>
      <c r="G540">
        <v>23</v>
      </c>
      <c r="H540">
        <v>36</v>
      </c>
      <c r="I540">
        <f t="shared" si="50"/>
        <v>191</v>
      </c>
      <c r="J540">
        <v>49</v>
      </c>
      <c r="K540">
        <v>4</v>
      </c>
      <c r="L540" t="str">
        <f t="shared" si="51"/>
        <v>Correct</v>
      </c>
      <c r="M540">
        <f t="shared" si="52"/>
        <v>73.469387755102048</v>
      </c>
      <c r="N540">
        <f t="shared" si="48"/>
        <v>31.137931034482758</v>
      </c>
      <c r="O540">
        <f t="shared" si="53"/>
        <v>6.1339977851605756</v>
      </c>
      <c r="P540" t="str">
        <f t="shared" si="49"/>
        <v>Low Stock</v>
      </c>
    </row>
    <row r="541" spans="1:16" hidden="1" x14ac:dyDescent="0.35">
      <c r="A541" s="4">
        <v>46158</v>
      </c>
      <c r="B541" t="s">
        <v>12</v>
      </c>
      <c r="C541" t="s">
        <v>25</v>
      </c>
      <c r="D541" t="s">
        <v>22</v>
      </c>
      <c r="E541" t="s">
        <v>23</v>
      </c>
      <c r="F541">
        <v>417</v>
      </c>
      <c r="G541">
        <v>38</v>
      </c>
      <c r="H541">
        <v>30</v>
      </c>
      <c r="I541">
        <f t="shared" si="50"/>
        <v>425</v>
      </c>
      <c r="J541">
        <v>19</v>
      </c>
      <c r="K541">
        <v>2</v>
      </c>
      <c r="L541" t="str">
        <f t="shared" si="51"/>
        <v>Correct</v>
      </c>
      <c r="M541">
        <f t="shared" si="52"/>
        <v>157.89473684210526</v>
      </c>
      <c r="N541">
        <f t="shared" si="48"/>
        <v>11.3</v>
      </c>
      <c r="O541">
        <f t="shared" si="53"/>
        <v>37.610619469026545</v>
      </c>
      <c r="P541" t="str">
        <f t="shared" si="49"/>
        <v>Overstock</v>
      </c>
    </row>
    <row r="542" spans="1:16" hidden="1" x14ac:dyDescent="0.35">
      <c r="A542" s="4">
        <v>46158</v>
      </c>
      <c r="B542" t="s">
        <v>26</v>
      </c>
      <c r="C542" t="s">
        <v>27</v>
      </c>
      <c r="D542" t="s">
        <v>14</v>
      </c>
      <c r="E542" t="s">
        <v>15</v>
      </c>
      <c r="F542">
        <v>423</v>
      </c>
      <c r="G542">
        <v>14</v>
      </c>
      <c r="H542">
        <v>16</v>
      </c>
      <c r="I542">
        <f t="shared" si="50"/>
        <v>421</v>
      </c>
      <c r="J542">
        <v>31</v>
      </c>
      <c r="K542">
        <v>2</v>
      </c>
      <c r="L542" t="str">
        <f t="shared" si="51"/>
        <v>Correct</v>
      </c>
      <c r="M542">
        <f t="shared" si="52"/>
        <v>51.612903225806448</v>
      </c>
      <c r="N542">
        <f t="shared" si="48"/>
        <v>22.258064516129032</v>
      </c>
      <c r="O542">
        <f t="shared" si="53"/>
        <v>18.91449275362319</v>
      </c>
      <c r="P542" t="str">
        <f t="shared" si="49"/>
        <v>Healthy</v>
      </c>
    </row>
    <row r="543" spans="1:16" hidden="1" x14ac:dyDescent="0.35">
      <c r="A543" s="4">
        <v>46158</v>
      </c>
      <c r="B543" t="s">
        <v>26</v>
      </c>
      <c r="C543" t="s">
        <v>27</v>
      </c>
      <c r="D543" t="s">
        <v>16</v>
      </c>
      <c r="E543" t="s">
        <v>17</v>
      </c>
      <c r="F543">
        <v>264</v>
      </c>
      <c r="G543">
        <v>5</v>
      </c>
      <c r="H543">
        <v>17</v>
      </c>
      <c r="I543">
        <f t="shared" si="50"/>
        <v>252</v>
      </c>
      <c r="J543">
        <v>26</v>
      </c>
      <c r="K543">
        <v>3</v>
      </c>
      <c r="L543" t="str">
        <f t="shared" si="51"/>
        <v>Correct</v>
      </c>
      <c r="M543">
        <f t="shared" si="52"/>
        <v>65.384615384615387</v>
      </c>
      <c r="N543">
        <f t="shared" si="48"/>
        <v>20.172413793103448</v>
      </c>
      <c r="O543">
        <f t="shared" si="53"/>
        <v>12.492307692307692</v>
      </c>
      <c r="P543" t="str">
        <f t="shared" si="49"/>
        <v>Low Stock</v>
      </c>
    </row>
    <row r="544" spans="1:16" x14ac:dyDescent="0.35">
      <c r="A544" s="4">
        <v>46158</v>
      </c>
      <c r="B544" t="s">
        <v>26</v>
      </c>
      <c r="C544" t="s">
        <v>27</v>
      </c>
      <c r="D544" t="s">
        <v>18</v>
      </c>
      <c r="E544" t="s">
        <v>19</v>
      </c>
      <c r="F544">
        <v>182</v>
      </c>
      <c r="G544">
        <v>21</v>
      </c>
      <c r="H544">
        <v>44</v>
      </c>
      <c r="I544">
        <f t="shared" si="50"/>
        <v>159</v>
      </c>
      <c r="J544">
        <v>58</v>
      </c>
      <c r="K544">
        <v>3</v>
      </c>
      <c r="L544" t="str">
        <f t="shared" si="51"/>
        <v>Correct</v>
      </c>
      <c r="M544">
        <f t="shared" si="52"/>
        <v>75.862068965517238</v>
      </c>
      <c r="N544">
        <f t="shared" si="48"/>
        <v>29.733333333333334</v>
      </c>
      <c r="O544">
        <f t="shared" si="53"/>
        <v>5.3475336322869955</v>
      </c>
      <c r="P544" t="str">
        <f t="shared" si="49"/>
        <v>Low Stock</v>
      </c>
    </row>
    <row r="545" spans="1:16" hidden="1" x14ac:dyDescent="0.35">
      <c r="A545" s="4">
        <v>46158</v>
      </c>
      <c r="B545" t="s">
        <v>26</v>
      </c>
      <c r="C545" t="s">
        <v>27</v>
      </c>
      <c r="D545" t="s">
        <v>20</v>
      </c>
      <c r="E545" t="s">
        <v>21</v>
      </c>
      <c r="F545">
        <v>282</v>
      </c>
      <c r="G545">
        <v>54</v>
      </c>
      <c r="H545">
        <v>21</v>
      </c>
      <c r="I545">
        <f t="shared" si="50"/>
        <v>315</v>
      </c>
      <c r="J545">
        <v>32</v>
      </c>
      <c r="K545">
        <v>5</v>
      </c>
      <c r="L545" t="str">
        <f t="shared" si="51"/>
        <v>Correct</v>
      </c>
      <c r="M545">
        <f t="shared" si="52"/>
        <v>65.625</v>
      </c>
      <c r="N545">
        <f t="shared" si="48"/>
        <v>30.724137931034484</v>
      </c>
      <c r="O545">
        <f t="shared" si="53"/>
        <v>10.252525252525253</v>
      </c>
      <c r="P545" t="str">
        <f t="shared" si="49"/>
        <v>Low Stock</v>
      </c>
    </row>
    <row r="546" spans="1:16" hidden="1" x14ac:dyDescent="0.35">
      <c r="A546" s="4">
        <v>46158</v>
      </c>
      <c r="B546" t="s">
        <v>26</v>
      </c>
      <c r="C546" t="s">
        <v>27</v>
      </c>
      <c r="D546" t="s">
        <v>22</v>
      </c>
      <c r="E546" t="s">
        <v>23</v>
      </c>
      <c r="F546">
        <v>342</v>
      </c>
      <c r="G546">
        <v>5</v>
      </c>
      <c r="H546">
        <v>12</v>
      </c>
      <c r="I546">
        <f t="shared" si="50"/>
        <v>335</v>
      </c>
      <c r="J546">
        <v>15</v>
      </c>
      <c r="K546">
        <v>5</v>
      </c>
      <c r="L546" t="str">
        <f t="shared" si="51"/>
        <v>Correct</v>
      </c>
      <c r="M546">
        <f t="shared" si="52"/>
        <v>80</v>
      </c>
      <c r="N546">
        <f t="shared" si="48"/>
        <v>11.566666666666666</v>
      </c>
      <c r="O546">
        <f t="shared" si="53"/>
        <v>28.962536023054756</v>
      </c>
      <c r="P546" t="str">
        <f t="shared" si="49"/>
        <v>Healthy</v>
      </c>
    </row>
    <row r="547" spans="1:16" hidden="1" x14ac:dyDescent="0.35">
      <c r="A547" s="4">
        <v>46158</v>
      </c>
      <c r="B547" t="s">
        <v>28</v>
      </c>
      <c r="C547" t="s">
        <v>29</v>
      </c>
      <c r="D547" t="s">
        <v>14</v>
      </c>
      <c r="E547" t="s">
        <v>15</v>
      </c>
      <c r="F547">
        <v>286</v>
      </c>
      <c r="G547">
        <v>26</v>
      </c>
      <c r="H547">
        <v>14</v>
      </c>
      <c r="I547">
        <f t="shared" si="50"/>
        <v>298</v>
      </c>
      <c r="J547">
        <v>14</v>
      </c>
      <c r="K547">
        <v>3</v>
      </c>
      <c r="L547" t="str">
        <f t="shared" si="51"/>
        <v>Correct</v>
      </c>
      <c r="M547">
        <f t="shared" si="52"/>
        <v>100</v>
      </c>
      <c r="N547">
        <f t="shared" si="48"/>
        <v>22.25</v>
      </c>
      <c r="O547">
        <f t="shared" si="53"/>
        <v>13.393258426966293</v>
      </c>
      <c r="P547" t="str">
        <f t="shared" si="49"/>
        <v>Low Stock</v>
      </c>
    </row>
    <row r="548" spans="1:16" hidden="1" x14ac:dyDescent="0.35">
      <c r="A548" s="4">
        <v>46158</v>
      </c>
      <c r="B548" t="s">
        <v>28</v>
      </c>
      <c r="C548" t="s">
        <v>29</v>
      </c>
      <c r="D548" t="s">
        <v>16</v>
      </c>
      <c r="E548" t="s">
        <v>17</v>
      </c>
      <c r="F548">
        <v>249</v>
      </c>
      <c r="G548">
        <v>56</v>
      </c>
      <c r="H548">
        <v>11</v>
      </c>
      <c r="I548">
        <f t="shared" si="50"/>
        <v>294</v>
      </c>
      <c r="J548">
        <v>17</v>
      </c>
      <c r="K548">
        <v>5</v>
      </c>
      <c r="L548" t="str">
        <f t="shared" si="51"/>
        <v>Correct</v>
      </c>
      <c r="M548">
        <f t="shared" si="52"/>
        <v>64.705882352941174</v>
      </c>
      <c r="N548">
        <f t="shared" si="48"/>
        <v>19.96551724137931</v>
      </c>
      <c r="O548">
        <f t="shared" si="53"/>
        <v>14.72538860103627</v>
      </c>
      <c r="P548" t="str">
        <f t="shared" si="49"/>
        <v>Low Stock</v>
      </c>
    </row>
    <row r="549" spans="1:16" x14ac:dyDescent="0.35">
      <c r="A549" s="4">
        <v>46158</v>
      </c>
      <c r="B549" t="s">
        <v>28</v>
      </c>
      <c r="C549" t="s">
        <v>29</v>
      </c>
      <c r="D549" t="s">
        <v>18</v>
      </c>
      <c r="E549" t="s">
        <v>19</v>
      </c>
      <c r="F549">
        <v>60</v>
      </c>
      <c r="G549">
        <v>58</v>
      </c>
      <c r="H549">
        <v>20</v>
      </c>
      <c r="I549">
        <f t="shared" si="50"/>
        <v>98</v>
      </c>
      <c r="J549">
        <v>35</v>
      </c>
      <c r="K549">
        <v>4</v>
      </c>
      <c r="L549" t="str">
        <f t="shared" si="51"/>
        <v>Correct</v>
      </c>
      <c r="M549">
        <f t="shared" si="52"/>
        <v>57.142857142857139</v>
      </c>
      <c r="N549">
        <f t="shared" si="48"/>
        <v>31.206896551724139</v>
      </c>
      <c r="O549">
        <f t="shared" si="53"/>
        <v>3.1403314917127072</v>
      </c>
      <c r="P549" t="str">
        <f t="shared" si="49"/>
        <v>Low Stock</v>
      </c>
    </row>
    <row r="550" spans="1:16" hidden="1" x14ac:dyDescent="0.35">
      <c r="A550" s="4">
        <v>46158</v>
      </c>
      <c r="B550" t="s">
        <v>28</v>
      </c>
      <c r="C550" t="s">
        <v>29</v>
      </c>
      <c r="D550" t="s">
        <v>20</v>
      </c>
      <c r="E550" t="s">
        <v>21</v>
      </c>
      <c r="F550">
        <v>50</v>
      </c>
      <c r="G550">
        <v>6</v>
      </c>
      <c r="H550">
        <v>19</v>
      </c>
      <c r="I550">
        <f t="shared" si="50"/>
        <v>37</v>
      </c>
      <c r="J550">
        <v>27</v>
      </c>
      <c r="K550">
        <v>5</v>
      </c>
      <c r="L550" t="str">
        <f t="shared" si="51"/>
        <v>Correct</v>
      </c>
      <c r="M550">
        <f t="shared" si="52"/>
        <v>70.370370370370367</v>
      </c>
      <c r="N550">
        <f t="shared" si="48"/>
        <v>32.620689655172413</v>
      </c>
      <c r="O550">
        <f t="shared" si="53"/>
        <v>1.1342494714587739</v>
      </c>
      <c r="P550" t="str">
        <f t="shared" si="49"/>
        <v>Low Stock</v>
      </c>
    </row>
    <row r="551" spans="1:16" hidden="1" x14ac:dyDescent="0.35">
      <c r="A551" s="4">
        <v>46158</v>
      </c>
      <c r="B551" t="s">
        <v>28</v>
      </c>
      <c r="C551" t="s">
        <v>29</v>
      </c>
      <c r="D551" t="s">
        <v>22</v>
      </c>
      <c r="E551" t="s">
        <v>23</v>
      </c>
      <c r="F551">
        <v>551</v>
      </c>
      <c r="G551">
        <v>46</v>
      </c>
      <c r="H551">
        <v>16</v>
      </c>
      <c r="I551">
        <f t="shared" si="50"/>
        <v>581</v>
      </c>
      <c r="J551">
        <v>26</v>
      </c>
      <c r="K551">
        <v>5</v>
      </c>
      <c r="L551" t="str">
        <f t="shared" si="51"/>
        <v>Correct</v>
      </c>
      <c r="M551">
        <f t="shared" si="52"/>
        <v>61.53846153846154</v>
      </c>
      <c r="N551">
        <f t="shared" si="48"/>
        <v>11.678571428571429</v>
      </c>
      <c r="O551">
        <f t="shared" si="53"/>
        <v>49.749235474006113</v>
      </c>
      <c r="P551" t="str">
        <f t="shared" si="49"/>
        <v>Overstock</v>
      </c>
    </row>
    <row r="552" spans="1:16" hidden="1" x14ac:dyDescent="0.35">
      <c r="A552" s="4">
        <v>46158</v>
      </c>
      <c r="B552" t="s">
        <v>31</v>
      </c>
      <c r="C552" t="s">
        <v>32</v>
      </c>
      <c r="D552" t="s">
        <v>14</v>
      </c>
      <c r="E552" t="s">
        <v>15</v>
      </c>
      <c r="F552">
        <v>271</v>
      </c>
      <c r="G552">
        <v>52</v>
      </c>
      <c r="H552">
        <v>9</v>
      </c>
      <c r="I552">
        <f t="shared" si="50"/>
        <v>314</v>
      </c>
      <c r="J552">
        <v>14</v>
      </c>
      <c r="K552">
        <v>5</v>
      </c>
      <c r="L552" t="str">
        <f t="shared" si="51"/>
        <v>Correct</v>
      </c>
      <c r="M552">
        <f t="shared" si="52"/>
        <v>64.285714285714292</v>
      </c>
      <c r="N552">
        <f t="shared" si="48"/>
        <v>20.84375</v>
      </c>
      <c r="O552">
        <f t="shared" si="53"/>
        <v>15.064467766116941</v>
      </c>
      <c r="P552" t="str">
        <f t="shared" si="49"/>
        <v>Healthy</v>
      </c>
    </row>
    <row r="553" spans="1:16" hidden="1" x14ac:dyDescent="0.35">
      <c r="A553" s="4">
        <v>46158</v>
      </c>
      <c r="B553" t="s">
        <v>31</v>
      </c>
      <c r="C553" t="s">
        <v>32</v>
      </c>
      <c r="D553" t="s">
        <v>16</v>
      </c>
      <c r="E553" t="s">
        <v>17</v>
      </c>
      <c r="F553">
        <v>297</v>
      </c>
      <c r="G553">
        <v>36</v>
      </c>
      <c r="H553">
        <v>17</v>
      </c>
      <c r="I553">
        <f t="shared" si="50"/>
        <v>316</v>
      </c>
      <c r="J553">
        <v>32</v>
      </c>
      <c r="K553">
        <v>2</v>
      </c>
      <c r="L553" t="str">
        <f t="shared" si="51"/>
        <v>Correct</v>
      </c>
      <c r="M553">
        <f t="shared" si="52"/>
        <v>53.125</v>
      </c>
      <c r="N553">
        <f t="shared" si="48"/>
        <v>21.46875</v>
      </c>
      <c r="O553">
        <f t="shared" si="53"/>
        <v>14.719068413391557</v>
      </c>
      <c r="P553" t="str">
        <f t="shared" si="49"/>
        <v>Low Stock</v>
      </c>
    </row>
    <row r="554" spans="1:16" x14ac:dyDescent="0.35">
      <c r="A554" s="4">
        <v>46158</v>
      </c>
      <c r="B554" t="s">
        <v>31</v>
      </c>
      <c r="C554" t="s">
        <v>32</v>
      </c>
      <c r="D554" t="s">
        <v>18</v>
      </c>
      <c r="E554" t="s">
        <v>19</v>
      </c>
      <c r="F554">
        <v>104</v>
      </c>
      <c r="G554">
        <v>5</v>
      </c>
      <c r="H554">
        <v>21</v>
      </c>
      <c r="I554">
        <f t="shared" si="50"/>
        <v>88</v>
      </c>
      <c r="J554">
        <v>25</v>
      </c>
      <c r="K554">
        <v>5</v>
      </c>
      <c r="L554" t="str">
        <f t="shared" si="51"/>
        <v>Correct</v>
      </c>
      <c r="M554">
        <f t="shared" si="52"/>
        <v>84</v>
      </c>
      <c r="N554">
        <f t="shared" si="48"/>
        <v>30.586206896551722</v>
      </c>
      <c r="O554">
        <f t="shared" si="53"/>
        <v>2.8771138669673055</v>
      </c>
      <c r="P554" t="str">
        <f t="shared" si="49"/>
        <v>Low Stock</v>
      </c>
    </row>
    <row r="555" spans="1:16" hidden="1" x14ac:dyDescent="0.35">
      <c r="A555" s="4">
        <v>46158</v>
      </c>
      <c r="B555" t="s">
        <v>31</v>
      </c>
      <c r="C555" t="s">
        <v>32</v>
      </c>
      <c r="D555" t="s">
        <v>20</v>
      </c>
      <c r="E555" t="s">
        <v>21</v>
      </c>
      <c r="F555">
        <v>124</v>
      </c>
      <c r="G555">
        <v>59</v>
      </c>
      <c r="H555">
        <v>45</v>
      </c>
      <c r="I555">
        <f t="shared" si="50"/>
        <v>138</v>
      </c>
      <c r="J555">
        <v>49</v>
      </c>
      <c r="K555">
        <v>2</v>
      </c>
      <c r="L555" t="str">
        <f t="shared" si="51"/>
        <v>Correct</v>
      </c>
      <c r="M555">
        <f t="shared" si="52"/>
        <v>91.83673469387756</v>
      </c>
      <c r="N555">
        <f t="shared" si="48"/>
        <v>32.299999999999997</v>
      </c>
      <c r="O555">
        <f t="shared" si="53"/>
        <v>4.272445820433437</v>
      </c>
      <c r="P555" t="str">
        <f t="shared" si="49"/>
        <v>Low Stock</v>
      </c>
    </row>
    <row r="556" spans="1:16" hidden="1" x14ac:dyDescent="0.35">
      <c r="A556" s="4">
        <v>46158</v>
      </c>
      <c r="B556" t="s">
        <v>31</v>
      </c>
      <c r="C556" t="s">
        <v>32</v>
      </c>
      <c r="D556" t="s">
        <v>22</v>
      </c>
      <c r="E556" t="s">
        <v>23</v>
      </c>
      <c r="F556">
        <v>622</v>
      </c>
      <c r="G556">
        <v>42</v>
      </c>
      <c r="H556">
        <v>12</v>
      </c>
      <c r="I556">
        <f t="shared" si="50"/>
        <v>652</v>
      </c>
      <c r="J556">
        <v>17</v>
      </c>
      <c r="K556">
        <v>2</v>
      </c>
      <c r="L556" t="str">
        <f t="shared" si="51"/>
        <v>Correct</v>
      </c>
      <c r="M556">
        <f t="shared" si="52"/>
        <v>70.588235294117652</v>
      </c>
      <c r="N556">
        <f t="shared" si="48"/>
        <v>10.413793103448276</v>
      </c>
      <c r="O556">
        <f t="shared" si="53"/>
        <v>62.609271523178805</v>
      </c>
      <c r="P556" t="str">
        <f t="shared" si="49"/>
        <v>Overstock</v>
      </c>
    </row>
    <row r="557" spans="1:16" hidden="1" x14ac:dyDescent="0.35">
      <c r="A557" s="4">
        <v>46158</v>
      </c>
      <c r="B557" t="s">
        <v>33</v>
      </c>
      <c r="C557" t="s">
        <v>34</v>
      </c>
      <c r="D557" t="s">
        <v>14</v>
      </c>
      <c r="E557" t="s">
        <v>15</v>
      </c>
      <c r="F557">
        <v>188</v>
      </c>
      <c r="G557">
        <v>33</v>
      </c>
      <c r="H557">
        <v>12</v>
      </c>
      <c r="I557">
        <f t="shared" si="50"/>
        <v>209</v>
      </c>
      <c r="J557">
        <v>23</v>
      </c>
      <c r="K557">
        <v>3</v>
      </c>
      <c r="L557" t="str">
        <f t="shared" si="51"/>
        <v>Correct</v>
      </c>
      <c r="M557">
        <f t="shared" si="52"/>
        <v>52.173913043478258</v>
      </c>
      <c r="N557">
        <f t="shared" si="48"/>
        <v>20.70967741935484</v>
      </c>
      <c r="O557">
        <f t="shared" si="53"/>
        <v>10.09190031152648</v>
      </c>
      <c r="P557" t="str">
        <f t="shared" si="49"/>
        <v>Low Stock</v>
      </c>
    </row>
    <row r="558" spans="1:16" hidden="1" x14ac:dyDescent="0.35">
      <c r="A558" s="4">
        <v>46158</v>
      </c>
      <c r="B558" t="s">
        <v>33</v>
      </c>
      <c r="C558" t="s">
        <v>34</v>
      </c>
      <c r="D558" t="s">
        <v>16</v>
      </c>
      <c r="E558" t="s">
        <v>17</v>
      </c>
      <c r="F558">
        <v>267</v>
      </c>
      <c r="G558">
        <v>7</v>
      </c>
      <c r="H558">
        <v>15</v>
      </c>
      <c r="I558">
        <f t="shared" si="50"/>
        <v>259</v>
      </c>
      <c r="J558">
        <v>18</v>
      </c>
      <c r="K558">
        <v>1</v>
      </c>
      <c r="L558" t="str">
        <f t="shared" si="51"/>
        <v>Correct</v>
      </c>
      <c r="M558">
        <f t="shared" si="52"/>
        <v>83.333333333333343</v>
      </c>
      <c r="N558">
        <f t="shared" si="48"/>
        <v>22.142857142857142</v>
      </c>
      <c r="O558">
        <f t="shared" si="53"/>
        <v>11.696774193548388</v>
      </c>
      <c r="P558" t="str">
        <f t="shared" si="49"/>
        <v>Low Stock</v>
      </c>
    </row>
    <row r="559" spans="1:16" x14ac:dyDescent="0.35">
      <c r="A559" s="4">
        <v>46158</v>
      </c>
      <c r="B559" t="s">
        <v>33</v>
      </c>
      <c r="C559" t="s">
        <v>34</v>
      </c>
      <c r="D559" t="s">
        <v>18</v>
      </c>
      <c r="E559" t="s">
        <v>19</v>
      </c>
      <c r="F559">
        <v>183</v>
      </c>
      <c r="G559">
        <v>53</v>
      </c>
      <c r="H559">
        <v>35</v>
      </c>
      <c r="I559">
        <f t="shared" si="50"/>
        <v>201</v>
      </c>
      <c r="J559">
        <v>40</v>
      </c>
      <c r="K559">
        <v>4</v>
      </c>
      <c r="L559" t="str">
        <f t="shared" si="51"/>
        <v>Correct</v>
      </c>
      <c r="M559">
        <f t="shared" si="52"/>
        <v>87.5</v>
      </c>
      <c r="N559">
        <f t="shared" si="48"/>
        <v>30.275862068965516</v>
      </c>
      <c r="O559">
        <f t="shared" si="53"/>
        <v>6.6389521640091118</v>
      </c>
      <c r="P559" t="str">
        <f t="shared" si="49"/>
        <v>Low Stock</v>
      </c>
    </row>
    <row r="560" spans="1:16" hidden="1" x14ac:dyDescent="0.35">
      <c r="A560" s="4">
        <v>46158</v>
      </c>
      <c r="B560" t="s">
        <v>33</v>
      </c>
      <c r="C560" t="s">
        <v>34</v>
      </c>
      <c r="D560" t="s">
        <v>20</v>
      </c>
      <c r="E560" t="s">
        <v>21</v>
      </c>
      <c r="F560">
        <v>311</v>
      </c>
      <c r="G560">
        <v>52</v>
      </c>
      <c r="H560">
        <v>29</v>
      </c>
      <c r="I560">
        <f t="shared" si="50"/>
        <v>334</v>
      </c>
      <c r="J560">
        <v>34</v>
      </c>
      <c r="K560">
        <v>5</v>
      </c>
      <c r="L560" t="str">
        <f t="shared" si="51"/>
        <v>Correct</v>
      </c>
      <c r="M560">
        <f t="shared" si="52"/>
        <v>85.294117647058826</v>
      </c>
      <c r="N560">
        <f t="shared" si="48"/>
        <v>30.931034482758619</v>
      </c>
      <c r="O560">
        <f t="shared" si="53"/>
        <v>10.798216276477147</v>
      </c>
      <c r="P560" t="str">
        <f t="shared" si="49"/>
        <v>Low Stock</v>
      </c>
    </row>
    <row r="561" spans="1:16" hidden="1" x14ac:dyDescent="0.35">
      <c r="A561" s="4">
        <v>46158</v>
      </c>
      <c r="B561" t="s">
        <v>33</v>
      </c>
      <c r="C561" t="s">
        <v>34</v>
      </c>
      <c r="D561" t="s">
        <v>22</v>
      </c>
      <c r="E561" t="s">
        <v>23</v>
      </c>
      <c r="F561">
        <v>400</v>
      </c>
      <c r="G561">
        <v>42</v>
      </c>
      <c r="H561">
        <v>18</v>
      </c>
      <c r="I561">
        <f t="shared" si="50"/>
        <v>424</v>
      </c>
      <c r="J561">
        <v>18</v>
      </c>
      <c r="K561">
        <v>1</v>
      </c>
      <c r="L561" t="str">
        <f t="shared" si="51"/>
        <v>Correct</v>
      </c>
      <c r="M561">
        <f t="shared" si="52"/>
        <v>100</v>
      </c>
      <c r="N561">
        <f t="shared" si="48"/>
        <v>10.25</v>
      </c>
      <c r="O561">
        <f t="shared" si="53"/>
        <v>41.365853658536587</v>
      </c>
      <c r="P561" t="str">
        <f t="shared" si="49"/>
        <v>Overstock</v>
      </c>
    </row>
    <row r="562" spans="1:16" hidden="1" x14ac:dyDescent="0.35">
      <c r="A562" s="4">
        <v>46159</v>
      </c>
      <c r="B562" t="s">
        <v>12</v>
      </c>
      <c r="C562" t="s">
        <v>13</v>
      </c>
      <c r="D562" t="s">
        <v>14</v>
      </c>
      <c r="E562" t="s">
        <v>15</v>
      </c>
      <c r="F562">
        <v>399</v>
      </c>
      <c r="G562">
        <v>58</v>
      </c>
      <c r="H562">
        <v>21</v>
      </c>
      <c r="I562">
        <f t="shared" si="50"/>
        <v>436</v>
      </c>
      <c r="J562">
        <v>28</v>
      </c>
      <c r="K562">
        <v>5</v>
      </c>
      <c r="L562" t="str">
        <f t="shared" si="51"/>
        <v>Correct</v>
      </c>
      <c r="M562">
        <f t="shared" si="52"/>
        <v>75</v>
      </c>
      <c r="N562">
        <f t="shared" si="48"/>
        <v>21.666666666666668</v>
      </c>
      <c r="O562">
        <f t="shared" si="53"/>
        <v>20.123076923076923</v>
      </c>
      <c r="P562" t="str">
        <f t="shared" si="49"/>
        <v>Healthy</v>
      </c>
    </row>
    <row r="563" spans="1:16" hidden="1" x14ac:dyDescent="0.35">
      <c r="A563" s="4">
        <v>46159</v>
      </c>
      <c r="B563" t="s">
        <v>12</v>
      </c>
      <c r="C563" t="s">
        <v>13</v>
      </c>
      <c r="D563" t="s">
        <v>16</v>
      </c>
      <c r="E563" t="s">
        <v>17</v>
      </c>
      <c r="F563">
        <v>296</v>
      </c>
      <c r="G563">
        <v>13</v>
      </c>
      <c r="H563">
        <v>19</v>
      </c>
      <c r="I563">
        <f t="shared" si="50"/>
        <v>290</v>
      </c>
      <c r="J563">
        <v>20</v>
      </c>
      <c r="K563">
        <v>3</v>
      </c>
      <c r="L563" t="str">
        <f t="shared" si="51"/>
        <v>Correct</v>
      </c>
      <c r="M563">
        <f t="shared" si="52"/>
        <v>95</v>
      </c>
      <c r="N563">
        <f t="shared" si="48"/>
        <v>20.030303030303031</v>
      </c>
      <c r="O563">
        <f t="shared" si="53"/>
        <v>14.478063540090771</v>
      </c>
      <c r="P563" t="str">
        <f t="shared" si="49"/>
        <v>Low Stock</v>
      </c>
    </row>
    <row r="564" spans="1:16" x14ac:dyDescent="0.35">
      <c r="A564" s="4">
        <v>46159</v>
      </c>
      <c r="B564" t="s">
        <v>12</v>
      </c>
      <c r="C564" t="s">
        <v>13</v>
      </c>
      <c r="D564" t="s">
        <v>18</v>
      </c>
      <c r="E564" t="s">
        <v>19</v>
      </c>
      <c r="F564">
        <v>188</v>
      </c>
      <c r="G564">
        <v>26</v>
      </c>
      <c r="H564">
        <v>15</v>
      </c>
      <c r="I564">
        <f t="shared" si="50"/>
        <v>199</v>
      </c>
      <c r="J564">
        <v>16</v>
      </c>
      <c r="K564">
        <v>4</v>
      </c>
      <c r="L564" t="str">
        <f t="shared" si="51"/>
        <v>Correct</v>
      </c>
      <c r="M564">
        <f t="shared" si="52"/>
        <v>93.75</v>
      </c>
      <c r="N564">
        <f t="shared" si="48"/>
        <v>33.34375</v>
      </c>
      <c r="O564">
        <f t="shared" si="53"/>
        <v>5.9681349578256793</v>
      </c>
      <c r="P564" t="str">
        <f t="shared" si="49"/>
        <v>Low Stock</v>
      </c>
    </row>
    <row r="565" spans="1:16" hidden="1" x14ac:dyDescent="0.35">
      <c r="A565" s="4">
        <v>46159</v>
      </c>
      <c r="B565" t="s">
        <v>12</v>
      </c>
      <c r="C565" t="s">
        <v>13</v>
      </c>
      <c r="D565" t="s">
        <v>20</v>
      </c>
      <c r="E565" t="s">
        <v>21</v>
      </c>
      <c r="F565">
        <v>68</v>
      </c>
      <c r="G565">
        <v>1</v>
      </c>
      <c r="H565">
        <v>29</v>
      </c>
      <c r="I565">
        <f t="shared" si="50"/>
        <v>40</v>
      </c>
      <c r="J565">
        <v>36</v>
      </c>
      <c r="K565">
        <v>5</v>
      </c>
      <c r="L565" t="str">
        <f t="shared" si="51"/>
        <v>Correct</v>
      </c>
      <c r="M565">
        <f t="shared" si="52"/>
        <v>80.555555555555557</v>
      </c>
      <c r="N565">
        <f t="shared" si="48"/>
        <v>34.515151515151516</v>
      </c>
      <c r="O565">
        <f t="shared" si="53"/>
        <v>1.1589113257243195</v>
      </c>
      <c r="P565" t="str">
        <f t="shared" si="49"/>
        <v>Low Stock</v>
      </c>
    </row>
    <row r="566" spans="1:16" hidden="1" x14ac:dyDescent="0.35">
      <c r="A566" s="4">
        <v>46159</v>
      </c>
      <c r="B566" t="s">
        <v>12</v>
      </c>
      <c r="C566" t="s">
        <v>13</v>
      </c>
      <c r="D566" t="s">
        <v>22</v>
      </c>
      <c r="E566" t="s">
        <v>23</v>
      </c>
      <c r="F566">
        <v>314</v>
      </c>
      <c r="G566">
        <v>33</v>
      </c>
      <c r="H566">
        <v>15</v>
      </c>
      <c r="I566">
        <f t="shared" si="50"/>
        <v>332</v>
      </c>
      <c r="J566">
        <v>26</v>
      </c>
      <c r="K566">
        <v>1</v>
      </c>
      <c r="L566" t="str">
        <f t="shared" si="51"/>
        <v>Correct</v>
      </c>
      <c r="M566">
        <f t="shared" si="52"/>
        <v>57.692307692307686</v>
      </c>
      <c r="N566">
        <f t="shared" si="48"/>
        <v>9.9032258064516121</v>
      </c>
      <c r="O566">
        <f t="shared" si="53"/>
        <v>33.524429967426713</v>
      </c>
      <c r="P566" t="str">
        <f t="shared" si="49"/>
        <v>Overstock</v>
      </c>
    </row>
    <row r="567" spans="1:16" hidden="1" x14ac:dyDescent="0.35">
      <c r="A567" s="4">
        <v>46159</v>
      </c>
      <c r="B567" t="s">
        <v>12</v>
      </c>
      <c r="C567" t="s">
        <v>24</v>
      </c>
      <c r="D567" t="s">
        <v>14</v>
      </c>
      <c r="E567" t="s">
        <v>15</v>
      </c>
      <c r="F567">
        <v>238</v>
      </c>
      <c r="G567">
        <v>20</v>
      </c>
      <c r="H567">
        <v>24</v>
      </c>
      <c r="I567">
        <f t="shared" si="50"/>
        <v>234</v>
      </c>
      <c r="J567">
        <v>26</v>
      </c>
      <c r="K567">
        <v>5</v>
      </c>
      <c r="L567" t="str">
        <f t="shared" si="51"/>
        <v>Correct</v>
      </c>
      <c r="M567">
        <f t="shared" si="52"/>
        <v>92.307692307692307</v>
      </c>
      <c r="N567">
        <f t="shared" si="48"/>
        <v>21.35483870967742</v>
      </c>
      <c r="O567">
        <f t="shared" si="53"/>
        <v>10.957703927492448</v>
      </c>
      <c r="P567" t="str">
        <f t="shared" si="49"/>
        <v>Low Stock</v>
      </c>
    </row>
    <row r="568" spans="1:16" hidden="1" x14ac:dyDescent="0.35">
      <c r="A568" s="4">
        <v>46159</v>
      </c>
      <c r="B568" t="s">
        <v>12</v>
      </c>
      <c r="C568" t="s">
        <v>24</v>
      </c>
      <c r="D568" t="s">
        <v>16</v>
      </c>
      <c r="E568" t="s">
        <v>17</v>
      </c>
      <c r="F568">
        <v>188</v>
      </c>
      <c r="G568">
        <v>59</v>
      </c>
      <c r="H568">
        <v>23</v>
      </c>
      <c r="I568">
        <f t="shared" si="50"/>
        <v>224</v>
      </c>
      <c r="J568">
        <v>30</v>
      </c>
      <c r="K568">
        <v>5</v>
      </c>
      <c r="L568" t="str">
        <f t="shared" si="51"/>
        <v>Correct</v>
      </c>
      <c r="M568">
        <f t="shared" si="52"/>
        <v>76.666666666666671</v>
      </c>
      <c r="N568">
        <f t="shared" si="48"/>
        <v>21.9</v>
      </c>
      <c r="O568">
        <f t="shared" si="53"/>
        <v>10.228310502283106</v>
      </c>
      <c r="P568" t="str">
        <f t="shared" si="49"/>
        <v>Low Stock</v>
      </c>
    </row>
    <row r="569" spans="1:16" x14ac:dyDescent="0.35">
      <c r="A569" s="4">
        <v>46159</v>
      </c>
      <c r="B569" t="s">
        <v>12</v>
      </c>
      <c r="C569" t="s">
        <v>24</v>
      </c>
      <c r="D569" t="s">
        <v>18</v>
      </c>
      <c r="E569" t="s">
        <v>19</v>
      </c>
      <c r="F569">
        <v>121</v>
      </c>
      <c r="G569">
        <v>28</v>
      </c>
      <c r="H569">
        <v>36</v>
      </c>
      <c r="I569">
        <f t="shared" si="50"/>
        <v>113</v>
      </c>
      <c r="J569">
        <v>37</v>
      </c>
      <c r="K569">
        <v>5</v>
      </c>
      <c r="L569" t="str">
        <f t="shared" si="51"/>
        <v>Correct</v>
      </c>
      <c r="M569">
        <f t="shared" si="52"/>
        <v>97.297297297297305</v>
      </c>
      <c r="N569">
        <f t="shared" si="48"/>
        <v>31.586206896551722</v>
      </c>
      <c r="O569">
        <f t="shared" si="53"/>
        <v>3.5775109170305677</v>
      </c>
      <c r="P569" t="str">
        <f t="shared" si="49"/>
        <v>Low Stock</v>
      </c>
    </row>
    <row r="570" spans="1:16" hidden="1" x14ac:dyDescent="0.35">
      <c r="A570" s="4">
        <v>46159</v>
      </c>
      <c r="B570" t="s">
        <v>12</v>
      </c>
      <c r="C570" t="s">
        <v>24</v>
      </c>
      <c r="D570" t="s">
        <v>20</v>
      </c>
      <c r="E570" t="s">
        <v>21</v>
      </c>
      <c r="F570">
        <v>19</v>
      </c>
      <c r="G570">
        <v>21</v>
      </c>
      <c r="H570">
        <v>45</v>
      </c>
      <c r="I570">
        <f t="shared" si="50"/>
        <v>-5</v>
      </c>
      <c r="J570">
        <v>48</v>
      </c>
      <c r="K570">
        <v>1</v>
      </c>
      <c r="L570" t="str">
        <f t="shared" si="51"/>
        <v>Need verification</v>
      </c>
      <c r="M570">
        <f t="shared" si="52"/>
        <v>93.75</v>
      </c>
      <c r="N570">
        <f t="shared" si="48"/>
        <v>34.200000000000003</v>
      </c>
      <c r="O570">
        <f t="shared" si="53"/>
        <v>-0.14619883040935672</v>
      </c>
      <c r="P570" t="str">
        <f t="shared" si="49"/>
        <v>Low Stock</v>
      </c>
    </row>
    <row r="571" spans="1:16" hidden="1" x14ac:dyDescent="0.35">
      <c r="A571" s="4">
        <v>46159</v>
      </c>
      <c r="B571" t="s">
        <v>12</v>
      </c>
      <c r="C571" t="s">
        <v>24</v>
      </c>
      <c r="D571" t="s">
        <v>22</v>
      </c>
      <c r="E571" t="s">
        <v>23</v>
      </c>
      <c r="F571">
        <v>405</v>
      </c>
      <c r="G571">
        <v>49</v>
      </c>
      <c r="H571">
        <v>17</v>
      </c>
      <c r="I571">
        <f t="shared" si="50"/>
        <v>437</v>
      </c>
      <c r="J571">
        <v>25</v>
      </c>
      <c r="K571">
        <v>3</v>
      </c>
      <c r="L571" t="str">
        <f t="shared" si="51"/>
        <v>Correct</v>
      </c>
      <c r="M571">
        <f t="shared" si="52"/>
        <v>68</v>
      </c>
      <c r="N571">
        <f t="shared" si="48"/>
        <v>10.96551724137931</v>
      </c>
      <c r="O571">
        <f t="shared" si="53"/>
        <v>39.852201257861637</v>
      </c>
      <c r="P571" t="str">
        <f t="shared" si="49"/>
        <v>Overstock</v>
      </c>
    </row>
    <row r="572" spans="1:16" hidden="1" x14ac:dyDescent="0.35">
      <c r="A572" s="4">
        <v>46159</v>
      </c>
      <c r="B572" t="s">
        <v>12</v>
      </c>
      <c r="C572" t="s">
        <v>25</v>
      </c>
      <c r="D572" t="s">
        <v>14</v>
      </c>
      <c r="E572" t="s">
        <v>15</v>
      </c>
      <c r="F572">
        <v>255</v>
      </c>
      <c r="G572">
        <v>2</v>
      </c>
      <c r="H572">
        <v>24</v>
      </c>
      <c r="I572">
        <f t="shared" si="50"/>
        <v>233</v>
      </c>
      <c r="J572">
        <v>30</v>
      </c>
      <c r="K572">
        <v>2</v>
      </c>
      <c r="L572" t="str">
        <f t="shared" si="51"/>
        <v>Correct</v>
      </c>
      <c r="M572">
        <f t="shared" si="52"/>
        <v>80</v>
      </c>
      <c r="N572">
        <f t="shared" si="48"/>
        <v>20.7</v>
      </c>
      <c r="O572">
        <f t="shared" si="53"/>
        <v>11.256038647342995</v>
      </c>
      <c r="P572" t="str">
        <f t="shared" si="49"/>
        <v>Low Stock</v>
      </c>
    </row>
    <row r="573" spans="1:16" hidden="1" x14ac:dyDescent="0.35">
      <c r="A573" s="4">
        <v>46159</v>
      </c>
      <c r="B573" t="s">
        <v>31</v>
      </c>
      <c r="C573" t="s">
        <v>32</v>
      </c>
      <c r="D573" t="s">
        <v>16</v>
      </c>
      <c r="E573" t="s">
        <v>17</v>
      </c>
      <c r="F573">
        <v>274</v>
      </c>
      <c r="G573">
        <v>45</v>
      </c>
      <c r="H573">
        <v>13</v>
      </c>
      <c r="I573">
        <f t="shared" si="50"/>
        <v>306</v>
      </c>
      <c r="J573">
        <v>17</v>
      </c>
      <c r="K573">
        <v>5</v>
      </c>
      <c r="L573" t="str">
        <f t="shared" si="51"/>
        <v>Correct</v>
      </c>
      <c r="M573">
        <f t="shared" si="52"/>
        <v>76.470588235294116</v>
      </c>
      <c r="N573">
        <f t="shared" si="48"/>
        <v>21.46875</v>
      </c>
      <c r="O573">
        <f t="shared" si="53"/>
        <v>14.253275109170305</v>
      </c>
      <c r="P573" t="str">
        <f t="shared" si="49"/>
        <v>Low Stock</v>
      </c>
    </row>
    <row r="574" spans="1:16" x14ac:dyDescent="0.35">
      <c r="A574" s="4">
        <v>46159</v>
      </c>
      <c r="B574" t="s">
        <v>12</v>
      </c>
      <c r="C574" t="s">
        <v>25</v>
      </c>
      <c r="D574" t="s">
        <v>18</v>
      </c>
      <c r="E574" t="s">
        <v>19</v>
      </c>
      <c r="F574">
        <v>165</v>
      </c>
      <c r="G574">
        <v>30</v>
      </c>
      <c r="H574">
        <v>26</v>
      </c>
      <c r="I574">
        <f t="shared" si="50"/>
        <v>169</v>
      </c>
      <c r="J574">
        <v>38</v>
      </c>
      <c r="K574">
        <v>3</v>
      </c>
      <c r="L574" t="str">
        <f t="shared" si="51"/>
        <v>Correct</v>
      </c>
      <c r="M574">
        <f t="shared" si="52"/>
        <v>68.421052631578945</v>
      </c>
      <c r="N574">
        <f t="shared" si="48"/>
        <v>31.142857142857142</v>
      </c>
      <c r="O574">
        <f t="shared" si="53"/>
        <v>5.4266055045871564</v>
      </c>
      <c r="P574" t="str">
        <f t="shared" si="49"/>
        <v>Low Stock</v>
      </c>
    </row>
    <row r="575" spans="1:16" hidden="1" x14ac:dyDescent="0.35">
      <c r="A575" s="4">
        <v>46159</v>
      </c>
      <c r="B575" t="s">
        <v>12</v>
      </c>
      <c r="C575" t="s">
        <v>25</v>
      </c>
      <c r="D575" t="s">
        <v>20</v>
      </c>
      <c r="E575" t="s">
        <v>21</v>
      </c>
      <c r="F575">
        <v>191</v>
      </c>
      <c r="G575">
        <v>60</v>
      </c>
      <c r="H575">
        <v>43</v>
      </c>
      <c r="I575">
        <f t="shared" si="50"/>
        <v>208</v>
      </c>
      <c r="J575">
        <v>58</v>
      </c>
      <c r="K575">
        <v>3</v>
      </c>
      <c r="L575" t="str">
        <f t="shared" si="51"/>
        <v>Correct</v>
      </c>
      <c r="M575">
        <f t="shared" si="52"/>
        <v>74.137931034482762</v>
      </c>
      <c r="N575">
        <f t="shared" si="48"/>
        <v>31.137931034482758</v>
      </c>
      <c r="O575">
        <f t="shared" si="53"/>
        <v>6.6799557032115171</v>
      </c>
      <c r="P575" t="str">
        <f t="shared" si="49"/>
        <v>Low Stock</v>
      </c>
    </row>
    <row r="576" spans="1:16" hidden="1" x14ac:dyDescent="0.35">
      <c r="A576" s="4">
        <v>46159</v>
      </c>
      <c r="B576" t="s">
        <v>12</v>
      </c>
      <c r="C576" t="s">
        <v>25</v>
      </c>
      <c r="D576" t="s">
        <v>22</v>
      </c>
      <c r="E576" t="s">
        <v>23</v>
      </c>
      <c r="F576">
        <v>449</v>
      </c>
      <c r="G576">
        <v>49</v>
      </c>
      <c r="H576">
        <v>10</v>
      </c>
      <c r="I576">
        <f t="shared" si="50"/>
        <v>488</v>
      </c>
      <c r="J576">
        <v>12</v>
      </c>
      <c r="K576">
        <v>1</v>
      </c>
      <c r="L576" t="str">
        <f t="shared" si="51"/>
        <v>Correct</v>
      </c>
      <c r="M576">
        <f t="shared" si="52"/>
        <v>83.333333333333343</v>
      </c>
      <c r="N576">
        <f t="shared" si="48"/>
        <v>11.3</v>
      </c>
      <c r="O576">
        <f t="shared" si="53"/>
        <v>43.185840707964601</v>
      </c>
      <c r="P576" t="str">
        <f t="shared" si="49"/>
        <v>Overstock</v>
      </c>
    </row>
    <row r="577" spans="1:16" hidden="1" x14ac:dyDescent="0.35">
      <c r="A577" s="4">
        <v>46159</v>
      </c>
      <c r="B577" t="s">
        <v>26</v>
      </c>
      <c r="C577" t="s">
        <v>27</v>
      </c>
      <c r="D577" t="s">
        <v>14</v>
      </c>
      <c r="E577" t="s">
        <v>15</v>
      </c>
      <c r="F577">
        <v>421</v>
      </c>
      <c r="G577">
        <v>51</v>
      </c>
      <c r="H577">
        <v>28</v>
      </c>
      <c r="I577">
        <f t="shared" si="50"/>
        <v>444</v>
      </c>
      <c r="J577">
        <v>35</v>
      </c>
      <c r="K577">
        <v>3</v>
      </c>
      <c r="L577" t="str">
        <f t="shared" si="51"/>
        <v>Correct</v>
      </c>
      <c r="M577">
        <f t="shared" si="52"/>
        <v>80</v>
      </c>
      <c r="N577">
        <f t="shared" si="48"/>
        <v>22.258064516129032</v>
      </c>
      <c r="O577">
        <f t="shared" si="53"/>
        <v>19.947826086956521</v>
      </c>
      <c r="P577" t="str">
        <f t="shared" si="49"/>
        <v>Healthy</v>
      </c>
    </row>
    <row r="578" spans="1:16" hidden="1" x14ac:dyDescent="0.35">
      <c r="A578" s="4">
        <v>46159</v>
      </c>
      <c r="B578" t="s">
        <v>26</v>
      </c>
      <c r="C578" t="s">
        <v>27</v>
      </c>
      <c r="D578" t="s">
        <v>16</v>
      </c>
      <c r="E578" t="s">
        <v>17</v>
      </c>
      <c r="F578">
        <v>252</v>
      </c>
      <c r="G578">
        <v>55</v>
      </c>
      <c r="H578">
        <v>17</v>
      </c>
      <c r="I578">
        <f t="shared" si="50"/>
        <v>290</v>
      </c>
      <c r="J578">
        <v>23</v>
      </c>
      <c r="K578">
        <v>2</v>
      </c>
      <c r="L578" t="str">
        <f t="shared" si="51"/>
        <v>Correct</v>
      </c>
      <c r="M578">
        <f t="shared" si="52"/>
        <v>73.91304347826086</v>
      </c>
      <c r="N578">
        <f t="shared" ref="N578:N641" si="54">SUMIFS($H:$H,$B:$B,B578,$C:$C,C578,$D:$D,D578)/COUNTIFS($B:$B,B578,$C:$C,C578,$D:$D,D578)</f>
        <v>20.172413793103448</v>
      </c>
      <c r="O578">
        <f t="shared" si="53"/>
        <v>14.376068376068377</v>
      </c>
      <c r="P578" t="str">
        <f t="shared" ref="P578:P641" si="55">IF(O578&lt;15,"Low Stock",IF(O578&lt;=30,"Healthy","Overstock"))</f>
        <v>Low Stock</v>
      </c>
    </row>
    <row r="579" spans="1:16" x14ac:dyDescent="0.35">
      <c r="A579" s="4">
        <v>46159</v>
      </c>
      <c r="B579" t="s">
        <v>26</v>
      </c>
      <c r="C579" t="s">
        <v>27</v>
      </c>
      <c r="D579" t="s">
        <v>18</v>
      </c>
      <c r="E579" t="s">
        <v>19</v>
      </c>
      <c r="F579">
        <v>159</v>
      </c>
      <c r="G579">
        <v>60</v>
      </c>
      <c r="H579">
        <v>15</v>
      </c>
      <c r="I579">
        <f t="shared" ref="I579:I642" si="56">F579+G579-H579</f>
        <v>204</v>
      </c>
      <c r="J579">
        <v>24</v>
      </c>
      <c r="K579">
        <v>5</v>
      </c>
      <c r="L579" t="str">
        <f t="shared" ref="L579:L642" si="57">IF(I579&lt;0,"Need verification","Correct")</f>
        <v>Correct</v>
      </c>
      <c r="M579">
        <f t="shared" ref="M579:M642" si="58">IF(J579=0,0,(H579/J579)*100)</f>
        <v>62.5</v>
      </c>
      <c r="N579">
        <f t="shared" si="54"/>
        <v>29.733333333333334</v>
      </c>
      <c r="O579">
        <f t="shared" ref="O579:O642" si="59">IFERROR(I579/N579,0)</f>
        <v>6.8609865470852016</v>
      </c>
      <c r="P579" t="str">
        <f t="shared" si="55"/>
        <v>Low Stock</v>
      </c>
    </row>
    <row r="580" spans="1:16" hidden="1" x14ac:dyDescent="0.35">
      <c r="A580" s="4">
        <v>46159</v>
      </c>
      <c r="B580" t="s">
        <v>26</v>
      </c>
      <c r="C580" t="s">
        <v>27</v>
      </c>
      <c r="D580" t="s">
        <v>20</v>
      </c>
      <c r="E580" t="s">
        <v>21</v>
      </c>
      <c r="F580">
        <v>315</v>
      </c>
      <c r="G580">
        <v>27</v>
      </c>
      <c r="H580">
        <v>35</v>
      </c>
      <c r="I580">
        <f t="shared" si="56"/>
        <v>307</v>
      </c>
      <c r="J580">
        <v>43</v>
      </c>
      <c r="K580">
        <v>1</v>
      </c>
      <c r="L580" t="str">
        <f t="shared" si="57"/>
        <v>Correct</v>
      </c>
      <c r="M580">
        <f t="shared" si="58"/>
        <v>81.395348837209298</v>
      </c>
      <c r="N580">
        <f t="shared" si="54"/>
        <v>30.724137931034484</v>
      </c>
      <c r="O580">
        <f t="shared" si="59"/>
        <v>9.9921436588103258</v>
      </c>
      <c r="P580" t="str">
        <f t="shared" si="55"/>
        <v>Low Stock</v>
      </c>
    </row>
    <row r="581" spans="1:16" hidden="1" x14ac:dyDescent="0.35">
      <c r="A581" s="4">
        <v>46159</v>
      </c>
      <c r="B581" t="s">
        <v>26</v>
      </c>
      <c r="C581" t="s">
        <v>27</v>
      </c>
      <c r="D581" t="s">
        <v>22</v>
      </c>
      <c r="E581" t="s">
        <v>23</v>
      </c>
      <c r="F581">
        <v>335</v>
      </c>
      <c r="G581">
        <v>10</v>
      </c>
      <c r="H581">
        <v>13</v>
      </c>
      <c r="I581">
        <f t="shared" si="56"/>
        <v>332</v>
      </c>
      <c r="J581">
        <v>22</v>
      </c>
      <c r="K581">
        <v>4</v>
      </c>
      <c r="L581" t="str">
        <f t="shared" si="57"/>
        <v>Correct</v>
      </c>
      <c r="M581">
        <f t="shared" si="58"/>
        <v>59.090909090909093</v>
      </c>
      <c r="N581">
        <f t="shared" si="54"/>
        <v>11.566666666666666</v>
      </c>
      <c r="O581">
        <f t="shared" si="59"/>
        <v>28.703170028818445</v>
      </c>
      <c r="P581" t="str">
        <f t="shared" si="55"/>
        <v>Healthy</v>
      </c>
    </row>
    <row r="582" spans="1:16" hidden="1" x14ac:dyDescent="0.35">
      <c r="A582" s="4">
        <v>46159</v>
      </c>
      <c r="B582" t="s">
        <v>28</v>
      </c>
      <c r="C582" t="s">
        <v>29</v>
      </c>
      <c r="D582" t="s">
        <v>14</v>
      </c>
      <c r="E582" t="s">
        <v>15</v>
      </c>
      <c r="F582">
        <v>298</v>
      </c>
      <c r="G582">
        <v>14</v>
      </c>
      <c r="H582">
        <v>25</v>
      </c>
      <c r="I582">
        <f t="shared" si="56"/>
        <v>287</v>
      </c>
      <c r="J582">
        <v>40</v>
      </c>
      <c r="K582">
        <v>3</v>
      </c>
      <c r="L582" t="str">
        <f t="shared" si="57"/>
        <v>Correct</v>
      </c>
      <c r="M582">
        <f t="shared" si="58"/>
        <v>62.5</v>
      </c>
      <c r="N582">
        <f t="shared" si="54"/>
        <v>22.25</v>
      </c>
      <c r="O582">
        <f t="shared" si="59"/>
        <v>12.898876404494382</v>
      </c>
      <c r="P582" t="str">
        <f t="shared" si="55"/>
        <v>Low Stock</v>
      </c>
    </row>
    <row r="583" spans="1:16" hidden="1" x14ac:dyDescent="0.35">
      <c r="A583" s="4">
        <v>46159</v>
      </c>
      <c r="B583" t="s">
        <v>28</v>
      </c>
      <c r="C583" t="s">
        <v>29</v>
      </c>
      <c r="D583" t="s">
        <v>16</v>
      </c>
      <c r="E583" t="s">
        <v>17</v>
      </c>
      <c r="F583">
        <v>294</v>
      </c>
      <c r="G583">
        <v>60</v>
      </c>
      <c r="H583">
        <v>30</v>
      </c>
      <c r="I583">
        <f t="shared" si="56"/>
        <v>324</v>
      </c>
      <c r="J583">
        <v>33</v>
      </c>
      <c r="K583">
        <v>5</v>
      </c>
      <c r="L583" t="str">
        <f t="shared" si="57"/>
        <v>Correct</v>
      </c>
      <c r="M583">
        <f t="shared" si="58"/>
        <v>90.909090909090907</v>
      </c>
      <c r="N583">
        <f t="shared" si="54"/>
        <v>19.96551724137931</v>
      </c>
      <c r="O583">
        <f t="shared" si="59"/>
        <v>16.2279792746114</v>
      </c>
      <c r="P583" t="str">
        <f t="shared" si="55"/>
        <v>Healthy</v>
      </c>
    </row>
    <row r="584" spans="1:16" x14ac:dyDescent="0.35">
      <c r="A584" s="4">
        <v>46159</v>
      </c>
      <c r="B584" t="s">
        <v>28</v>
      </c>
      <c r="C584" t="s">
        <v>29</v>
      </c>
      <c r="D584" t="s">
        <v>18</v>
      </c>
      <c r="E584" t="s">
        <v>19</v>
      </c>
      <c r="F584">
        <v>98</v>
      </c>
      <c r="G584">
        <v>6</v>
      </c>
      <c r="H584">
        <v>15</v>
      </c>
      <c r="I584">
        <f t="shared" si="56"/>
        <v>89</v>
      </c>
      <c r="J584">
        <v>30</v>
      </c>
      <c r="K584">
        <v>2</v>
      </c>
      <c r="L584" t="str">
        <f t="shared" si="57"/>
        <v>Correct</v>
      </c>
      <c r="M584">
        <f t="shared" si="58"/>
        <v>50</v>
      </c>
      <c r="N584">
        <f t="shared" si="54"/>
        <v>31.206896551724139</v>
      </c>
      <c r="O584">
        <f t="shared" si="59"/>
        <v>2.8519337016574586</v>
      </c>
      <c r="P584" t="str">
        <f t="shared" si="55"/>
        <v>Low Stock</v>
      </c>
    </row>
    <row r="585" spans="1:16" hidden="1" x14ac:dyDescent="0.35">
      <c r="A585" s="4">
        <v>46159</v>
      </c>
      <c r="B585" t="s">
        <v>28</v>
      </c>
      <c r="C585" t="s">
        <v>29</v>
      </c>
      <c r="D585" t="s">
        <v>20</v>
      </c>
      <c r="E585" t="s">
        <v>21</v>
      </c>
      <c r="F585">
        <v>37</v>
      </c>
      <c r="G585">
        <v>12</v>
      </c>
      <c r="H585">
        <v>50</v>
      </c>
      <c r="I585">
        <f t="shared" si="56"/>
        <v>-1</v>
      </c>
      <c r="J585">
        <v>52</v>
      </c>
      <c r="K585">
        <v>2</v>
      </c>
      <c r="L585" t="str">
        <f t="shared" si="57"/>
        <v>Need verification</v>
      </c>
      <c r="M585">
        <f t="shared" si="58"/>
        <v>96.15384615384616</v>
      </c>
      <c r="N585">
        <f t="shared" si="54"/>
        <v>32.620689655172413</v>
      </c>
      <c r="O585">
        <f t="shared" si="59"/>
        <v>-3.06553911205074E-2</v>
      </c>
      <c r="P585" t="str">
        <f t="shared" si="55"/>
        <v>Low Stock</v>
      </c>
    </row>
    <row r="586" spans="1:16" hidden="1" x14ac:dyDescent="0.35">
      <c r="A586" s="4">
        <v>46159</v>
      </c>
      <c r="B586" t="s">
        <v>28</v>
      </c>
      <c r="C586" t="s">
        <v>29</v>
      </c>
      <c r="D586" t="s">
        <v>22</v>
      </c>
      <c r="E586" t="s">
        <v>23</v>
      </c>
      <c r="F586">
        <v>581</v>
      </c>
      <c r="G586">
        <v>22</v>
      </c>
      <c r="H586">
        <v>15</v>
      </c>
      <c r="I586">
        <f t="shared" si="56"/>
        <v>588</v>
      </c>
      <c r="J586">
        <v>15</v>
      </c>
      <c r="K586">
        <v>4</v>
      </c>
      <c r="L586" t="str">
        <f t="shared" si="57"/>
        <v>Correct</v>
      </c>
      <c r="M586">
        <f t="shared" si="58"/>
        <v>100</v>
      </c>
      <c r="N586">
        <f t="shared" si="54"/>
        <v>11.678571428571429</v>
      </c>
      <c r="O586">
        <f t="shared" si="59"/>
        <v>50.348623853211009</v>
      </c>
      <c r="P586" t="str">
        <f t="shared" si="55"/>
        <v>Overstock</v>
      </c>
    </row>
    <row r="587" spans="1:16" hidden="1" x14ac:dyDescent="0.35">
      <c r="A587" s="4">
        <v>46159</v>
      </c>
      <c r="B587" t="s">
        <v>31</v>
      </c>
      <c r="C587" t="s">
        <v>32</v>
      </c>
      <c r="D587" t="s">
        <v>14</v>
      </c>
      <c r="E587" t="s">
        <v>15</v>
      </c>
      <c r="F587">
        <v>314</v>
      </c>
      <c r="G587">
        <v>14</v>
      </c>
      <c r="H587">
        <v>30</v>
      </c>
      <c r="I587">
        <f t="shared" si="56"/>
        <v>298</v>
      </c>
      <c r="J587">
        <v>32</v>
      </c>
      <c r="K587">
        <v>5</v>
      </c>
      <c r="L587" t="str">
        <f t="shared" si="57"/>
        <v>Correct</v>
      </c>
      <c r="M587">
        <f t="shared" si="58"/>
        <v>93.75</v>
      </c>
      <c r="N587">
        <f t="shared" si="54"/>
        <v>20.84375</v>
      </c>
      <c r="O587">
        <f t="shared" si="59"/>
        <v>14.296851574212894</v>
      </c>
      <c r="P587" t="str">
        <f t="shared" si="55"/>
        <v>Low Stock</v>
      </c>
    </row>
    <row r="588" spans="1:16" hidden="1" x14ac:dyDescent="0.35">
      <c r="A588" s="4">
        <v>46159</v>
      </c>
      <c r="B588" t="s">
        <v>31</v>
      </c>
      <c r="C588" t="s">
        <v>32</v>
      </c>
      <c r="D588" t="s">
        <v>16</v>
      </c>
      <c r="E588" t="s">
        <v>17</v>
      </c>
      <c r="F588">
        <v>316</v>
      </c>
      <c r="G588">
        <v>60</v>
      </c>
      <c r="H588">
        <v>29</v>
      </c>
      <c r="I588">
        <f t="shared" si="56"/>
        <v>347</v>
      </c>
      <c r="J588">
        <v>30</v>
      </c>
      <c r="K588">
        <v>4</v>
      </c>
      <c r="L588" t="str">
        <f t="shared" si="57"/>
        <v>Correct</v>
      </c>
      <c r="M588">
        <f t="shared" si="58"/>
        <v>96.666666666666671</v>
      </c>
      <c r="N588">
        <f t="shared" si="54"/>
        <v>21.46875</v>
      </c>
      <c r="O588">
        <f t="shared" si="59"/>
        <v>16.163027656477439</v>
      </c>
      <c r="P588" t="str">
        <f t="shared" si="55"/>
        <v>Healthy</v>
      </c>
    </row>
    <row r="589" spans="1:16" x14ac:dyDescent="0.35">
      <c r="A589" s="4">
        <v>46159</v>
      </c>
      <c r="B589" t="s">
        <v>31</v>
      </c>
      <c r="C589" t="s">
        <v>32</v>
      </c>
      <c r="D589" t="s">
        <v>18</v>
      </c>
      <c r="E589" t="s">
        <v>19</v>
      </c>
      <c r="F589">
        <v>88</v>
      </c>
      <c r="G589">
        <v>43</v>
      </c>
      <c r="H589">
        <v>24</v>
      </c>
      <c r="I589">
        <f t="shared" si="56"/>
        <v>107</v>
      </c>
      <c r="J589">
        <v>32</v>
      </c>
      <c r="K589">
        <v>2</v>
      </c>
      <c r="L589" t="str">
        <f t="shared" si="57"/>
        <v>Correct</v>
      </c>
      <c r="M589">
        <f t="shared" si="58"/>
        <v>75</v>
      </c>
      <c r="N589">
        <f t="shared" si="54"/>
        <v>30.586206896551722</v>
      </c>
      <c r="O589">
        <f t="shared" si="59"/>
        <v>3.4983089064261557</v>
      </c>
      <c r="P589" t="str">
        <f t="shared" si="55"/>
        <v>Low Stock</v>
      </c>
    </row>
    <row r="590" spans="1:16" hidden="1" x14ac:dyDescent="0.35">
      <c r="A590" s="4">
        <v>46159</v>
      </c>
      <c r="B590" t="s">
        <v>31</v>
      </c>
      <c r="C590" t="s">
        <v>32</v>
      </c>
      <c r="D590" t="s">
        <v>20</v>
      </c>
      <c r="E590" t="s">
        <v>21</v>
      </c>
      <c r="F590">
        <v>138</v>
      </c>
      <c r="G590">
        <v>38</v>
      </c>
      <c r="H590">
        <v>49</v>
      </c>
      <c r="I590">
        <f t="shared" si="56"/>
        <v>127</v>
      </c>
      <c r="J590">
        <v>53</v>
      </c>
      <c r="K590">
        <v>1</v>
      </c>
      <c r="L590" t="str">
        <f t="shared" si="57"/>
        <v>Correct</v>
      </c>
      <c r="M590">
        <f t="shared" si="58"/>
        <v>92.452830188679243</v>
      </c>
      <c r="N590">
        <f t="shared" si="54"/>
        <v>32.299999999999997</v>
      </c>
      <c r="O590">
        <f t="shared" si="59"/>
        <v>3.9318885448916414</v>
      </c>
      <c r="P590" t="str">
        <f t="shared" si="55"/>
        <v>Low Stock</v>
      </c>
    </row>
    <row r="591" spans="1:16" hidden="1" x14ac:dyDescent="0.35">
      <c r="A591" s="4">
        <v>46159</v>
      </c>
      <c r="B591" t="s">
        <v>31</v>
      </c>
      <c r="C591" t="s">
        <v>32</v>
      </c>
      <c r="D591" t="s">
        <v>22</v>
      </c>
      <c r="E591" t="s">
        <v>23</v>
      </c>
      <c r="F591">
        <v>652</v>
      </c>
      <c r="G591">
        <v>54</v>
      </c>
      <c r="H591">
        <v>15</v>
      </c>
      <c r="I591">
        <f t="shared" si="56"/>
        <v>691</v>
      </c>
      <c r="J591">
        <v>22</v>
      </c>
      <c r="K591">
        <v>1</v>
      </c>
      <c r="L591" t="str">
        <f t="shared" si="57"/>
        <v>Correct</v>
      </c>
      <c r="M591">
        <f t="shared" si="58"/>
        <v>68.181818181818173</v>
      </c>
      <c r="N591">
        <f t="shared" si="54"/>
        <v>10.413793103448276</v>
      </c>
      <c r="O591">
        <f t="shared" si="59"/>
        <v>66.354304635761594</v>
      </c>
      <c r="P591" t="str">
        <f t="shared" si="55"/>
        <v>Overstock</v>
      </c>
    </row>
    <row r="592" spans="1:16" hidden="1" x14ac:dyDescent="0.35">
      <c r="A592" s="4">
        <v>46159</v>
      </c>
      <c r="B592" t="s">
        <v>33</v>
      </c>
      <c r="C592" t="s">
        <v>34</v>
      </c>
      <c r="D592" t="s">
        <v>14</v>
      </c>
      <c r="E592" t="s">
        <v>15</v>
      </c>
      <c r="F592">
        <v>209</v>
      </c>
      <c r="G592">
        <v>8</v>
      </c>
      <c r="H592">
        <v>34</v>
      </c>
      <c r="I592">
        <f t="shared" si="56"/>
        <v>183</v>
      </c>
      <c r="J592">
        <v>49</v>
      </c>
      <c r="K592">
        <v>2</v>
      </c>
      <c r="L592" t="str">
        <f t="shared" si="57"/>
        <v>Correct</v>
      </c>
      <c r="M592">
        <f t="shared" si="58"/>
        <v>69.387755102040813</v>
      </c>
      <c r="N592">
        <f t="shared" si="54"/>
        <v>20.70967741935484</v>
      </c>
      <c r="O592">
        <f t="shared" si="59"/>
        <v>8.8364485981308398</v>
      </c>
      <c r="P592" t="str">
        <f t="shared" si="55"/>
        <v>Low Stock</v>
      </c>
    </row>
    <row r="593" spans="1:16" hidden="1" x14ac:dyDescent="0.35">
      <c r="A593" s="4">
        <v>46159</v>
      </c>
      <c r="B593" t="s">
        <v>33</v>
      </c>
      <c r="C593" t="s">
        <v>34</v>
      </c>
      <c r="D593" t="s">
        <v>16</v>
      </c>
      <c r="E593" t="s">
        <v>17</v>
      </c>
      <c r="F593">
        <v>259</v>
      </c>
      <c r="G593">
        <v>15</v>
      </c>
      <c r="H593">
        <v>27</v>
      </c>
      <c r="I593">
        <f t="shared" si="56"/>
        <v>247</v>
      </c>
      <c r="J593">
        <v>31</v>
      </c>
      <c r="K593">
        <v>3</v>
      </c>
      <c r="L593" t="str">
        <f t="shared" si="57"/>
        <v>Correct</v>
      </c>
      <c r="M593">
        <f t="shared" si="58"/>
        <v>87.096774193548384</v>
      </c>
      <c r="N593">
        <f t="shared" si="54"/>
        <v>22.142857142857142</v>
      </c>
      <c r="O593">
        <f t="shared" si="59"/>
        <v>11.154838709677419</v>
      </c>
      <c r="P593" t="str">
        <f t="shared" si="55"/>
        <v>Low Stock</v>
      </c>
    </row>
    <row r="594" spans="1:16" x14ac:dyDescent="0.35">
      <c r="A594" s="4">
        <v>46159</v>
      </c>
      <c r="B594" t="s">
        <v>33</v>
      </c>
      <c r="C594" t="s">
        <v>34</v>
      </c>
      <c r="D594" t="s">
        <v>18</v>
      </c>
      <c r="E594" t="s">
        <v>19</v>
      </c>
      <c r="F594">
        <v>201</v>
      </c>
      <c r="G594">
        <v>5</v>
      </c>
      <c r="H594">
        <v>21</v>
      </c>
      <c r="I594">
        <f t="shared" si="56"/>
        <v>185</v>
      </c>
      <c r="J594">
        <v>27</v>
      </c>
      <c r="K594">
        <v>3</v>
      </c>
      <c r="L594" t="str">
        <f t="shared" si="57"/>
        <v>Correct</v>
      </c>
      <c r="M594">
        <f t="shared" si="58"/>
        <v>77.777777777777786</v>
      </c>
      <c r="N594">
        <f t="shared" si="54"/>
        <v>30.275862068965516</v>
      </c>
      <c r="O594">
        <f t="shared" si="59"/>
        <v>6.1104783599088837</v>
      </c>
      <c r="P594" t="str">
        <f t="shared" si="55"/>
        <v>Low Stock</v>
      </c>
    </row>
    <row r="595" spans="1:16" hidden="1" x14ac:dyDescent="0.35">
      <c r="A595" s="4">
        <v>46159</v>
      </c>
      <c r="B595" t="s">
        <v>33</v>
      </c>
      <c r="C595" t="s">
        <v>34</v>
      </c>
      <c r="D595" t="s">
        <v>20</v>
      </c>
      <c r="E595" t="s">
        <v>21</v>
      </c>
      <c r="F595">
        <v>334</v>
      </c>
      <c r="G595">
        <v>22</v>
      </c>
      <c r="H595">
        <v>35</v>
      </c>
      <c r="I595">
        <f t="shared" si="56"/>
        <v>321</v>
      </c>
      <c r="J595">
        <v>36</v>
      </c>
      <c r="K595">
        <v>3</v>
      </c>
      <c r="L595" t="str">
        <f t="shared" si="57"/>
        <v>Correct</v>
      </c>
      <c r="M595">
        <f t="shared" si="58"/>
        <v>97.222222222222214</v>
      </c>
      <c r="N595">
        <f t="shared" si="54"/>
        <v>30.931034482758619</v>
      </c>
      <c r="O595">
        <f t="shared" si="59"/>
        <v>10.377926421404682</v>
      </c>
      <c r="P595" t="str">
        <f t="shared" si="55"/>
        <v>Low Stock</v>
      </c>
    </row>
    <row r="596" spans="1:16" hidden="1" x14ac:dyDescent="0.35">
      <c r="A596" s="4">
        <v>46159</v>
      </c>
      <c r="B596" t="s">
        <v>33</v>
      </c>
      <c r="C596" t="s">
        <v>34</v>
      </c>
      <c r="D596" t="s">
        <v>22</v>
      </c>
      <c r="E596" t="s">
        <v>23</v>
      </c>
      <c r="F596">
        <v>424</v>
      </c>
      <c r="G596">
        <v>0</v>
      </c>
      <c r="H596">
        <v>9</v>
      </c>
      <c r="I596">
        <f t="shared" si="56"/>
        <v>415</v>
      </c>
      <c r="J596">
        <v>17</v>
      </c>
      <c r="K596">
        <v>4</v>
      </c>
      <c r="L596" t="str">
        <f t="shared" si="57"/>
        <v>Correct</v>
      </c>
      <c r="M596">
        <f t="shared" si="58"/>
        <v>52.941176470588239</v>
      </c>
      <c r="N596">
        <f t="shared" si="54"/>
        <v>10.25</v>
      </c>
      <c r="O596">
        <f t="shared" si="59"/>
        <v>40.487804878048777</v>
      </c>
      <c r="P596" t="str">
        <f t="shared" si="55"/>
        <v>Overstock</v>
      </c>
    </row>
    <row r="597" spans="1:16" hidden="1" x14ac:dyDescent="0.35">
      <c r="A597" s="4">
        <v>46160</v>
      </c>
      <c r="B597" t="s">
        <v>12</v>
      </c>
      <c r="C597" t="s">
        <v>13</v>
      </c>
      <c r="D597" t="s">
        <v>14</v>
      </c>
      <c r="E597" t="s">
        <v>15</v>
      </c>
      <c r="F597">
        <v>436</v>
      </c>
      <c r="G597">
        <v>33</v>
      </c>
      <c r="H597">
        <v>19</v>
      </c>
      <c r="I597">
        <f t="shared" si="56"/>
        <v>450</v>
      </c>
      <c r="J597">
        <v>34</v>
      </c>
      <c r="K597">
        <v>1</v>
      </c>
      <c r="L597" t="str">
        <f t="shared" si="57"/>
        <v>Correct</v>
      </c>
      <c r="M597">
        <f t="shared" si="58"/>
        <v>55.882352941176471</v>
      </c>
      <c r="N597">
        <f t="shared" si="54"/>
        <v>21.666666666666668</v>
      </c>
      <c r="O597">
        <f t="shared" si="59"/>
        <v>20.769230769230766</v>
      </c>
      <c r="P597" t="str">
        <f t="shared" si="55"/>
        <v>Healthy</v>
      </c>
    </row>
    <row r="598" spans="1:16" hidden="1" x14ac:dyDescent="0.35">
      <c r="A598" s="4">
        <v>46160</v>
      </c>
      <c r="B598" t="s">
        <v>12</v>
      </c>
      <c r="C598" t="s">
        <v>13</v>
      </c>
      <c r="D598" t="s">
        <v>16</v>
      </c>
      <c r="E598" t="s">
        <v>17</v>
      </c>
      <c r="F598">
        <v>290</v>
      </c>
      <c r="G598">
        <v>51</v>
      </c>
      <c r="H598">
        <v>24</v>
      </c>
      <c r="I598">
        <f t="shared" si="56"/>
        <v>317</v>
      </c>
      <c r="J598">
        <v>33</v>
      </c>
      <c r="K598">
        <v>2</v>
      </c>
      <c r="L598" t="str">
        <f t="shared" si="57"/>
        <v>Correct</v>
      </c>
      <c r="M598">
        <f t="shared" si="58"/>
        <v>72.727272727272734</v>
      </c>
      <c r="N598">
        <f t="shared" si="54"/>
        <v>20.030303030303031</v>
      </c>
      <c r="O598">
        <f t="shared" si="59"/>
        <v>15.826021180030256</v>
      </c>
      <c r="P598" t="str">
        <f t="shared" si="55"/>
        <v>Healthy</v>
      </c>
    </row>
    <row r="599" spans="1:16" x14ac:dyDescent="0.35">
      <c r="A599" s="4">
        <v>46160</v>
      </c>
      <c r="B599" t="s">
        <v>12</v>
      </c>
      <c r="C599" t="s">
        <v>13</v>
      </c>
      <c r="D599" t="s">
        <v>18</v>
      </c>
      <c r="E599" t="s">
        <v>19</v>
      </c>
      <c r="F599">
        <v>199</v>
      </c>
      <c r="G599">
        <v>59</v>
      </c>
      <c r="H599">
        <v>40</v>
      </c>
      <c r="I599">
        <f t="shared" si="56"/>
        <v>218</v>
      </c>
      <c r="J599">
        <v>48</v>
      </c>
      <c r="K599">
        <v>5</v>
      </c>
      <c r="L599" t="str">
        <f t="shared" si="57"/>
        <v>Correct</v>
      </c>
      <c r="M599">
        <f t="shared" si="58"/>
        <v>83.333333333333343</v>
      </c>
      <c r="N599">
        <f t="shared" si="54"/>
        <v>33.34375</v>
      </c>
      <c r="O599">
        <f t="shared" si="59"/>
        <v>6.537956888472352</v>
      </c>
      <c r="P599" t="str">
        <f t="shared" si="55"/>
        <v>Low Stock</v>
      </c>
    </row>
    <row r="600" spans="1:16" hidden="1" x14ac:dyDescent="0.35">
      <c r="A600" s="4">
        <v>46160</v>
      </c>
      <c r="B600" t="s">
        <v>12</v>
      </c>
      <c r="C600" t="s">
        <v>13</v>
      </c>
      <c r="D600" t="s">
        <v>20</v>
      </c>
      <c r="E600" t="s">
        <v>21</v>
      </c>
      <c r="F600">
        <v>40</v>
      </c>
      <c r="G600">
        <v>44</v>
      </c>
      <c r="H600">
        <v>36</v>
      </c>
      <c r="I600">
        <f t="shared" si="56"/>
        <v>48</v>
      </c>
      <c r="J600">
        <v>39</v>
      </c>
      <c r="K600">
        <v>4</v>
      </c>
      <c r="L600" t="str">
        <f t="shared" si="57"/>
        <v>Correct</v>
      </c>
      <c r="M600">
        <f t="shared" si="58"/>
        <v>92.307692307692307</v>
      </c>
      <c r="N600">
        <f t="shared" si="54"/>
        <v>34.515151515151516</v>
      </c>
      <c r="O600">
        <f t="shared" si="59"/>
        <v>1.3906935908691835</v>
      </c>
      <c r="P600" t="str">
        <f t="shared" si="55"/>
        <v>Low Stock</v>
      </c>
    </row>
    <row r="601" spans="1:16" hidden="1" x14ac:dyDescent="0.35">
      <c r="A601" s="4">
        <v>46160</v>
      </c>
      <c r="B601" t="s">
        <v>12</v>
      </c>
      <c r="C601" t="s">
        <v>13</v>
      </c>
      <c r="D601" t="s">
        <v>22</v>
      </c>
      <c r="E601" t="s">
        <v>23</v>
      </c>
      <c r="F601">
        <v>332</v>
      </c>
      <c r="G601">
        <v>28</v>
      </c>
      <c r="H601">
        <v>15</v>
      </c>
      <c r="I601">
        <f t="shared" si="56"/>
        <v>345</v>
      </c>
      <c r="J601">
        <v>27</v>
      </c>
      <c r="K601">
        <v>3</v>
      </c>
      <c r="L601" t="str">
        <f t="shared" si="57"/>
        <v>Correct</v>
      </c>
      <c r="M601">
        <f t="shared" si="58"/>
        <v>55.555555555555557</v>
      </c>
      <c r="N601">
        <f t="shared" si="54"/>
        <v>9.9032258064516121</v>
      </c>
      <c r="O601">
        <f t="shared" si="59"/>
        <v>34.837133550488602</v>
      </c>
      <c r="P601" t="str">
        <f t="shared" si="55"/>
        <v>Overstock</v>
      </c>
    </row>
    <row r="602" spans="1:16" hidden="1" x14ac:dyDescent="0.35">
      <c r="A602" s="4">
        <v>46160</v>
      </c>
      <c r="B602" t="s">
        <v>12</v>
      </c>
      <c r="C602" t="s">
        <v>24</v>
      </c>
      <c r="D602" t="s">
        <v>14</v>
      </c>
      <c r="E602" t="s">
        <v>15</v>
      </c>
      <c r="F602">
        <v>234</v>
      </c>
      <c r="G602">
        <v>54</v>
      </c>
      <c r="H602">
        <v>15</v>
      </c>
      <c r="I602">
        <f t="shared" si="56"/>
        <v>273</v>
      </c>
      <c r="J602">
        <v>26</v>
      </c>
      <c r="K602">
        <v>1</v>
      </c>
      <c r="L602" t="str">
        <f t="shared" si="57"/>
        <v>Correct</v>
      </c>
      <c r="M602">
        <f t="shared" si="58"/>
        <v>57.692307692307686</v>
      </c>
      <c r="N602">
        <f t="shared" si="54"/>
        <v>21.35483870967742</v>
      </c>
      <c r="O602">
        <f t="shared" si="59"/>
        <v>12.783987915407854</v>
      </c>
      <c r="P602" t="str">
        <f t="shared" si="55"/>
        <v>Low Stock</v>
      </c>
    </row>
    <row r="603" spans="1:16" hidden="1" x14ac:dyDescent="0.35">
      <c r="A603" s="4">
        <v>46160</v>
      </c>
      <c r="B603" t="s">
        <v>12</v>
      </c>
      <c r="C603" t="s">
        <v>24</v>
      </c>
      <c r="D603" t="s">
        <v>16</v>
      </c>
      <c r="E603" t="s">
        <v>17</v>
      </c>
      <c r="F603">
        <v>224</v>
      </c>
      <c r="G603">
        <v>15</v>
      </c>
      <c r="H603">
        <v>32</v>
      </c>
      <c r="I603">
        <f t="shared" si="56"/>
        <v>207</v>
      </c>
      <c r="J603">
        <v>37</v>
      </c>
      <c r="K603">
        <v>4</v>
      </c>
      <c r="L603" t="str">
        <f t="shared" si="57"/>
        <v>Correct</v>
      </c>
      <c r="M603">
        <f t="shared" si="58"/>
        <v>86.486486486486484</v>
      </c>
      <c r="N603">
        <f t="shared" si="54"/>
        <v>21.9</v>
      </c>
      <c r="O603">
        <f t="shared" si="59"/>
        <v>9.4520547945205493</v>
      </c>
      <c r="P603" t="str">
        <f t="shared" si="55"/>
        <v>Low Stock</v>
      </c>
    </row>
    <row r="604" spans="1:16" x14ac:dyDescent="0.35">
      <c r="A604" s="4">
        <v>46160</v>
      </c>
      <c r="B604" t="s">
        <v>12</v>
      </c>
      <c r="C604" t="s">
        <v>24</v>
      </c>
      <c r="D604" t="s">
        <v>18</v>
      </c>
      <c r="E604" t="s">
        <v>19</v>
      </c>
      <c r="F604">
        <v>113</v>
      </c>
      <c r="G604">
        <v>35</v>
      </c>
      <c r="H604">
        <v>37</v>
      </c>
      <c r="I604">
        <f t="shared" si="56"/>
        <v>111</v>
      </c>
      <c r="J604">
        <v>48</v>
      </c>
      <c r="K604">
        <v>5</v>
      </c>
      <c r="L604" t="str">
        <f t="shared" si="57"/>
        <v>Correct</v>
      </c>
      <c r="M604">
        <f t="shared" si="58"/>
        <v>77.083333333333343</v>
      </c>
      <c r="N604">
        <f t="shared" si="54"/>
        <v>31.586206896551722</v>
      </c>
      <c r="O604">
        <f t="shared" si="59"/>
        <v>3.5141921397379914</v>
      </c>
      <c r="P604" t="str">
        <f t="shared" si="55"/>
        <v>Low Stock</v>
      </c>
    </row>
    <row r="605" spans="1:16" hidden="1" x14ac:dyDescent="0.35">
      <c r="A605" s="4">
        <v>46171</v>
      </c>
      <c r="B605" t="s">
        <v>12</v>
      </c>
      <c r="C605" t="s">
        <v>24</v>
      </c>
      <c r="D605" t="s">
        <v>20</v>
      </c>
      <c r="E605" t="s">
        <v>21</v>
      </c>
      <c r="F605">
        <v>20</v>
      </c>
      <c r="G605">
        <v>60</v>
      </c>
      <c r="H605">
        <v>31</v>
      </c>
      <c r="I605">
        <f t="shared" si="56"/>
        <v>49</v>
      </c>
      <c r="J605">
        <v>44</v>
      </c>
      <c r="K605">
        <v>5</v>
      </c>
      <c r="L605" t="str">
        <f t="shared" si="57"/>
        <v>Correct</v>
      </c>
      <c r="M605">
        <f t="shared" si="58"/>
        <v>70.454545454545453</v>
      </c>
      <c r="N605">
        <f t="shared" si="54"/>
        <v>34.200000000000003</v>
      </c>
      <c r="O605">
        <f t="shared" si="59"/>
        <v>1.4327485380116958</v>
      </c>
      <c r="P605" t="str">
        <f t="shared" si="55"/>
        <v>Low Stock</v>
      </c>
    </row>
    <row r="606" spans="1:16" hidden="1" x14ac:dyDescent="0.35">
      <c r="A606" s="4">
        <v>46160</v>
      </c>
      <c r="B606" t="s">
        <v>12</v>
      </c>
      <c r="C606" t="s">
        <v>24</v>
      </c>
      <c r="D606" t="s">
        <v>22</v>
      </c>
      <c r="E606" t="s">
        <v>23</v>
      </c>
      <c r="F606">
        <v>437</v>
      </c>
      <c r="G606">
        <v>26</v>
      </c>
      <c r="H606">
        <v>7</v>
      </c>
      <c r="I606">
        <f t="shared" si="56"/>
        <v>456</v>
      </c>
      <c r="J606">
        <v>12</v>
      </c>
      <c r="K606">
        <v>4</v>
      </c>
      <c r="L606" t="str">
        <f t="shared" si="57"/>
        <v>Correct</v>
      </c>
      <c r="M606">
        <f t="shared" si="58"/>
        <v>58.333333333333336</v>
      </c>
      <c r="N606">
        <f t="shared" si="54"/>
        <v>10.96551724137931</v>
      </c>
      <c r="O606">
        <f t="shared" si="59"/>
        <v>41.584905660377359</v>
      </c>
      <c r="P606" t="str">
        <f t="shared" si="55"/>
        <v>Overstock</v>
      </c>
    </row>
    <row r="607" spans="1:16" hidden="1" x14ac:dyDescent="0.35">
      <c r="A607" s="4">
        <v>46160</v>
      </c>
      <c r="B607" t="s">
        <v>12</v>
      </c>
      <c r="C607" t="s">
        <v>25</v>
      </c>
      <c r="D607" t="s">
        <v>14</v>
      </c>
      <c r="E607" t="s">
        <v>15</v>
      </c>
      <c r="F607">
        <v>233</v>
      </c>
      <c r="G607">
        <v>19</v>
      </c>
      <c r="H607">
        <v>11</v>
      </c>
      <c r="I607">
        <f t="shared" si="56"/>
        <v>241</v>
      </c>
      <c r="J607">
        <v>20</v>
      </c>
      <c r="K607">
        <v>1</v>
      </c>
      <c r="L607" t="str">
        <f t="shared" si="57"/>
        <v>Correct</v>
      </c>
      <c r="M607">
        <f t="shared" si="58"/>
        <v>55.000000000000007</v>
      </c>
      <c r="N607">
        <f t="shared" si="54"/>
        <v>20.7</v>
      </c>
      <c r="O607">
        <f t="shared" si="59"/>
        <v>11.642512077294686</v>
      </c>
      <c r="P607" t="str">
        <f t="shared" si="55"/>
        <v>Low Stock</v>
      </c>
    </row>
    <row r="608" spans="1:16" hidden="1" x14ac:dyDescent="0.35">
      <c r="A608" s="4">
        <v>46160</v>
      </c>
      <c r="B608" t="s">
        <v>12</v>
      </c>
      <c r="C608" t="s">
        <v>25</v>
      </c>
      <c r="D608" t="s">
        <v>16</v>
      </c>
      <c r="E608" t="s">
        <v>17</v>
      </c>
      <c r="F608">
        <v>306</v>
      </c>
      <c r="G608">
        <v>31</v>
      </c>
      <c r="H608">
        <v>11</v>
      </c>
      <c r="I608">
        <f t="shared" si="56"/>
        <v>326</v>
      </c>
      <c r="J608">
        <v>25</v>
      </c>
      <c r="K608">
        <v>5</v>
      </c>
      <c r="L608" t="str">
        <f t="shared" si="57"/>
        <v>Correct</v>
      </c>
      <c r="M608">
        <f t="shared" si="58"/>
        <v>44</v>
      </c>
      <c r="N608">
        <f t="shared" si="54"/>
        <v>23.758620689655171</v>
      </c>
      <c r="O608">
        <f t="shared" si="59"/>
        <v>13.721335268505081</v>
      </c>
      <c r="P608" t="str">
        <f t="shared" si="55"/>
        <v>Low Stock</v>
      </c>
    </row>
    <row r="609" spans="1:16" x14ac:dyDescent="0.35">
      <c r="A609" s="4">
        <v>46160</v>
      </c>
      <c r="B609" t="s">
        <v>12</v>
      </c>
      <c r="C609" t="s">
        <v>25</v>
      </c>
      <c r="D609" t="s">
        <v>18</v>
      </c>
      <c r="E609" t="s">
        <v>19</v>
      </c>
      <c r="F609">
        <v>169</v>
      </c>
      <c r="G609">
        <v>9</v>
      </c>
      <c r="H609">
        <v>48</v>
      </c>
      <c r="I609">
        <f t="shared" si="56"/>
        <v>130</v>
      </c>
      <c r="J609">
        <v>62</v>
      </c>
      <c r="K609">
        <v>3</v>
      </c>
      <c r="L609" t="str">
        <f t="shared" si="57"/>
        <v>Correct</v>
      </c>
      <c r="M609">
        <f t="shared" si="58"/>
        <v>77.41935483870968</v>
      </c>
      <c r="N609">
        <f t="shared" si="54"/>
        <v>31.142857142857142</v>
      </c>
      <c r="O609">
        <f t="shared" si="59"/>
        <v>4.1743119266055047</v>
      </c>
      <c r="P609" t="str">
        <f t="shared" si="55"/>
        <v>Low Stock</v>
      </c>
    </row>
    <row r="610" spans="1:16" hidden="1" x14ac:dyDescent="0.35">
      <c r="A610" s="4">
        <v>46160</v>
      </c>
      <c r="B610" t="s">
        <v>12</v>
      </c>
      <c r="C610" t="s">
        <v>25</v>
      </c>
      <c r="D610" t="s">
        <v>20</v>
      </c>
      <c r="E610" t="s">
        <v>21</v>
      </c>
      <c r="F610">
        <v>208</v>
      </c>
      <c r="G610">
        <v>3</v>
      </c>
      <c r="H610">
        <v>34</v>
      </c>
      <c r="I610">
        <f t="shared" si="56"/>
        <v>177</v>
      </c>
      <c r="J610">
        <v>35</v>
      </c>
      <c r="K610">
        <v>1</v>
      </c>
      <c r="L610" t="str">
        <f t="shared" si="57"/>
        <v>Correct</v>
      </c>
      <c r="M610">
        <f t="shared" si="58"/>
        <v>97.142857142857139</v>
      </c>
      <c r="N610">
        <f t="shared" si="54"/>
        <v>31.137931034482758</v>
      </c>
      <c r="O610">
        <f t="shared" si="59"/>
        <v>5.6843853820598005</v>
      </c>
      <c r="P610" t="str">
        <f t="shared" si="55"/>
        <v>Low Stock</v>
      </c>
    </row>
    <row r="611" spans="1:16" hidden="1" x14ac:dyDescent="0.35">
      <c r="A611" s="4">
        <v>46160</v>
      </c>
      <c r="B611" t="s">
        <v>12</v>
      </c>
      <c r="C611" t="s">
        <v>25</v>
      </c>
      <c r="D611" t="s">
        <v>22</v>
      </c>
      <c r="E611" t="s">
        <v>23</v>
      </c>
      <c r="F611">
        <v>488</v>
      </c>
      <c r="G611">
        <v>48</v>
      </c>
      <c r="H611">
        <v>11</v>
      </c>
      <c r="I611">
        <f t="shared" si="56"/>
        <v>525</v>
      </c>
      <c r="J611">
        <v>20</v>
      </c>
      <c r="K611">
        <v>5</v>
      </c>
      <c r="L611" t="str">
        <f t="shared" si="57"/>
        <v>Correct</v>
      </c>
      <c r="M611">
        <f t="shared" si="58"/>
        <v>55.000000000000007</v>
      </c>
      <c r="N611">
        <f t="shared" si="54"/>
        <v>11.3</v>
      </c>
      <c r="O611">
        <f t="shared" si="59"/>
        <v>46.460176991150441</v>
      </c>
      <c r="P611" t="str">
        <f t="shared" si="55"/>
        <v>Overstock</v>
      </c>
    </row>
    <row r="612" spans="1:16" hidden="1" x14ac:dyDescent="0.35">
      <c r="A612" s="4">
        <v>46160</v>
      </c>
      <c r="B612" t="s">
        <v>26</v>
      </c>
      <c r="C612" t="s">
        <v>27</v>
      </c>
      <c r="D612" t="s">
        <v>14</v>
      </c>
      <c r="E612" t="s">
        <v>15</v>
      </c>
      <c r="F612">
        <v>444</v>
      </c>
      <c r="G612">
        <v>57</v>
      </c>
      <c r="H612">
        <v>10</v>
      </c>
      <c r="I612">
        <f t="shared" si="56"/>
        <v>491</v>
      </c>
      <c r="J612">
        <v>21</v>
      </c>
      <c r="K612">
        <v>3</v>
      </c>
      <c r="L612" t="str">
        <f t="shared" si="57"/>
        <v>Correct</v>
      </c>
      <c r="M612">
        <f t="shared" si="58"/>
        <v>47.619047619047613</v>
      </c>
      <c r="N612">
        <f t="shared" si="54"/>
        <v>22.258064516129032</v>
      </c>
      <c r="O612">
        <f t="shared" si="59"/>
        <v>22.059420289855073</v>
      </c>
      <c r="P612" t="str">
        <f t="shared" si="55"/>
        <v>Healthy</v>
      </c>
    </row>
    <row r="613" spans="1:16" hidden="1" x14ac:dyDescent="0.35">
      <c r="A613" s="4">
        <v>46160</v>
      </c>
      <c r="B613" t="s">
        <v>26</v>
      </c>
      <c r="C613" t="s">
        <v>27</v>
      </c>
      <c r="D613" t="s">
        <v>16</v>
      </c>
      <c r="E613" t="s">
        <v>17</v>
      </c>
      <c r="F613">
        <v>290</v>
      </c>
      <c r="G613">
        <v>29</v>
      </c>
      <c r="H613">
        <v>27</v>
      </c>
      <c r="I613">
        <f t="shared" si="56"/>
        <v>292</v>
      </c>
      <c r="J613">
        <v>35</v>
      </c>
      <c r="K613">
        <v>3</v>
      </c>
      <c r="L613" t="str">
        <f t="shared" si="57"/>
        <v>Correct</v>
      </c>
      <c r="M613">
        <f t="shared" si="58"/>
        <v>77.142857142857153</v>
      </c>
      <c r="N613">
        <f t="shared" si="54"/>
        <v>20.172413793103448</v>
      </c>
      <c r="O613">
        <f t="shared" si="59"/>
        <v>14.475213675213675</v>
      </c>
      <c r="P613" t="str">
        <f t="shared" si="55"/>
        <v>Low Stock</v>
      </c>
    </row>
    <row r="614" spans="1:16" x14ac:dyDescent="0.35">
      <c r="A614" s="4">
        <v>46160</v>
      </c>
      <c r="B614" t="s">
        <v>26</v>
      </c>
      <c r="C614" t="s">
        <v>27</v>
      </c>
      <c r="D614" t="s">
        <v>18</v>
      </c>
      <c r="E614" t="s">
        <v>19</v>
      </c>
      <c r="F614">
        <v>204</v>
      </c>
      <c r="G614">
        <v>43</v>
      </c>
      <c r="H614">
        <v>41</v>
      </c>
      <c r="I614">
        <f t="shared" si="56"/>
        <v>206</v>
      </c>
      <c r="J614">
        <v>47</v>
      </c>
      <c r="K614">
        <v>2</v>
      </c>
      <c r="L614" t="str">
        <f t="shared" si="57"/>
        <v>Correct</v>
      </c>
      <c r="M614">
        <f t="shared" si="58"/>
        <v>87.2340425531915</v>
      </c>
      <c r="N614">
        <f t="shared" si="54"/>
        <v>29.733333333333334</v>
      </c>
      <c r="O614">
        <f t="shared" si="59"/>
        <v>6.928251121076233</v>
      </c>
      <c r="P614" t="str">
        <f t="shared" si="55"/>
        <v>Low Stock</v>
      </c>
    </row>
    <row r="615" spans="1:16" hidden="1" x14ac:dyDescent="0.35">
      <c r="A615" s="4">
        <v>46160</v>
      </c>
      <c r="B615" t="s">
        <v>26</v>
      </c>
      <c r="C615" t="s">
        <v>27</v>
      </c>
      <c r="D615" t="s">
        <v>20</v>
      </c>
      <c r="E615" t="s">
        <v>21</v>
      </c>
      <c r="F615">
        <v>307</v>
      </c>
      <c r="G615">
        <v>27</v>
      </c>
      <c r="H615">
        <v>19</v>
      </c>
      <c r="I615">
        <f t="shared" si="56"/>
        <v>315</v>
      </c>
      <c r="J615">
        <v>23</v>
      </c>
      <c r="K615">
        <v>3</v>
      </c>
      <c r="L615" t="str">
        <f t="shared" si="57"/>
        <v>Correct</v>
      </c>
      <c r="M615">
        <f t="shared" si="58"/>
        <v>82.608695652173907</v>
      </c>
      <c r="N615">
        <f t="shared" si="54"/>
        <v>30.724137931034484</v>
      </c>
      <c r="O615">
        <f t="shared" si="59"/>
        <v>10.252525252525253</v>
      </c>
      <c r="P615" t="str">
        <f t="shared" si="55"/>
        <v>Low Stock</v>
      </c>
    </row>
    <row r="616" spans="1:16" hidden="1" x14ac:dyDescent="0.35">
      <c r="A616" s="4">
        <v>46160</v>
      </c>
      <c r="B616" t="s">
        <v>26</v>
      </c>
      <c r="C616" t="s">
        <v>27</v>
      </c>
      <c r="D616" t="s">
        <v>22</v>
      </c>
      <c r="E616" t="s">
        <v>23</v>
      </c>
      <c r="F616">
        <v>332</v>
      </c>
      <c r="G616">
        <v>27</v>
      </c>
      <c r="H616">
        <v>6</v>
      </c>
      <c r="I616">
        <f t="shared" si="56"/>
        <v>353</v>
      </c>
      <c r="J616">
        <v>7</v>
      </c>
      <c r="K616">
        <v>3</v>
      </c>
      <c r="L616" t="str">
        <f t="shared" si="57"/>
        <v>Correct</v>
      </c>
      <c r="M616">
        <f t="shared" si="58"/>
        <v>85.714285714285708</v>
      </c>
      <c r="N616">
        <f t="shared" si="54"/>
        <v>11.566666666666666</v>
      </c>
      <c r="O616">
        <f t="shared" si="59"/>
        <v>30.518731988472624</v>
      </c>
      <c r="P616" t="str">
        <f t="shared" si="55"/>
        <v>Overstock</v>
      </c>
    </row>
    <row r="617" spans="1:16" hidden="1" x14ac:dyDescent="0.35">
      <c r="A617" s="4">
        <v>46160</v>
      </c>
      <c r="B617" t="s">
        <v>12</v>
      </c>
      <c r="C617" t="s">
        <v>13</v>
      </c>
      <c r="D617" t="s">
        <v>14</v>
      </c>
      <c r="E617" t="s">
        <v>15</v>
      </c>
      <c r="F617">
        <v>287</v>
      </c>
      <c r="G617">
        <v>57</v>
      </c>
      <c r="H617">
        <v>23</v>
      </c>
      <c r="I617">
        <f t="shared" si="56"/>
        <v>321</v>
      </c>
      <c r="J617">
        <v>28</v>
      </c>
      <c r="K617">
        <v>2</v>
      </c>
      <c r="L617" t="str">
        <f t="shared" si="57"/>
        <v>Correct</v>
      </c>
      <c r="M617">
        <f t="shared" si="58"/>
        <v>82.142857142857139</v>
      </c>
      <c r="N617">
        <f t="shared" si="54"/>
        <v>21.666666666666668</v>
      </c>
      <c r="O617">
        <f t="shared" si="59"/>
        <v>14.815384615384614</v>
      </c>
      <c r="P617" t="str">
        <f t="shared" si="55"/>
        <v>Low Stock</v>
      </c>
    </row>
    <row r="618" spans="1:16" hidden="1" x14ac:dyDescent="0.35">
      <c r="A618" s="4">
        <v>46160</v>
      </c>
      <c r="B618" t="s">
        <v>28</v>
      </c>
      <c r="C618" t="s">
        <v>29</v>
      </c>
      <c r="D618" t="s">
        <v>16</v>
      </c>
      <c r="E618" t="s">
        <v>17</v>
      </c>
      <c r="F618">
        <v>327</v>
      </c>
      <c r="G618">
        <v>12</v>
      </c>
      <c r="H618">
        <v>25</v>
      </c>
      <c r="I618">
        <f t="shared" si="56"/>
        <v>314</v>
      </c>
      <c r="J618">
        <v>25</v>
      </c>
      <c r="K618">
        <v>3</v>
      </c>
      <c r="L618" t="str">
        <f t="shared" si="57"/>
        <v>Correct</v>
      </c>
      <c r="M618">
        <f t="shared" si="58"/>
        <v>100</v>
      </c>
      <c r="N618">
        <f t="shared" si="54"/>
        <v>19.96551724137931</v>
      </c>
      <c r="O618">
        <f t="shared" si="59"/>
        <v>15.727115716753023</v>
      </c>
      <c r="P618" t="str">
        <f t="shared" si="55"/>
        <v>Healthy</v>
      </c>
    </row>
    <row r="619" spans="1:16" x14ac:dyDescent="0.35">
      <c r="A619" s="4">
        <v>46160</v>
      </c>
      <c r="B619" t="s">
        <v>28</v>
      </c>
      <c r="C619" t="s">
        <v>29</v>
      </c>
      <c r="D619" t="s">
        <v>18</v>
      </c>
      <c r="E619" t="s">
        <v>19</v>
      </c>
      <c r="F619">
        <v>89</v>
      </c>
      <c r="G619">
        <v>57</v>
      </c>
      <c r="H619">
        <v>23</v>
      </c>
      <c r="I619">
        <f t="shared" si="56"/>
        <v>123</v>
      </c>
      <c r="J619">
        <v>37</v>
      </c>
      <c r="K619">
        <v>4</v>
      </c>
      <c r="L619" t="str">
        <f t="shared" si="57"/>
        <v>Correct</v>
      </c>
      <c r="M619">
        <f t="shared" si="58"/>
        <v>62.162162162162161</v>
      </c>
      <c r="N619">
        <f t="shared" si="54"/>
        <v>31.206896551724139</v>
      </c>
      <c r="O619">
        <f t="shared" si="59"/>
        <v>3.9414364640883979</v>
      </c>
      <c r="P619" t="str">
        <f t="shared" si="55"/>
        <v>Low Stock</v>
      </c>
    </row>
    <row r="620" spans="1:16" hidden="1" x14ac:dyDescent="0.35">
      <c r="A620" s="4">
        <v>46160</v>
      </c>
      <c r="B620" t="s">
        <v>28</v>
      </c>
      <c r="C620" t="s">
        <v>29</v>
      </c>
      <c r="D620" t="s">
        <v>20</v>
      </c>
      <c r="E620" t="s">
        <v>21</v>
      </c>
      <c r="F620">
        <v>20</v>
      </c>
      <c r="G620">
        <v>57</v>
      </c>
      <c r="H620">
        <v>45</v>
      </c>
      <c r="I620">
        <f t="shared" si="56"/>
        <v>32</v>
      </c>
      <c r="J620">
        <v>45</v>
      </c>
      <c r="K620">
        <v>5</v>
      </c>
      <c r="L620" t="str">
        <f t="shared" si="57"/>
        <v>Correct</v>
      </c>
      <c r="M620">
        <f t="shared" si="58"/>
        <v>100</v>
      </c>
      <c r="N620">
        <f t="shared" si="54"/>
        <v>32.620689655172413</v>
      </c>
      <c r="O620">
        <f t="shared" si="59"/>
        <v>0.98097251585623679</v>
      </c>
      <c r="P620" t="str">
        <f t="shared" si="55"/>
        <v>Low Stock</v>
      </c>
    </row>
    <row r="621" spans="1:16" hidden="1" x14ac:dyDescent="0.35">
      <c r="A621" s="4">
        <v>46160</v>
      </c>
      <c r="B621" t="s">
        <v>28</v>
      </c>
      <c r="C621" t="s">
        <v>29</v>
      </c>
      <c r="D621" t="s">
        <v>14</v>
      </c>
      <c r="E621" t="s">
        <v>15</v>
      </c>
      <c r="F621">
        <v>588</v>
      </c>
      <c r="G621">
        <v>7</v>
      </c>
      <c r="H621">
        <v>8</v>
      </c>
      <c r="I621">
        <f t="shared" si="56"/>
        <v>587</v>
      </c>
      <c r="J621">
        <v>8</v>
      </c>
      <c r="K621">
        <v>1</v>
      </c>
      <c r="L621" t="str">
        <f t="shared" si="57"/>
        <v>Correct</v>
      </c>
      <c r="M621">
        <f t="shared" si="58"/>
        <v>100</v>
      </c>
      <c r="N621">
        <f t="shared" si="54"/>
        <v>22.25</v>
      </c>
      <c r="O621">
        <f t="shared" si="59"/>
        <v>26.382022471910112</v>
      </c>
      <c r="P621" t="str">
        <f t="shared" si="55"/>
        <v>Healthy</v>
      </c>
    </row>
    <row r="622" spans="1:16" hidden="1" x14ac:dyDescent="0.35">
      <c r="A622" s="4">
        <v>46160</v>
      </c>
      <c r="B622" t="s">
        <v>31</v>
      </c>
      <c r="C622" t="s">
        <v>32</v>
      </c>
      <c r="D622" t="s">
        <v>14</v>
      </c>
      <c r="E622" t="s">
        <v>15</v>
      </c>
      <c r="F622">
        <v>298</v>
      </c>
      <c r="G622">
        <v>46</v>
      </c>
      <c r="H622">
        <v>28</v>
      </c>
      <c r="I622">
        <f t="shared" si="56"/>
        <v>316</v>
      </c>
      <c r="J622">
        <v>43</v>
      </c>
      <c r="K622">
        <v>4</v>
      </c>
      <c r="L622" t="str">
        <f t="shared" si="57"/>
        <v>Correct</v>
      </c>
      <c r="M622">
        <f t="shared" si="58"/>
        <v>65.116279069767444</v>
      </c>
      <c r="N622">
        <f t="shared" si="54"/>
        <v>20.84375</v>
      </c>
      <c r="O622">
        <f t="shared" si="59"/>
        <v>15.160419790104948</v>
      </c>
      <c r="P622" t="str">
        <f t="shared" si="55"/>
        <v>Healthy</v>
      </c>
    </row>
    <row r="623" spans="1:16" hidden="1" x14ac:dyDescent="0.35">
      <c r="A623" s="4">
        <v>46160</v>
      </c>
      <c r="B623" t="s">
        <v>31</v>
      </c>
      <c r="C623" t="s">
        <v>32</v>
      </c>
      <c r="D623" t="s">
        <v>16</v>
      </c>
      <c r="E623" t="s">
        <v>17</v>
      </c>
      <c r="F623">
        <v>347</v>
      </c>
      <c r="G623">
        <v>54</v>
      </c>
      <c r="H623">
        <v>8</v>
      </c>
      <c r="I623">
        <f t="shared" si="56"/>
        <v>393</v>
      </c>
      <c r="J623">
        <v>23</v>
      </c>
      <c r="K623">
        <v>1</v>
      </c>
      <c r="L623" t="str">
        <f t="shared" si="57"/>
        <v>Correct</v>
      </c>
      <c r="M623">
        <f t="shared" si="58"/>
        <v>34.782608695652172</v>
      </c>
      <c r="N623">
        <f t="shared" si="54"/>
        <v>21.46875</v>
      </c>
      <c r="O623">
        <f t="shared" si="59"/>
        <v>18.305676855895197</v>
      </c>
      <c r="P623" t="str">
        <f t="shared" si="55"/>
        <v>Healthy</v>
      </c>
    </row>
    <row r="624" spans="1:16" x14ac:dyDescent="0.35">
      <c r="A624" s="4">
        <v>46160</v>
      </c>
      <c r="B624" t="s">
        <v>31</v>
      </c>
      <c r="C624" t="s">
        <v>32</v>
      </c>
      <c r="D624" t="s">
        <v>18</v>
      </c>
      <c r="E624" t="s">
        <v>19</v>
      </c>
      <c r="F624">
        <v>107</v>
      </c>
      <c r="G624">
        <v>23</v>
      </c>
      <c r="H624">
        <v>16</v>
      </c>
      <c r="I624">
        <f t="shared" si="56"/>
        <v>114</v>
      </c>
      <c r="J624">
        <v>0</v>
      </c>
      <c r="K624">
        <v>4</v>
      </c>
      <c r="L624" t="str">
        <f t="shared" si="57"/>
        <v>Correct</v>
      </c>
      <c r="M624">
        <f t="shared" si="58"/>
        <v>0</v>
      </c>
      <c r="N624">
        <f t="shared" si="54"/>
        <v>30.586206896551722</v>
      </c>
      <c r="O624">
        <f t="shared" si="59"/>
        <v>3.7271702367531003</v>
      </c>
      <c r="P624" t="str">
        <f t="shared" si="55"/>
        <v>Low Stock</v>
      </c>
    </row>
    <row r="625" spans="1:16" hidden="1" x14ac:dyDescent="0.35">
      <c r="A625" s="4">
        <v>46160</v>
      </c>
      <c r="B625" t="s">
        <v>31</v>
      </c>
      <c r="C625" t="s">
        <v>32</v>
      </c>
      <c r="D625" t="s">
        <v>20</v>
      </c>
      <c r="E625" t="s">
        <v>21</v>
      </c>
      <c r="F625">
        <v>127</v>
      </c>
      <c r="G625">
        <v>8</v>
      </c>
      <c r="H625">
        <v>32</v>
      </c>
      <c r="I625">
        <f t="shared" si="56"/>
        <v>103</v>
      </c>
      <c r="J625">
        <v>37</v>
      </c>
      <c r="K625">
        <v>2</v>
      </c>
      <c r="L625" t="str">
        <f t="shared" si="57"/>
        <v>Correct</v>
      </c>
      <c r="M625">
        <f t="shared" si="58"/>
        <v>86.486486486486484</v>
      </c>
      <c r="N625">
        <f t="shared" si="54"/>
        <v>32.299999999999997</v>
      </c>
      <c r="O625">
        <f t="shared" si="59"/>
        <v>3.1888544891640871</v>
      </c>
      <c r="P625" t="str">
        <f t="shared" si="55"/>
        <v>Low Stock</v>
      </c>
    </row>
    <row r="626" spans="1:16" hidden="1" x14ac:dyDescent="0.35">
      <c r="A626" s="4">
        <v>46160</v>
      </c>
      <c r="B626" t="s">
        <v>31</v>
      </c>
      <c r="C626" t="s">
        <v>32</v>
      </c>
      <c r="D626" t="s">
        <v>22</v>
      </c>
      <c r="E626" t="s">
        <v>23</v>
      </c>
      <c r="F626">
        <v>691</v>
      </c>
      <c r="G626">
        <v>12</v>
      </c>
      <c r="H626">
        <v>4</v>
      </c>
      <c r="I626">
        <f t="shared" si="56"/>
        <v>699</v>
      </c>
      <c r="J626">
        <v>11</v>
      </c>
      <c r="K626">
        <v>4</v>
      </c>
      <c r="L626" t="str">
        <f t="shared" si="57"/>
        <v>Correct</v>
      </c>
      <c r="M626">
        <f t="shared" si="58"/>
        <v>36.363636363636367</v>
      </c>
      <c r="N626">
        <f t="shared" si="54"/>
        <v>10.413793103448276</v>
      </c>
      <c r="O626">
        <f t="shared" si="59"/>
        <v>67.122516556291387</v>
      </c>
      <c r="P626" t="str">
        <f t="shared" si="55"/>
        <v>Overstock</v>
      </c>
    </row>
    <row r="627" spans="1:16" hidden="1" x14ac:dyDescent="0.35">
      <c r="A627" s="4">
        <v>46160</v>
      </c>
      <c r="B627" t="s">
        <v>33</v>
      </c>
      <c r="C627" t="s">
        <v>34</v>
      </c>
      <c r="D627" t="s">
        <v>14</v>
      </c>
      <c r="E627" t="s">
        <v>15</v>
      </c>
      <c r="F627">
        <v>183</v>
      </c>
      <c r="G627">
        <v>50</v>
      </c>
      <c r="H627">
        <v>16</v>
      </c>
      <c r="I627">
        <f t="shared" si="56"/>
        <v>217</v>
      </c>
      <c r="J627">
        <v>31</v>
      </c>
      <c r="K627">
        <v>1</v>
      </c>
      <c r="L627" t="str">
        <f t="shared" si="57"/>
        <v>Correct</v>
      </c>
      <c r="M627">
        <f t="shared" si="58"/>
        <v>51.612903225806448</v>
      </c>
      <c r="N627">
        <f t="shared" si="54"/>
        <v>20.70967741935484</v>
      </c>
      <c r="O627">
        <f t="shared" si="59"/>
        <v>10.478193146417444</v>
      </c>
      <c r="P627" t="str">
        <f t="shared" si="55"/>
        <v>Low Stock</v>
      </c>
    </row>
    <row r="628" spans="1:16" hidden="1" x14ac:dyDescent="0.35">
      <c r="A628" s="4">
        <v>46160</v>
      </c>
      <c r="B628" t="s">
        <v>31</v>
      </c>
      <c r="C628" t="s">
        <v>32</v>
      </c>
      <c r="D628" t="s">
        <v>16</v>
      </c>
      <c r="E628" t="s">
        <v>17</v>
      </c>
      <c r="F628">
        <v>247</v>
      </c>
      <c r="G628">
        <v>45</v>
      </c>
      <c r="H628">
        <v>24</v>
      </c>
      <c r="I628">
        <f t="shared" si="56"/>
        <v>268</v>
      </c>
      <c r="J628">
        <v>29</v>
      </c>
      <c r="K628">
        <v>2</v>
      </c>
      <c r="L628" t="str">
        <f t="shared" si="57"/>
        <v>Correct</v>
      </c>
      <c r="M628">
        <f t="shared" si="58"/>
        <v>82.758620689655174</v>
      </c>
      <c r="N628">
        <f t="shared" si="54"/>
        <v>21.46875</v>
      </c>
      <c r="O628">
        <f t="shared" si="59"/>
        <v>12.483260553129549</v>
      </c>
      <c r="P628" t="str">
        <f t="shared" si="55"/>
        <v>Low Stock</v>
      </c>
    </row>
    <row r="629" spans="1:16" x14ac:dyDescent="0.35">
      <c r="A629" s="4">
        <v>46160</v>
      </c>
      <c r="B629" t="s">
        <v>33</v>
      </c>
      <c r="C629" t="s">
        <v>34</v>
      </c>
      <c r="D629" t="s">
        <v>18</v>
      </c>
      <c r="E629" t="s">
        <v>19</v>
      </c>
      <c r="F629">
        <v>185</v>
      </c>
      <c r="G629">
        <v>12</v>
      </c>
      <c r="H629">
        <v>23</v>
      </c>
      <c r="I629">
        <f t="shared" si="56"/>
        <v>174</v>
      </c>
      <c r="J629">
        <v>37</v>
      </c>
      <c r="K629">
        <v>5</v>
      </c>
      <c r="L629" t="str">
        <f t="shared" si="57"/>
        <v>Correct</v>
      </c>
      <c r="M629">
        <f t="shared" si="58"/>
        <v>62.162162162162161</v>
      </c>
      <c r="N629">
        <f t="shared" si="54"/>
        <v>30.275862068965516</v>
      </c>
      <c r="O629">
        <f t="shared" si="59"/>
        <v>5.7471526195899774</v>
      </c>
      <c r="P629" t="str">
        <f t="shared" si="55"/>
        <v>Low Stock</v>
      </c>
    </row>
    <row r="630" spans="1:16" hidden="1" x14ac:dyDescent="0.35">
      <c r="A630" s="4">
        <v>46160</v>
      </c>
      <c r="B630" t="s">
        <v>33</v>
      </c>
      <c r="C630" t="s">
        <v>34</v>
      </c>
      <c r="D630" t="s">
        <v>20</v>
      </c>
      <c r="E630" t="s">
        <v>21</v>
      </c>
      <c r="F630">
        <v>321</v>
      </c>
      <c r="G630">
        <v>55</v>
      </c>
      <c r="H630">
        <v>29</v>
      </c>
      <c r="I630">
        <f t="shared" si="56"/>
        <v>347</v>
      </c>
      <c r="J630">
        <v>39</v>
      </c>
      <c r="K630">
        <v>1</v>
      </c>
      <c r="L630" t="str">
        <f t="shared" si="57"/>
        <v>Correct</v>
      </c>
      <c r="M630">
        <f t="shared" si="58"/>
        <v>74.358974358974365</v>
      </c>
      <c r="N630">
        <f t="shared" si="54"/>
        <v>30.931034482758619</v>
      </c>
      <c r="O630">
        <f t="shared" si="59"/>
        <v>11.21850613154961</v>
      </c>
      <c r="P630" t="str">
        <f t="shared" si="55"/>
        <v>Low Stock</v>
      </c>
    </row>
    <row r="631" spans="1:16" hidden="1" x14ac:dyDescent="0.35">
      <c r="A631" s="4">
        <v>46160</v>
      </c>
      <c r="B631" t="s">
        <v>33</v>
      </c>
      <c r="C631" t="s">
        <v>34</v>
      </c>
      <c r="D631" t="s">
        <v>22</v>
      </c>
      <c r="E631" t="s">
        <v>23</v>
      </c>
      <c r="F631">
        <v>415</v>
      </c>
      <c r="G631">
        <v>37</v>
      </c>
      <c r="H631">
        <v>11</v>
      </c>
      <c r="I631">
        <f t="shared" si="56"/>
        <v>441</v>
      </c>
      <c r="J631">
        <v>17</v>
      </c>
      <c r="K631">
        <v>5</v>
      </c>
      <c r="L631" t="str">
        <f t="shared" si="57"/>
        <v>Correct</v>
      </c>
      <c r="M631">
        <f t="shared" si="58"/>
        <v>64.705882352941174</v>
      </c>
      <c r="N631">
        <f t="shared" si="54"/>
        <v>10.25</v>
      </c>
      <c r="O631">
        <f t="shared" si="59"/>
        <v>43.024390243902438</v>
      </c>
      <c r="P631" t="str">
        <f t="shared" si="55"/>
        <v>Overstock</v>
      </c>
    </row>
    <row r="632" spans="1:16" hidden="1" x14ac:dyDescent="0.35">
      <c r="A632" s="4">
        <v>46161</v>
      </c>
      <c r="B632" t="s">
        <v>12</v>
      </c>
      <c r="C632" t="s">
        <v>13</v>
      </c>
      <c r="D632" t="s">
        <v>14</v>
      </c>
      <c r="E632" t="s">
        <v>15</v>
      </c>
      <c r="F632">
        <v>450</v>
      </c>
      <c r="G632">
        <v>48</v>
      </c>
      <c r="H632">
        <v>25</v>
      </c>
      <c r="I632">
        <f t="shared" si="56"/>
        <v>473</v>
      </c>
      <c r="J632">
        <v>28</v>
      </c>
      <c r="K632">
        <v>1</v>
      </c>
      <c r="L632" t="str">
        <f t="shared" si="57"/>
        <v>Correct</v>
      </c>
      <c r="M632">
        <f t="shared" si="58"/>
        <v>89.285714285714292</v>
      </c>
      <c r="N632">
        <f t="shared" si="54"/>
        <v>21.666666666666668</v>
      </c>
      <c r="O632">
        <f t="shared" si="59"/>
        <v>21.830769230769228</v>
      </c>
      <c r="P632" t="str">
        <f t="shared" si="55"/>
        <v>Healthy</v>
      </c>
    </row>
    <row r="633" spans="1:16" hidden="1" x14ac:dyDescent="0.35">
      <c r="A633" s="4">
        <v>46161</v>
      </c>
      <c r="B633" t="s">
        <v>12</v>
      </c>
      <c r="C633" t="s">
        <v>13</v>
      </c>
      <c r="D633" t="s">
        <v>16</v>
      </c>
      <c r="E633" t="s">
        <v>17</v>
      </c>
      <c r="F633">
        <v>317</v>
      </c>
      <c r="G633">
        <v>5</v>
      </c>
      <c r="H633">
        <v>17</v>
      </c>
      <c r="I633">
        <f t="shared" si="56"/>
        <v>305</v>
      </c>
      <c r="J633">
        <v>23</v>
      </c>
      <c r="K633">
        <v>1</v>
      </c>
      <c r="L633" t="str">
        <f t="shared" si="57"/>
        <v>Correct</v>
      </c>
      <c r="M633">
        <f t="shared" si="58"/>
        <v>73.91304347826086</v>
      </c>
      <c r="N633">
        <f t="shared" si="54"/>
        <v>20.030303030303031</v>
      </c>
      <c r="O633">
        <f t="shared" si="59"/>
        <v>15.226928895612707</v>
      </c>
      <c r="P633" t="str">
        <f t="shared" si="55"/>
        <v>Healthy</v>
      </c>
    </row>
    <row r="634" spans="1:16" x14ac:dyDescent="0.35">
      <c r="A634" s="4">
        <v>46161</v>
      </c>
      <c r="B634" t="s">
        <v>12</v>
      </c>
      <c r="C634" t="s">
        <v>13</v>
      </c>
      <c r="D634" t="s">
        <v>18</v>
      </c>
      <c r="E634" t="s">
        <v>19</v>
      </c>
      <c r="F634">
        <v>218</v>
      </c>
      <c r="G634">
        <v>25</v>
      </c>
      <c r="H634">
        <v>50</v>
      </c>
      <c r="I634">
        <f t="shared" si="56"/>
        <v>193</v>
      </c>
      <c r="J634">
        <v>55</v>
      </c>
      <c r="K634">
        <v>2</v>
      </c>
      <c r="L634" t="str">
        <f t="shared" si="57"/>
        <v>Correct</v>
      </c>
      <c r="M634">
        <f t="shared" si="58"/>
        <v>90.909090909090907</v>
      </c>
      <c r="N634">
        <f t="shared" si="54"/>
        <v>33.34375</v>
      </c>
      <c r="O634">
        <f t="shared" si="59"/>
        <v>5.7881911902530456</v>
      </c>
      <c r="P634" t="str">
        <f t="shared" si="55"/>
        <v>Low Stock</v>
      </c>
    </row>
    <row r="635" spans="1:16" hidden="1" x14ac:dyDescent="0.35">
      <c r="A635" s="4">
        <v>46161</v>
      </c>
      <c r="B635" t="s">
        <v>12</v>
      </c>
      <c r="C635" t="s">
        <v>13</v>
      </c>
      <c r="D635" t="s">
        <v>20</v>
      </c>
      <c r="E635" t="s">
        <v>21</v>
      </c>
      <c r="F635">
        <v>48</v>
      </c>
      <c r="G635">
        <v>51</v>
      </c>
      <c r="H635">
        <v>38</v>
      </c>
      <c r="I635">
        <f t="shared" si="56"/>
        <v>61</v>
      </c>
      <c r="J635">
        <v>42</v>
      </c>
      <c r="K635">
        <v>4</v>
      </c>
      <c r="L635" t="str">
        <f t="shared" si="57"/>
        <v>Correct</v>
      </c>
      <c r="M635">
        <f t="shared" si="58"/>
        <v>90.476190476190482</v>
      </c>
      <c r="N635">
        <f t="shared" si="54"/>
        <v>34.515151515151516</v>
      </c>
      <c r="O635">
        <f t="shared" si="59"/>
        <v>1.7673397717295873</v>
      </c>
      <c r="P635" t="str">
        <f t="shared" si="55"/>
        <v>Low Stock</v>
      </c>
    </row>
    <row r="636" spans="1:16" hidden="1" x14ac:dyDescent="0.35">
      <c r="A636" s="4">
        <v>46161</v>
      </c>
      <c r="B636" t="s">
        <v>12</v>
      </c>
      <c r="C636" t="s">
        <v>13</v>
      </c>
      <c r="D636" t="s">
        <v>22</v>
      </c>
      <c r="E636" t="s">
        <v>23</v>
      </c>
      <c r="F636">
        <v>345</v>
      </c>
      <c r="G636">
        <v>41</v>
      </c>
      <c r="H636">
        <v>9</v>
      </c>
      <c r="I636">
        <f t="shared" si="56"/>
        <v>377</v>
      </c>
      <c r="J636">
        <v>24</v>
      </c>
      <c r="K636">
        <v>5</v>
      </c>
      <c r="L636" t="str">
        <f t="shared" si="57"/>
        <v>Correct</v>
      </c>
      <c r="M636">
        <f t="shared" si="58"/>
        <v>37.5</v>
      </c>
      <c r="N636">
        <f t="shared" si="54"/>
        <v>9.9032258064516121</v>
      </c>
      <c r="O636">
        <f t="shared" si="59"/>
        <v>38.068403908794792</v>
      </c>
      <c r="P636" t="str">
        <f t="shared" si="55"/>
        <v>Overstock</v>
      </c>
    </row>
    <row r="637" spans="1:16" hidden="1" x14ac:dyDescent="0.35">
      <c r="A637" s="4">
        <v>46161</v>
      </c>
      <c r="B637" t="s">
        <v>12</v>
      </c>
      <c r="C637" t="s">
        <v>13</v>
      </c>
      <c r="D637" t="s">
        <v>14</v>
      </c>
      <c r="E637" t="s">
        <v>15</v>
      </c>
      <c r="F637">
        <v>273</v>
      </c>
      <c r="G637">
        <v>33</v>
      </c>
      <c r="H637">
        <v>35</v>
      </c>
      <c r="I637">
        <f t="shared" si="56"/>
        <v>271</v>
      </c>
      <c r="J637">
        <v>44</v>
      </c>
      <c r="K637">
        <v>5</v>
      </c>
      <c r="L637" t="str">
        <f t="shared" si="57"/>
        <v>Correct</v>
      </c>
      <c r="M637">
        <f t="shared" si="58"/>
        <v>79.545454545454547</v>
      </c>
      <c r="N637">
        <f t="shared" si="54"/>
        <v>21.666666666666668</v>
      </c>
      <c r="O637">
        <f t="shared" si="59"/>
        <v>12.507692307692308</v>
      </c>
      <c r="P637" t="str">
        <f t="shared" si="55"/>
        <v>Low Stock</v>
      </c>
    </row>
    <row r="638" spans="1:16" hidden="1" x14ac:dyDescent="0.35">
      <c r="A638" s="4">
        <v>46161</v>
      </c>
      <c r="B638" t="s">
        <v>12</v>
      </c>
      <c r="C638" t="s">
        <v>24</v>
      </c>
      <c r="D638" t="s">
        <v>16</v>
      </c>
      <c r="E638" t="s">
        <v>17</v>
      </c>
      <c r="F638">
        <v>207</v>
      </c>
      <c r="G638">
        <v>28</v>
      </c>
      <c r="H638">
        <v>22</v>
      </c>
      <c r="I638">
        <f t="shared" si="56"/>
        <v>213</v>
      </c>
      <c r="J638">
        <v>37</v>
      </c>
      <c r="K638">
        <v>1</v>
      </c>
      <c r="L638" t="str">
        <f t="shared" si="57"/>
        <v>Correct</v>
      </c>
      <c r="M638">
        <f t="shared" si="58"/>
        <v>59.45945945945946</v>
      </c>
      <c r="N638">
        <f t="shared" si="54"/>
        <v>21.9</v>
      </c>
      <c r="O638">
        <f t="shared" si="59"/>
        <v>9.7260273972602747</v>
      </c>
      <c r="P638" t="str">
        <f t="shared" si="55"/>
        <v>Low Stock</v>
      </c>
    </row>
    <row r="639" spans="1:16" x14ac:dyDescent="0.35">
      <c r="A639" s="4">
        <v>46161</v>
      </c>
      <c r="B639" t="s">
        <v>12</v>
      </c>
      <c r="C639" t="s">
        <v>24</v>
      </c>
      <c r="D639" t="s">
        <v>18</v>
      </c>
      <c r="E639" t="s">
        <v>19</v>
      </c>
      <c r="F639">
        <v>111</v>
      </c>
      <c r="G639">
        <v>60</v>
      </c>
      <c r="H639">
        <v>22</v>
      </c>
      <c r="I639">
        <f t="shared" si="56"/>
        <v>149</v>
      </c>
      <c r="J639">
        <v>28</v>
      </c>
      <c r="K639">
        <v>3</v>
      </c>
      <c r="L639" t="str">
        <f t="shared" si="57"/>
        <v>Correct</v>
      </c>
      <c r="M639">
        <f t="shared" si="58"/>
        <v>78.571428571428569</v>
      </c>
      <c r="N639">
        <f t="shared" si="54"/>
        <v>31.586206896551722</v>
      </c>
      <c r="O639">
        <f t="shared" si="59"/>
        <v>4.7172489082969431</v>
      </c>
      <c r="P639" t="str">
        <f t="shared" si="55"/>
        <v>Low Stock</v>
      </c>
    </row>
    <row r="640" spans="1:16" hidden="1" x14ac:dyDescent="0.35">
      <c r="A640" s="4">
        <v>46161</v>
      </c>
      <c r="B640" t="s">
        <v>12</v>
      </c>
      <c r="C640" t="s">
        <v>24</v>
      </c>
      <c r="D640" t="s">
        <v>20</v>
      </c>
      <c r="E640" t="s">
        <v>21</v>
      </c>
      <c r="F640">
        <v>49</v>
      </c>
      <c r="G640">
        <v>16</v>
      </c>
      <c r="H640">
        <v>50</v>
      </c>
      <c r="I640">
        <f t="shared" si="56"/>
        <v>15</v>
      </c>
      <c r="J640">
        <v>61</v>
      </c>
      <c r="K640">
        <v>3</v>
      </c>
      <c r="L640" t="str">
        <f t="shared" si="57"/>
        <v>Correct</v>
      </c>
      <c r="M640">
        <f t="shared" si="58"/>
        <v>81.967213114754102</v>
      </c>
      <c r="N640">
        <f t="shared" si="54"/>
        <v>34.200000000000003</v>
      </c>
      <c r="O640">
        <f t="shared" si="59"/>
        <v>0.43859649122807015</v>
      </c>
      <c r="P640" t="str">
        <f t="shared" si="55"/>
        <v>Low Stock</v>
      </c>
    </row>
    <row r="641" spans="1:16" hidden="1" x14ac:dyDescent="0.35">
      <c r="A641" s="4">
        <v>46161</v>
      </c>
      <c r="B641" t="s">
        <v>12</v>
      </c>
      <c r="C641" t="s">
        <v>24</v>
      </c>
      <c r="D641" t="s">
        <v>22</v>
      </c>
      <c r="E641" t="s">
        <v>23</v>
      </c>
      <c r="F641">
        <v>456</v>
      </c>
      <c r="G641">
        <v>6</v>
      </c>
      <c r="H641">
        <v>11</v>
      </c>
      <c r="I641">
        <f t="shared" si="56"/>
        <v>451</v>
      </c>
      <c r="J641">
        <v>26</v>
      </c>
      <c r="K641">
        <v>3</v>
      </c>
      <c r="L641" t="str">
        <f t="shared" si="57"/>
        <v>Correct</v>
      </c>
      <c r="M641">
        <f t="shared" si="58"/>
        <v>42.307692307692307</v>
      </c>
      <c r="N641">
        <f t="shared" si="54"/>
        <v>10.96551724137931</v>
      </c>
      <c r="O641">
        <f t="shared" si="59"/>
        <v>41.128930817610069</v>
      </c>
      <c r="P641" t="str">
        <f t="shared" si="55"/>
        <v>Overstock</v>
      </c>
    </row>
    <row r="642" spans="1:16" hidden="1" x14ac:dyDescent="0.35">
      <c r="A642" s="4">
        <v>46161</v>
      </c>
      <c r="B642" t="s">
        <v>12</v>
      </c>
      <c r="C642" t="s">
        <v>25</v>
      </c>
      <c r="D642" t="s">
        <v>14</v>
      </c>
      <c r="E642" t="s">
        <v>15</v>
      </c>
      <c r="F642">
        <v>241</v>
      </c>
      <c r="G642">
        <v>51</v>
      </c>
      <c r="H642">
        <v>31</v>
      </c>
      <c r="I642">
        <f t="shared" si="56"/>
        <v>261</v>
      </c>
      <c r="J642">
        <v>42</v>
      </c>
      <c r="K642">
        <v>4</v>
      </c>
      <c r="L642" t="str">
        <f t="shared" si="57"/>
        <v>Correct</v>
      </c>
      <c r="M642">
        <f t="shared" si="58"/>
        <v>73.80952380952381</v>
      </c>
      <c r="N642">
        <f t="shared" ref="N642:N705" si="60">SUMIFS($H:$H,$B:$B,B642,$C:$C,C642,$D:$D,D642)/COUNTIFS($B:$B,B642,$C:$C,C642,$D:$D,D642)</f>
        <v>20.7</v>
      </c>
      <c r="O642">
        <f t="shared" si="59"/>
        <v>12.608695652173914</v>
      </c>
      <c r="P642" t="str">
        <f t="shared" ref="P642:P705" si="61">IF(O642&lt;15,"Low Stock",IF(O642&lt;=30,"Healthy","Overstock"))</f>
        <v>Low Stock</v>
      </c>
    </row>
    <row r="643" spans="1:16" hidden="1" x14ac:dyDescent="0.35">
      <c r="A643" s="4">
        <v>46161</v>
      </c>
      <c r="B643" t="s">
        <v>12</v>
      </c>
      <c r="C643" t="s">
        <v>25</v>
      </c>
      <c r="D643" t="s">
        <v>16</v>
      </c>
      <c r="E643" t="s">
        <v>17</v>
      </c>
      <c r="F643">
        <v>326</v>
      </c>
      <c r="G643">
        <v>20</v>
      </c>
      <c r="H643">
        <v>25</v>
      </c>
      <c r="I643">
        <f t="shared" ref="I643:I706" si="62">F643+G643-H643</f>
        <v>321</v>
      </c>
      <c r="J643">
        <v>40</v>
      </c>
      <c r="K643">
        <v>2</v>
      </c>
      <c r="L643" t="str">
        <f t="shared" ref="L643:L706" si="63">IF(I643&lt;0,"Need verification","Correct")</f>
        <v>Correct</v>
      </c>
      <c r="M643">
        <f t="shared" ref="M643:M706" si="64">IF(J643=0,0,(H643/J643)*100)</f>
        <v>62.5</v>
      </c>
      <c r="N643">
        <f t="shared" si="60"/>
        <v>23.758620689655171</v>
      </c>
      <c r="O643">
        <f t="shared" ref="O643:O706" si="65">IFERROR(I643/N643,0)</f>
        <v>13.510885341074021</v>
      </c>
      <c r="P643" t="str">
        <f t="shared" si="61"/>
        <v>Low Stock</v>
      </c>
    </row>
    <row r="644" spans="1:16" x14ac:dyDescent="0.35">
      <c r="A644" s="4">
        <v>46161</v>
      </c>
      <c r="B644" t="s">
        <v>12</v>
      </c>
      <c r="C644" t="s">
        <v>25</v>
      </c>
      <c r="D644" t="s">
        <v>18</v>
      </c>
      <c r="E644" t="s">
        <v>19</v>
      </c>
      <c r="F644">
        <v>130</v>
      </c>
      <c r="G644">
        <v>10</v>
      </c>
      <c r="H644">
        <v>23</v>
      </c>
      <c r="I644">
        <f t="shared" si="62"/>
        <v>117</v>
      </c>
      <c r="J644">
        <v>26</v>
      </c>
      <c r="K644">
        <v>5</v>
      </c>
      <c r="L644" t="str">
        <f t="shared" si="63"/>
        <v>Correct</v>
      </c>
      <c r="M644">
        <f t="shared" si="64"/>
        <v>88.461538461538453</v>
      </c>
      <c r="N644">
        <f t="shared" si="60"/>
        <v>31.142857142857142</v>
      </c>
      <c r="O644">
        <f t="shared" si="65"/>
        <v>3.7568807339449544</v>
      </c>
      <c r="P644" t="str">
        <f t="shared" si="61"/>
        <v>Low Stock</v>
      </c>
    </row>
    <row r="645" spans="1:16" hidden="1" x14ac:dyDescent="0.35">
      <c r="A645" s="4">
        <v>46161</v>
      </c>
      <c r="B645" t="s">
        <v>12</v>
      </c>
      <c r="C645" t="s">
        <v>25</v>
      </c>
      <c r="D645" t="s">
        <v>20</v>
      </c>
      <c r="E645" t="s">
        <v>21</v>
      </c>
      <c r="F645">
        <v>177</v>
      </c>
      <c r="G645">
        <v>22</v>
      </c>
      <c r="H645">
        <v>18</v>
      </c>
      <c r="I645">
        <f t="shared" si="62"/>
        <v>181</v>
      </c>
      <c r="J645">
        <v>28</v>
      </c>
      <c r="K645">
        <v>3</v>
      </c>
      <c r="L645" t="str">
        <f t="shared" si="63"/>
        <v>Correct</v>
      </c>
      <c r="M645">
        <f t="shared" si="64"/>
        <v>64.285714285714292</v>
      </c>
      <c r="N645">
        <f t="shared" si="60"/>
        <v>31.137931034482758</v>
      </c>
      <c r="O645">
        <f t="shared" si="65"/>
        <v>5.8128460686600221</v>
      </c>
      <c r="P645" t="str">
        <f t="shared" si="61"/>
        <v>Low Stock</v>
      </c>
    </row>
    <row r="646" spans="1:16" hidden="1" x14ac:dyDescent="0.35">
      <c r="A646" s="4">
        <v>46161</v>
      </c>
      <c r="B646" t="s">
        <v>12</v>
      </c>
      <c r="C646" t="s">
        <v>25</v>
      </c>
      <c r="D646" t="s">
        <v>22</v>
      </c>
      <c r="E646" t="s">
        <v>23</v>
      </c>
      <c r="F646">
        <v>525</v>
      </c>
      <c r="G646">
        <v>31</v>
      </c>
      <c r="H646">
        <v>8</v>
      </c>
      <c r="I646">
        <f t="shared" si="62"/>
        <v>548</v>
      </c>
      <c r="J646">
        <v>8</v>
      </c>
      <c r="K646">
        <v>3</v>
      </c>
      <c r="L646" t="str">
        <f t="shared" si="63"/>
        <v>Correct</v>
      </c>
      <c r="M646">
        <f t="shared" si="64"/>
        <v>100</v>
      </c>
      <c r="N646">
        <f t="shared" si="60"/>
        <v>11.3</v>
      </c>
      <c r="O646">
        <f t="shared" si="65"/>
        <v>48.495575221238937</v>
      </c>
      <c r="P646" t="str">
        <f t="shared" si="61"/>
        <v>Overstock</v>
      </c>
    </row>
    <row r="647" spans="1:16" hidden="1" x14ac:dyDescent="0.35">
      <c r="A647" s="4">
        <v>46161</v>
      </c>
      <c r="B647" t="s">
        <v>26</v>
      </c>
      <c r="C647" t="s">
        <v>27</v>
      </c>
      <c r="D647" t="s">
        <v>14</v>
      </c>
      <c r="E647" t="s">
        <v>15</v>
      </c>
      <c r="F647">
        <v>491</v>
      </c>
      <c r="G647">
        <v>55</v>
      </c>
      <c r="H647">
        <v>33</v>
      </c>
      <c r="I647">
        <f t="shared" si="62"/>
        <v>513</v>
      </c>
      <c r="J647">
        <v>35</v>
      </c>
      <c r="K647">
        <v>2</v>
      </c>
      <c r="L647" t="str">
        <f t="shared" si="63"/>
        <v>Correct</v>
      </c>
      <c r="M647">
        <f t="shared" si="64"/>
        <v>94.285714285714278</v>
      </c>
      <c r="N647">
        <f t="shared" si="60"/>
        <v>22.258064516129032</v>
      </c>
      <c r="O647">
        <f t="shared" si="65"/>
        <v>23.047826086956523</v>
      </c>
      <c r="P647" t="str">
        <f t="shared" si="61"/>
        <v>Healthy</v>
      </c>
    </row>
    <row r="648" spans="1:16" hidden="1" x14ac:dyDescent="0.35">
      <c r="A648" s="4">
        <v>46161</v>
      </c>
      <c r="B648" t="s">
        <v>26</v>
      </c>
      <c r="C648" t="s">
        <v>27</v>
      </c>
      <c r="D648" t="s">
        <v>16</v>
      </c>
      <c r="E648" t="s">
        <v>17</v>
      </c>
      <c r="F648">
        <v>292</v>
      </c>
      <c r="G648">
        <v>34</v>
      </c>
      <c r="H648">
        <v>9</v>
      </c>
      <c r="I648">
        <f t="shared" si="62"/>
        <v>317</v>
      </c>
      <c r="J648">
        <v>20</v>
      </c>
      <c r="K648">
        <v>1</v>
      </c>
      <c r="L648" t="str">
        <f t="shared" si="63"/>
        <v>Correct</v>
      </c>
      <c r="M648">
        <f t="shared" si="64"/>
        <v>45</v>
      </c>
      <c r="N648">
        <f t="shared" si="60"/>
        <v>20.172413793103448</v>
      </c>
      <c r="O648">
        <f t="shared" si="65"/>
        <v>15.714529914529914</v>
      </c>
      <c r="P648" t="str">
        <f t="shared" si="61"/>
        <v>Healthy</v>
      </c>
    </row>
    <row r="649" spans="1:16" x14ac:dyDescent="0.35">
      <c r="A649" s="4">
        <v>46161</v>
      </c>
      <c r="B649" t="s">
        <v>26</v>
      </c>
      <c r="C649" t="s">
        <v>27</v>
      </c>
      <c r="D649" t="s">
        <v>18</v>
      </c>
      <c r="E649" t="s">
        <v>19</v>
      </c>
      <c r="F649">
        <v>206</v>
      </c>
      <c r="G649">
        <v>0</v>
      </c>
      <c r="H649">
        <v>43</v>
      </c>
      <c r="I649">
        <f t="shared" si="62"/>
        <v>163</v>
      </c>
      <c r="J649">
        <v>57</v>
      </c>
      <c r="K649">
        <v>2</v>
      </c>
      <c r="L649" t="str">
        <f t="shared" si="63"/>
        <v>Correct</v>
      </c>
      <c r="M649">
        <f t="shared" si="64"/>
        <v>75.438596491228068</v>
      </c>
      <c r="N649">
        <f t="shared" si="60"/>
        <v>29.733333333333334</v>
      </c>
      <c r="O649">
        <f t="shared" si="65"/>
        <v>5.4820627802690582</v>
      </c>
      <c r="P649" t="str">
        <f t="shared" si="61"/>
        <v>Low Stock</v>
      </c>
    </row>
    <row r="650" spans="1:16" hidden="1" x14ac:dyDescent="0.35">
      <c r="A650" s="4">
        <v>46161</v>
      </c>
      <c r="B650" t="s">
        <v>26</v>
      </c>
      <c r="C650" t="s">
        <v>27</v>
      </c>
      <c r="D650" t="s">
        <v>20</v>
      </c>
      <c r="E650" t="s">
        <v>21</v>
      </c>
      <c r="F650">
        <v>315</v>
      </c>
      <c r="G650">
        <v>9</v>
      </c>
      <c r="H650">
        <v>19</v>
      </c>
      <c r="I650">
        <f t="shared" si="62"/>
        <v>305</v>
      </c>
      <c r="J650">
        <v>20</v>
      </c>
      <c r="K650">
        <v>3</v>
      </c>
      <c r="L650" t="str">
        <f t="shared" si="63"/>
        <v>Correct</v>
      </c>
      <c r="M650">
        <f t="shared" si="64"/>
        <v>95</v>
      </c>
      <c r="N650">
        <f t="shared" si="60"/>
        <v>30.724137931034484</v>
      </c>
      <c r="O650">
        <f t="shared" si="65"/>
        <v>9.9270482603815928</v>
      </c>
      <c r="P650" t="str">
        <f t="shared" si="61"/>
        <v>Low Stock</v>
      </c>
    </row>
    <row r="651" spans="1:16" hidden="1" x14ac:dyDescent="0.35">
      <c r="A651" s="4">
        <v>46161</v>
      </c>
      <c r="B651" t="s">
        <v>26</v>
      </c>
      <c r="C651" t="s">
        <v>27</v>
      </c>
      <c r="D651" t="s">
        <v>22</v>
      </c>
      <c r="E651" t="s">
        <v>23</v>
      </c>
      <c r="F651">
        <v>353</v>
      </c>
      <c r="G651">
        <v>29</v>
      </c>
      <c r="H651">
        <v>17</v>
      </c>
      <c r="I651">
        <f t="shared" si="62"/>
        <v>365</v>
      </c>
      <c r="J651">
        <v>22</v>
      </c>
      <c r="K651">
        <v>3</v>
      </c>
      <c r="L651" t="str">
        <f t="shared" si="63"/>
        <v>Correct</v>
      </c>
      <c r="M651">
        <f t="shared" si="64"/>
        <v>77.272727272727266</v>
      </c>
      <c r="N651">
        <f t="shared" si="60"/>
        <v>11.566666666666666</v>
      </c>
      <c r="O651">
        <f t="shared" si="65"/>
        <v>31.556195965417867</v>
      </c>
      <c r="P651" t="str">
        <f t="shared" si="61"/>
        <v>Overstock</v>
      </c>
    </row>
    <row r="652" spans="1:16" hidden="1" x14ac:dyDescent="0.35">
      <c r="A652" s="4">
        <v>46161</v>
      </c>
      <c r="B652" t="s">
        <v>28</v>
      </c>
      <c r="C652" t="s">
        <v>29</v>
      </c>
      <c r="D652" t="s">
        <v>14</v>
      </c>
      <c r="E652" t="s">
        <v>15</v>
      </c>
      <c r="F652">
        <v>321</v>
      </c>
      <c r="G652">
        <v>51</v>
      </c>
      <c r="H652">
        <v>25</v>
      </c>
      <c r="I652">
        <f t="shared" si="62"/>
        <v>347</v>
      </c>
      <c r="J652">
        <v>34</v>
      </c>
      <c r="K652">
        <v>1</v>
      </c>
      <c r="L652" t="str">
        <f t="shared" si="63"/>
        <v>Correct</v>
      </c>
      <c r="M652">
        <f t="shared" si="64"/>
        <v>73.529411764705884</v>
      </c>
      <c r="N652">
        <f t="shared" si="60"/>
        <v>22.25</v>
      </c>
      <c r="O652">
        <f t="shared" si="65"/>
        <v>15.595505617977528</v>
      </c>
      <c r="P652" t="str">
        <f t="shared" si="61"/>
        <v>Healthy</v>
      </c>
    </row>
    <row r="653" spans="1:16" hidden="1" x14ac:dyDescent="0.35">
      <c r="A653" s="4">
        <v>46161</v>
      </c>
      <c r="B653" t="s">
        <v>28</v>
      </c>
      <c r="C653" t="s">
        <v>29</v>
      </c>
      <c r="D653" t="s">
        <v>16</v>
      </c>
      <c r="E653" t="s">
        <v>17</v>
      </c>
      <c r="F653">
        <v>314</v>
      </c>
      <c r="G653">
        <v>56</v>
      </c>
      <c r="H653">
        <v>18</v>
      </c>
      <c r="I653">
        <f t="shared" si="62"/>
        <v>352</v>
      </c>
      <c r="J653">
        <v>30</v>
      </c>
      <c r="K653">
        <v>3</v>
      </c>
      <c r="L653" t="str">
        <f t="shared" si="63"/>
        <v>Correct</v>
      </c>
      <c r="M653">
        <f t="shared" si="64"/>
        <v>60</v>
      </c>
      <c r="N653">
        <f t="shared" si="60"/>
        <v>19.96551724137931</v>
      </c>
      <c r="O653">
        <f t="shared" si="65"/>
        <v>17.630397236614854</v>
      </c>
      <c r="P653" t="str">
        <f t="shared" si="61"/>
        <v>Healthy</v>
      </c>
    </row>
    <row r="654" spans="1:16" x14ac:dyDescent="0.35">
      <c r="A654" s="4">
        <v>46161</v>
      </c>
      <c r="B654" t="s">
        <v>28</v>
      </c>
      <c r="C654" t="s">
        <v>29</v>
      </c>
      <c r="D654" t="s">
        <v>18</v>
      </c>
      <c r="E654" t="s">
        <v>19</v>
      </c>
      <c r="F654">
        <v>123</v>
      </c>
      <c r="G654">
        <v>45</v>
      </c>
      <c r="H654">
        <v>41</v>
      </c>
      <c r="I654">
        <f t="shared" si="62"/>
        <v>127</v>
      </c>
      <c r="J654">
        <v>50</v>
      </c>
      <c r="K654">
        <v>4</v>
      </c>
      <c r="L654" t="str">
        <f t="shared" si="63"/>
        <v>Correct</v>
      </c>
      <c r="M654">
        <f t="shared" si="64"/>
        <v>82</v>
      </c>
      <c r="N654">
        <f t="shared" si="60"/>
        <v>31.206896551724139</v>
      </c>
      <c r="O654">
        <f t="shared" si="65"/>
        <v>4.0696132596685084</v>
      </c>
      <c r="P654" t="str">
        <f t="shared" si="61"/>
        <v>Low Stock</v>
      </c>
    </row>
    <row r="655" spans="1:16" hidden="1" x14ac:dyDescent="0.35">
      <c r="A655" s="4">
        <v>46161</v>
      </c>
      <c r="B655" t="s">
        <v>28</v>
      </c>
      <c r="C655" t="s">
        <v>29</v>
      </c>
      <c r="D655" t="s">
        <v>20</v>
      </c>
      <c r="E655" t="s">
        <v>21</v>
      </c>
      <c r="F655">
        <v>32</v>
      </c>
      <c r="G655">
        <v>41</v>
      </c>
      <c r="H655">
        <v>19</v>
      </c>
      <c r="I655">
        <f t="shared" si="62"/>
        <v>54</v>
      </c>
      <c r="J655">
        <v>29</v>
      </c>
      <c r="K655">
        <v>3</v>
      </c>
      <c r="L655" t="str">
        <f t="shared" si="63"/>
        <v>Correct</v>
      </c>
      <c r="M655">
        <f t="shared" si="64"/>
        <v>65.517241379310349</v>
      </c>
      <c r="N655">
        <f t="shared" si="60"/>
        <v>32.620689655172413</v>
      </c>
      <c r="O655">
        <f t="shared" si="65"/>
        <v>1.6553911205073997</v>
      </c>
      <c r="P655" t="str">
        <f t="shared" si="61"/>
        <v>Low Stock</v>
      </c>
    </row>
    <row r="656" spans="1:16" hidden="1" x14ac:dyDescent="0.35">
      <c r="A656" s="4">
        <v>46161</v>
      </c>
      <c r="B656" t="s">
        <v>28</v>
      </c>
      <c r="C656" t="s">
        <v>29</v>
      </c>
      <c r="D656" t="s">
        <v>22</v>
      </c>
      <c r="E656" t="s">
        <v>23</v>
      </c>
      <c r="F656">
        <v>587</v>
      </c>
      <c r="G656">
        <v>45</v>
      </c>
      <c r="H656">
        <v>3</v>
      </c>
      <c r="I656">
        <f t="shared" si="62"/>
        <v>629</v>
      </c>
      <c r="J656">
        <v>4</v>
      </c>
      <c r="K656">
        <v>5</v>
      </c>
      <c r="L656" t="str">
        <f t="shared" si="63"/>
        <v>Correct</v>
      </c>
      <c r="M656">
        <f t="shared" si="64"/>
        <v>75</v>
      </c>
      <c r="N656">
        <f t="shared" si="60"/>
        <v>11.678571428571429</v>
      </c>
      <c r="O656">
        <f t="shared" si="65"/>
        <v>53.859327217125383</v>
      </c>
      <c r="P656" t="str">
        <f t="shared" si="61"/>
        <v>Overstock</v>
      </c>
    </row>
    <row r="657" spans="1:16" hidden="1" x14ac:dyDescent="0.35">
      <c r="A657" s="4">
        <v>46161</v>
      </c>
      <c r="B657" t="s">
        <v>31</v>
      </c>
      <c r="C657" t="s">
        <v>32</v>
      </c>
      <c r="D657" t="s">
        <v>14</v>
      </c>
      <c r="E657" t="s">
        <v>15</v>
      </c>
      <c r="F657">
        <v>316</v>
      </c>
      <c r="G657">
        <v>39</v>
      </c>
      <c r="H657">
        <v>23</v>
      </c>
      <c r="I657">
        <f t="shared" si="62"/>
        <v>332</v>
      </c>
      <c r="J657">
        <v>25</v>
      </c>
      <c r="K657">
        <v>1</v>
      </c>
      <c r="L657" t="str">
        <f t="shared" si="63"/>
        <v>Correct</v>
      </c>
      <c r="M657">
        <f t="shared" si="64"/>
        <v>92</v>
      </c>
      <c r="N657">
        <f t="shared" si="60"/>
        <v>20.84375</v>
      </c>
      <c r="O657">
        <f t="shared" si="65"/>
        <v>15.928035982008996</v>
      </c>
      <c r="P657" t="str">
        <f t="shared" si="61"/>
        <v>Healthy</v>
      </c>
    </row>
    <row r="658" spans="1:16" hidden="1" x14ac:dyDescent="0.35">
      <c r="A658" s="4">
        <v>46161</v>
      </c>
      <c r="B658" t="s">
        <v>31</v>
      </c>
      <c r="C658" t="s">
        <v>32</v>
      </c>
      <c r="D658" t="s">
        <v>16</v>
      </c>
      <c r="E658" t="s">
        <v>17</v>
      </c>
      <c r="F658">
        <v>393</v>
      </c>
      <c r="G658">
        <v>13</v>
      </c>
      <c r="H658">
        <v>24</v>
      </c>
      <c r="I658">
        <f t="shared" si="62"/>
        <v>382</v>
      </c>
      <c r="J658">
        <v>37</v>
      </c>
      <c r="K658">
        <v>4</v>
      </c>
      <c r="L658" t="str">
        <f t="shared" si="63"/>
        <v>Correct</v>
      </c>
      <c r="M658">
        <f t="shared" si="64"/>
        <v>64.86486486486487</v>
      </c>
      <c r="N658">
        <f t="shared" si="60"/>
        <v>21.46875</v>
      </c>
      <c r="O658">
        <f t="shared" si="65"/>
        <v>17.79330422125182</v>
      </c>
      <c r="P658" t="str">
        <f t="shared" si="61"/>
        <v>Healthy</v>
      </c>
    </row>
    <row r="659" spans="1:16" x14ac:dyDescent="0.35">
      <c r="A659" s="4">
        <v>46162</v>
      </c>
      <c r="B659" t="s">
        <v>31</v>
      </c>
      <c r="C659" t="s">
        <v>32</v>
      </c>
      <c r="D659" t="s">
        <v>18</v>
      </c>
      <c r="E659" t="s">
        <v>19</v>
      </c>
      <c r="F659">
        <v>114</v>
      </c>
      <c r="G659">
        <v>48</v>
      </c>
      <c r="H659">
        <v>22</v>
      </c>
      <c r="I659">
        <f t="shared" si="62"/>
        <v>140</v>
      </c>
      <c r="J659">
        <v>31</v>
      </c>
      <c r="K659">
        <v>3</v>
      </c>
      <c r="L659" t="str">
        <f t="shared" si="63"/>
        <v>Correct</v>
      </c>
      <c r="M659">
        <f t="shared" si="64"/>
        <v>70.967741935483872</v>
      </c>
      <c r="N659">
        <f t="shared" si="60"/>
        <v>30.586206896551722</v>
      </c>
      <c r="O659">
        <f t="shared" si="65"/>
        <v>4.5772266065388951</v>
      </c>
      <c r="P659" t="str">
        <f t="shared" si="61"/>
        <v>Low Stock</v>
      </c>
    </row>
    <row r="660" spans="1:16" hidden="1" x14ac:dyDescent="0.35">
      <c r="A660" s="4">
        <v>46161</v>
      </c>
      <c r="B660" t="s">
        <v>31</v>
      </c>
      <c r="C660" t="s">
        <v>32</v>
      </c>
      <c r="D660" t="s">
        <v>20</v>
      </c>
      <c r="E660" t="s">
        <v>21</v>
      </c>
      <c r="F660">
        <v>103</v>
      </c>
      <c r="G660">
        <v>32</v>
      </c>
      <c r="H660">
        <v>25</v>
      </c>
      <c r="I660">
        <f t="shared" si="62"/>
        <v>110</v>
      </c>
      <c r="J660">
        <v>40</v>
      </c>
      <c r="K660">
        <v>3</v>
      </c>
      <c r="L660" t="str">
        <f t="shared" si="63"/>
        <v>Correct</v>
      </c>
      <c r="M660">
        <f t="shared" si="64"/>
        <v>62.5</v>
      </c>
      <c r="N660">
        <f t="shared" si="60"/>
        <v>32.299999999999997</v>
      </c>
      <c r="O660">
        <f t="shared" si="65"/>
        <v>3.4055727554179569</v>
      </c>
      <c r="P660" t="str">
        <f t="shared" si="61"/>
        <v>Low Stock</v>
      </c>
    </row>
    <row r="661" spans="1:16" hidden="1" x14ac:dyDescent="0.35">
      <c r="A661" s="4">
        <v>46161</v>
      </c>
      <c r="B661" t="s">
        <v>31</v>
      </c>
      <c r="C661" t="s">
        <v>32</v>
      </c>
      <c r="D661" t="s">
        <v>22</v>
      </c>
      <c r="E661" t="s">
        <v>23</v>
      </c>
      <c r="F661">
        <v>699</v>
      </c>
      <c r="G661">
        <v>4</v>
      </c>
      <c r="H661">
        <v>15</v>
      </c>
      <c r="I661">
        <f t="shared" si="62"/>
        <v>688</v>
      </c>
      <c r="J661">
        <v>28</v>
      </c>
      <c r="K661">
        <v>1</v>
      </c>
      <c r="L661" t="str">
        <f t="shared" si="63"/>
        <v>Correct</v>
      </c>
      <c r="M661">
        <f t="shared" si="64"/>
        <v>53.571428571428569</v>
      </c>
      <c r="N661">
        <f t="shared" si="60"/>
        <v>10.413793103448276</v>
      </c>
      <c r="O661">
        <f t="shared" si="65"/>
        <v>66.066225165562912</v>
      </c>
      <c r="P661" t="str">
        <f t="shared" si="61"/>
        <v>Overstock</v>
      </c>
    </row>
    <row r="662" spans="1:16" hidden="1" x14ac:dyDescent="0.35">
      <c r="A662" s="4">
        <v>46161</v>
      </c>
      <c r="B662" t="s">
        <v>33</v>
      </c>
      <c r="C662" t="s">
        <v>34</v>
      </c>
      <c r="D662" t="s">
        <v>14</v>
      </c>
      <c r="E662" t="s">
        <v>15</v>
      </c>
      <c r="F662">
        <v>217</v>
      </c>
      <c r="G662">
        <v>21</v>
      </c>
      <c r="H662">
        <v>13</v>
      </c>
      <c r="I662">
        <f t="shared" si="62"/>
        <v>225</v>
      </c>
      <c r="J662">
        <v>26</v>
      </c>
      <c r="K662">
        <v>4</v>
      </c>
      <c r="L662" t="str">
        <f t="shared" si="63"/>
        <v>Correct</v>
      </c>
      <c r="M662">
        <f t="shared" si="64"/>
        <v>50</v>
      </c>
      <c r="N662">
        <f t="shared" si="60"/>
        <v>20.70967741935484</v>
      </c>
      <c r="O662">
        <f t="shared" si="65"/>
        <v>10.864485981308411</v>
      </c>
      <c r="P662" t="str">
        <f t="shared" si="61"/>
        <v>Low Stock</v>
      </c>
    </row>
    <row r="663" spans="1:16" hidden="1" x14ac:dyDescent="0.35">
      <c r="A663" s="4">
        <v>46161</v>
      </c>
      <c r="B663" t="s">
        <v>33</v>
      </c>
      <c r="C663" t="s">
        <v>34</v>
      </c>
      <c r="D663" t="s">
        <v>16</v>
      </c>
      <c r="E663" t="s">
        <v>17</v>
      </c>
      <c r="F663">
        <v>268</v>
      </c>
      <c r="G663">
        <v>1</v>
      </c>
      <c r="H663">
        <v>34</v>
      </c>
      <c r="I663">
        <f t="shared" si="62"/>
        <v>235</v>
      </c>
      <c r="J663">
        <v>39</v>
      </c>
      <c r="K663">
        <v>4</v>
      </c>
      <c r="L663" t="str">
        <f t="shared" si="63"/>
        <v>Correct</v>
      </c>
      <c r="M663">
        <f t="shared" si="64"/>
        <v>87.179487179487182</v>
      </c>
      <c r="N663">
        <f t="shared" si="60"/>
        <v>22.142857142857142</v>
      </c>
      <c r="O663">
        <f t="shared" si="65"/>
        <v>10.612903225806452</v>
      </c>
      <c r="P663" t="str">
        <f t="shared" si="61"/>
        <v>Low Stock</v>
      </c>
    </row>
    <row r="664" spans="1:16" x14ac:dyDescent="0.35">
      <c r="A664" s="4">
        <v>46161</v>
      </c>
      <c r="B664" t="s">
        <v>33</v>
      </c>
      <c r="C664" t="s">
        <v>34</v>
      </c>
      <c r="D664" t="s">
        <v>18</v>
      </c>
      <c r="E664" t="s">
        <v>19</v>
      </c>
      <c r="F664">
        <v>174</v>
      </c>
      <c r="G664">
        <v>3</v>
      </c>
      <c r="H664">
        <v>48</v>
      </c>
      <c r="I664">
        <f t="shared" si="62"/>
        <v>129</v>
      </c>
      <c r="J664">
        <v>51</v>
      </c>
      <c r="K664">
        <v>4</v>
      </c>
      <c r="L664" t="str">
        <f t="shared" si="63"/>
        <v>Correct</v>
      </c>
      <c r="M664">
        <f t="shared" si="64"/>
        <v>94.117647058823522</v>
      </c>
      <c r="N664">
        <f t="shared" si="60"/>
        <v>30.275862068965516</v>
      </c>
      <c r="O664">
        <f t="shared" si="65"/>
        <v>4.2608200455580869</v>
      </c>
      <c r="P664" t="str">
        <f t="shared" si="61"/>
        <v>Low Stock</v>
      </c>
    </row>
    <row r="665" spans="1:16" hidden="1" x14ac:dyDescent="0.35">
      <c r="A665" s="4">
        <v>46161</v>
      </c>
      <c r="B665" t="s">
        <v>31</v>
      </c>
      <c r="C665" t="s">
        <v>32</v>
      </c>
      <c r="D665" t="s">
        <v>20</v>
      </c>
      <c r="E665" t="s">
        <v>21</v>
      </c>
      <c r="F665">
        <v>347</v>
      </c>
      <c r="G665">
        <v>2</v>
      </c>
      <c r="H665">
        <v>27</v>
      </c>
      <c r="I665">
        <f t="shared" si="62"/>
        <v>322</v>
      </c>
      <c r="J665">
        <v>42</v>
      </c>
      <c r="K665">
        <v>2</v>
      </c>
      <c r="L665" t="str">
        <f t="shared" si="63"/>
        <v>Correct</v>
      </c>
      <c r="M665">
        <f t="shared" si="64"/>
        <v>64.285714285714292</v>
      </c>
      <c r="N665">
        <f t="shared" si="60"/>
        <v>32.299999999999997</v>
      </c>
      <c r="O665">
        <f t="shared" si="65"/>
        <v>9.96904024767802</v>
      </c>
      <c r="P665" t="str">
        <f t="shared" si="61"/>
        <v>Low Stock</v>
      </c>
    </row>
    <row r="666" spans="1:16" hidden="1" x14ac:dyDescent="0.35">
      <c r="A666" s="4">
        <v>46161</v>
      </c>
      <c r="B666" t="s">
        <v>33</v>
      </c>
      <c r="C666" t="s">
        <v>34</v>
      </c>
      <c r="D666" t="s">
        <v>22</v>
      </c>
      <c r="E666" t="s">
        <v>23</v>
      </c>
      <c r="F666">
        <v>441</v>
      </c>
      <c r="G666">
        <v>35</v>
      </c>
      <c r="H666">
        <v>10</v>
      </c>
      <c r="I666">
        <f t="shared" si="62"/>
        <v>466</v>
      </c>
      <c r="J666">
        <v>25</v>
      </c>
      <c r="K666">
        <v>5</v>
      </c>
      <c r="L666" t="str">
        <f t="shared" si="63"/>
        <v>Correct</v>
      </c>
      <c r="M666">
        <f t="shared" si="64"/>
        <v>40</v>
      </c>
      <c r="N666">
        <f t="shared" si="60"/>
        <v>10.25</v>
      </c>
      <c r="O666">
        <f t="shared" si="65"/>
        <v>45.463414634146339</v>
      </c>
      <c r="P666" t="str">
        <f t="shared" si="61"/>
        <v>Overstock</v>
      </c>
    </row>
    <row r="667" spans="1:16" hidden="1" x14ac:dyDescent="0.35">
      <c r="A667" s="4">
        <v>46162</v>
      </c>
      <c r="B667" t="s">
        <v>12</v>
      </c>
      <c r="C667" t="s">
        <v>13</v>
      </c>
      <c r="D667" t="s">
        <v>14</v>
      </c>
      <c r="E667" t="s">
        <v>15</v>
      </c>
      <c r="F667">
        <v>473</v>
      </c>
      <c r="G667">
        <v>18</v>
      </c>
      <c r="H667">
        <v>17</v>
      </c>
      <c r="I667">
        <f t="shared" si="62"/>
        <v>474</v>
      </c>
      <c r="J667">
        <v>26</v>
      </c>
      <c r="K667">
        <v>3</v>
      </c>
      <c r="L667" t="str">
        <f t="shared" si="63"/>
        <v>Correct</v>
      </c>
      <c r="M667">
        <f t="shared" si="64"/>
        <v>65.384615384615387</v>
      </c>
      <c r="N667">
        <f t="shared" si="60"/>
        <v>21.666666666666668</v>
      </c>
      <c r="O667">
        <f t="shared" si="65"/>
        <v>21.876923076923077</v>
      </c>
      <c r="P667" t="str">
        <f t="shared" si="61"/>
        <v>Healthy</v>
      </c>
    </row>
    <row r="668" spans="1:16" hidden="1" x14ac:dyDescent="0.35">
      <c r="A668" s="4">
        <v>46162</v>
      </c>
      <c r="B668" t="s">
        <v>12</v>
      </c>
      <c r="C668" t="s">
        <v>13</v>
      </c>
      <c r="D668" t="s">
        <v>16</v>
      </c>
      <c r="E668" t="s">
        <v>17</v>
      </c>
      <c r="F668">
        <v>305</v>
      </c>
      <c r="G668">
        <v>43</v>
      </c>
      <c r="H668">
        <v>20</v>
      </c>
      <c r="I668">
        <f t="shared" si="62"/>
        <v>328</v>
      </c>
      <c r="J668">
        <v>23</v>
      </c>
      <c r="K668">
        <v>2</v>
      </c>
      <c r="L668" t="str">
        <f t="shared" si="63"/>
        <v>Correct</v>
      </c>
      <c r="M668">
        <f t="shared" si="64"/>
        <v>86.956521739130437</v>
      </c>
      <c r="N668">
        <f t="shared" si="60"/>
        <v>20.030303030303031</v>
      </c>
      <c r="O668">
        <f t="shared" si="65"/>
        <v>16.375189107413011</v>
      </c>
      <c r="P668" t="str">
        <f t="shared" si="61"/>
        <v>Healthy</v>
      </c>
    </row>
    <row r="669" spans="1:16" x14ac:dyDescent="0.35">
      <c r="A669" s="4">
        <v>46162</v>
      </c>
      <c r="B669" t="s">
        <v>12</v>
      </c>
      <c r="C669" t="s">
        <v>13</v>
      </c>
      <c r="D669" t="s">
        <v>18</v>
      </c>
      <c r="E669" t="s">
        <v>19</v>
      </c>
      <c r="F669">
        <v>193</v>
      </c>
      <c r="G669">
        <v>2</v>
      </c>
      <c r="H669">
        <v>44</v>
      </c>
      <c r="I669">
        <f t="shared" si="62"/>
        <v>151</v>
      </c>
      <c r="J669">
        <v>57</v>
      </c>
      <c r="K669">
        <v>3</v>
      </c>
      <c r="L669" t="str">
        <f t="shared" si="63"/>
        <v>Correct</v>
      </c>
      <c r="M669">
        <f t="shared" si="64"/>
        <v>77.192982456140342</v>
      </c>
      <c r="N669">
        <f t="shared" si="60"/>
        <v>33.34375</v>
      </c>
      <c r="O669">
        <f t="shared" si="65"/>
        <v>4.528584817244611</v>
      </c>
      <c r="P669" t="str">
        <f t="shared" si="61"/>
        <v>Low Stock</v>
      </c>
    </row>
    <row r="670" spans="1:16" hidden="1" x14ac:dyDescent="0.35">
      <c r="A670" s="4">
        <v>46162</v>
      </c>
      <c r="B670" t="s">
        <v>12</v>
      </c>
      <c r="C670" t="s">
        <v>13</v>
      </c>
      <c r="D670" t="s">
        <v>20</v>
      </c>
      <c r="E670" t="s">
        <v>21</v>
      </c>
      <c r="F670">
        <v>61</v>
      </c>
      <c r="G670">
        <v>17</v>
      </c>
      <c r="H670">
        <v>35</v>
      </c>
      <c r="I670">
        <f t="shared" si="62"/>
        <v>43</v>
      </c>
      <c r="J670">
        <v>37</v>
      </c>
      <c r="K670">
        <v>3</v>
      </c>
      <c r="L670" t="str">
        <f t="shared" si="63"/>
        <v>Correct</v>
      </c>
      <c r="M670">
        <f t="shared" si="64"/>
        <v>94.594594594594597</v>
      </c>
      <c r="N670">
        <f t="shared" si="60"/>
        <v>34.515151515151516</v>
      </c>
      <c r="O670">
        <f t="shared" si="65"/>
        <v>1.2458296751536435</v>
      </c>
      <c r="P670" t="str">
        <f t="shared" si="61"/>
        <v>Low Stock</v>
      </c>
    </row>
    <row r="671" spans="1:16" hidden="1" x14ac:dyDescent="0.35">
      <c r="A671" s="4">
        <v>46162</v>
      </c>
      <c r="B671" t="s">
        <v>12</v>
      </c>
      <c r="C671" t="s">
        <v>13</v>
      </c>
      <c r="D671" t="s">
        <v>22</v>
      </c>
      <c r="E671" t="s">
        <v>23</v>
      </c>
      <c r="F671">
        <v>377</v>
      </c>
      <c r="G671">
        <v>42</v>
      </c>
      <c r="H671">
        <v>6</v>
      </c>
      <c r="I671">
        <f t="shared" si="62"/>
        <v>413</v>
      </c>
      <c r="J671">
        <v>17</v>
      </c>
      <c r="K671">
        <v>3</v>
      </c>
      <c r="L671" t="str">
        <f t="shared" si="63"/>
        <v>Correct</v>
      </c>
      <c r="M671">
        <f t="shared" si="64"/>
        <v>35.294117647058826</v>
      </c>
      <c r="N671">
        <f t="shared" si="60"/>
        <v>9.9032258064516121</v>
      </c>
      <c r="O671">
        <f t="shared" si="65"/>
        <v>41.703583061889255</v>
      </c>
      <c r="P671" t="str">
        <f t="shared" si="61"/>
        <v>Overstock</v>
      </c>
    </row>
    <row r="672" spans="1:16" hidden="1" x14ac:dyDescent="0.35">
      <c r="A672" s="4">
        <v>46162</v>
      </c>
      <c r="B672" t="s">
        <v>12</v>
      </c>
      <c r="C672" t="s">
        <v>24</v>
      </c>
      <c r="D672" t="s">
        <v>14</v>
      </c>
      <c r="E672" t="s">
        <v>15</v>
      </c>
      <c r="F672">
        <v>271</v>
      </c>
      <c r="G672">
        <v>17</v>
      </c>
      <c r="H672">
        <v>21</v>
      </c>
      <c r="I672">
        <f t="shared" si="62"/>
        <v>267</v>
      </c>
      <c r="J672">
        <v>21</v>
      </c>
      <c r="K672">
        <v>1</v>
      </c>
      <c r="L672" t="str">
        <f t="shared" si="63"/>
        <v>Correct</v>
      </c>
      <c r="M672">
        <f t="shared" si="64"/>
        <v>100</v>
      </c>
      <c r="N672">
        <f t="shared" si="60"/>
        <v>21.35483870967742</v>
      </c>
      <c r="O672">
        <f t="shared" si="65"/>
        <v>12.503021148036254</v>
      </c>
      <c r="P672" t="str">
        <f t="shared" si="61"/>
        <v>Low Stock</v>
      </c>
    </row>
    <row r="673" spans="1:16" hidden="1" x14ac:dyDescent="0.35">
      <c r="A673" s="4">
        <v>46162</v>
      </c>
      <c r="B673" t="s">
        <v>12</v>
      </c>
      <c r="C673" t="s">
        <v>24</v>
      </c>
      <c r="D673" t="s">
        <v>16</v>
      </c>
      <c r="E673" t="s">
        <v>17</v>
      </c>
      <c r="F673">
        <v>213</v>
      </c>
      <c r="G673">
        <v>31</v>
      </c>
      <c r="H673">
        <v>31</v>
      </c>
      <c r="I673">
        <f t="shared" si="62"/>
        <v>213</v>
      </c>
      <c r="J673">
        <v>39</v>
      </c>
      <c r="K673">
        <v>2</v>
      </c>
      <c r="L673" t="str">
        <f t="shared" si="63"/>
        <v>Correct</v>
      </c>
      <c r="M673">
        <f t="shared" si="64"/>
        <v>79.487179487179489</v>
      </c>
      <c r="N673">
        <f t="shared" si="60"/>
        <v>21.9</v>
      </c>
      <c r="O673">
        <f t="shared" si="65"/>
        <v>9.7260273972602747</v>
      </c>
      <c r="P673" t="str">
        <f t="shared" si="61"/>
        <v>Low Stock</v>
      </c>
    </row>
    <row r="674" spans="1:16" x14ac:dyDescent="0.35">
      <c r="A674" s="4">
        <v>46162</v>
      </c>
      <c r="B674" t="s">
        <v>12</v>
      </c>
      <c r="C674" t="s">
        <v>24</v>
      </c>
      <c r="D674" t="s">
        <v>18</v>
      </c>
      <c r="E674" t="s">
        <v>19</v>
      </c>
      <c r="F674">
        <v>149</v>
      </c>
      <c r="G674">
        <v>58</v>
      </c>
      <c r="H674">
        <v>27</v>
      </c>
      <c r="I674">
        <f t="shared" si="62"/>
        <v>180</v>
      </c>
      <c r="J674">
        <v>31</v>
      </c>
      <c r="K674">
        <v>1</v>
      </c>
      <c r="L674" t="str">
        <f t="shared" si="63"/>
        <v>Correct</v>
      </c>
      <c r="M674">
        <f t="shared" si="64"/>
        <v>87.096774193548384</v>
      </c>
      <c r="N674">
        <f t="shared" si="60"/>
        <v>31.586206896551722</v>
      </c>
      <c r="O674">
        <f t="shared" si="65"/>
        <v>5.6986899563318785</v>
      </c>
      <c r="P674" t="str">
        <f t="shared" si="61"/>
        <v>Low Stock</v>
      </c>
    </row>
    <row r="675" spans="1:16" hidden="1" x14ac:dyDescent="0.35">
      <c r="A675" s="4">
        <v>46162</v>
      </c>
      <c r="B675" t="s">
        <v>12</v>
      </c>
      <c r="C675" t="s">
        <v>24</v>
      </c>
      <c r="D675" t="s">
        <v>20</v>
      </c>
      <c r="E675" t="s">
        <v>21</v>
      </c>
      <c r="F675">
        <v>15</v>
      </c>
      <c r="G675">
        <v>24</v>
      </c>
      <c r="H675">
        <v>39</v>
      </c>
      <c r="I675">
        <f t="shared" si="62"/>
        <v>0</v>
      </c>
      <c r="J675">
        <v>45</v>
      </c>
      <c r="K675">
        <v>5</v>
      </c>
      <c r="L675" t="str">
        <f t="shared" si="63"/>
        <v>Correct</v>
      </c>
      <c r="M675">
        <f t="shared" si="64"/>
        <v>86.666666666666671</v>
      </c>
      <c r="N675">
        <f t="shared" si="60"/>
        <v>34.200000000000003</v>
      </c>
      <c r="O675">
        <f t="shared" si="65"/>
        <v>0</v>
      </c>
      <c r="P675" t="str">
        <f t="shared" si="61"/>
        <v>Low Stock</v>
      </c>
    </row>
    <row r="676" spans="1:16" hidden="1" x14ac:dyDescent="0.35">
      <c r="A676" s="4">
        <v>46162</v>
      </c>
      <c r="B676" t="s">
        <v>12</v>
      </c>
      <c r="C676" t="s">
        <v>24</v>
      </c>
      <c r="D676" t="s">
        <v>22</v>
      </c>
      <c r="E676" t="s">
        <v>23</v>
      </c>
      <c r="F676">
        <v>451</v>
      </c>
      <c r="G676">
        <v>18</v>
      </c>
      <c r="H676">
        <v>14</v>
      </c>
      <c r="I676">
        <f t="shared" si="62"/>
        <v>455</v>
      </c>
      <c r="J676">
        <v>17</v>
      </c>
      <c r="K676">
        <v>2</v>
      </c>
      <c r="L676" t="str">
        <f t="shared" si="63"/>
        <v>Correct</v>
      </c>
      <c r="M676">
        <f t="shared" si="64"/>
        <v>82.35294117647058</v>
      </c>
      <c r="N676">
        <f t="shared" si="60"/>
        <v>10.96551724137931</v>
      </c>
      <c r="O676">
        <f t="shared" si="65"/>
        <v>41.4937106918239</v>
      </c>
      <c r="P676" t="str">
        <f t="shared" si="61"/>
        <v>Overstock</v>
      </c>
    </row>
    <row r="677" spans="1:16" hidden="1" x14ac:dyDescent="0.35">
      <c r="A677" s="4">
        <v>46162</v>
      </c>
      <c r="B677" t="s">
        <v>12</v>
      </c>
      <c r="C677" t="s">
        <v>25</v>
      </c>
      <c r="D677" t="s">
        <v>14</v>
      </c>
      <c r="E677" t="s">
        <v>15</v>
      </c>
      <c r="F677">
        <v>261</v>
      </c>
      <c r="G677">
        <v>27</v>
      </c>
      <c r="H677">
        <v>35</v>
      </c>
      <c r="I677">
        <f t="shared" si="62"/>
        <v>253</v>
      </c>
      <c r="J677">
        <v>37</v>
      </c>
      <c r="K677">
        <v>3</v>
      </c>
      <c r="L677" t="str">
        <f t="shared" si="63"/>
        <v>Correct</v>
      </c>
      <c r="M677">
        <f t="shared" si="64"/>
        <v>94.594594594594597</v>
      </c>
      <c r="N677">
        <f t="shared" si="60"/>
        <v>20.7</v>
      </c>
      <c r="O677">
        <f t="shared" si="65"/>
        <v>12.222222222222223</v>
      </c>
      <c r="P677" t="str">
        <f t="shared" si="61"/>
        <v>Low Stock</v>
      </c>
    </row>
    <row r="678" spans="1:16" hidden="1" x14ac:dyDescent="0.35">
      <c r="A678" s="4">
        <v>46162</v>
      </c>
      <c r="B678" t="s">
        <v>12</v>
      </c>
      <c r="C678" t="s">
        <v>25</v>
      </c>
      <c r="D678" t="s">
        <v>16</v>
      </c>
      <c r="E678" t="s">
        <v>17</v>
      </c>
      <c r="F678">
        <v>321</v>
      </c>
      <c r="G678">
        <v>6</v>
      </c>
      <c r="H678">
        <v>35</v>
      </c>
      <c r="I678">
        <f t="shared" si="62"/>
        <v>292</v>
      </c>
      <c r="J678">
        <v>48</v>
      </c>
      <c r="K678">
        <v>3</v>
      </c>
      <c r="L678" t="str">
        <f t="shared" si="63"/>
        <v>Correct</v>
      </c>
      <c r="M678">
        <f t="shared" si="64"/>
        <v>72.916666666666657</v>
      </c>
      <c r="N678">
        <f t="shared" si="60"/>
        <v>23.758620689655171</v>
      </c>
      <c r="O678">
        <f t="shared" si="65"/>
        <v>12.290275761973875</v>
      </c>
      <c r="P678" t="str">
        <f t="shared" si="61"/>
        <v>Low Stock</v>
      </c>
    </row>
    <row r="679" spans="1:16" x14ac:dyDescent="0.35">
      <c r="A679" s="4">
        <v>46162</v>
      </c>
      <c r="B679" t="s">
        <v>12</v>
      </c>
      <c r="C679" t="s">
        <v>25</v>
      </c>
      <c r="D679" t="s">
        <v>18</v>
      </c>
      <c r="E679" t="s">
        <v>19</v>
      </c>
      <c r="F679">
        <v>117</v>
      </c>
      <c r="G679">
        <v>6</v>
      </c>
      <c r="H679">
        <v>50</v>
      </c>
      <c r="I679">
        <f t="shared" si="62"/>
        <v>73</v>
      </c>
      <c r="J679">
        <v>63</v>
      </c>
      <c r="K679">
        <v>4</v>
      </c>
      <c r="L679" t="str">
        <f t="shared" si="63"/>
        <v>Correct</v>
      </c>
      <c r="M679">
        <f t="shared" si="64"/>
        <v>79.365079365079367</v>
      </c>
      <c r="N679">
        <f t="shared" si="60"/>
        <v>31.142857142857142</v>
      </c>
      <c r="O679">
        <f t="shared" si="65"/>
        <v>2.3440366972477062</v>
      </c>
      <c r="P679" t="str">
        <f t="shared" si="61"/>
        <v>Low Stock</v>
      </c>
    </row>
    <row r="680" spans="1:16" hidden="1" x14ac:dyDescent="0.35">
      <c r="A680" s="4">
        <v>46162</v>
      </c>
      <c r="B680" t="s">
        <v>12</v>
      </c>
      <c r="C680" t="s">
        <v>25</v>
      </c>
      <c r="D680" t="s">
        <v>20</v>
      </c>
      <c r="E680" t="s">
        <v>21</v>
      </c>
      <c r="F680">
        <v>181</v>
      </c>
      <c r="G680">
        <v>40</v>
      </c>
      <c r="H680">
        <v>37</v>
      </c>
      <c r="I680">
        <f t="shared" si="62"/>
        <v>184</v>
      </c>
      <c r="J680">
        <v>46</v>
      </c>
      <c r="K680">
        <v>3</v>
      </c>
      <c r="L680" t="str">
        <f t="shared" si="63"/>
        <v>Correct</v>
      </c>
      <c r="M680">
        <f t="shared" si="64"/>
        <v>80.434782608695656</v>
      </c>
      <c r="N680">
        <f t="shared" si="60"/>
        <v>31.137931034482758</v>
      </c>
      <c r="O680">
        <f t="shared" si="65"/>
        <v>5.9091915836101885</v>
      </c>
      <c r="P680" t="str">
        <f t="shared" si="61"/>
        <v>Low Stock</v>
      </c>
    </row>
    <row r="681" spans="1:16" hidden="1" x14ac:dyDescent="0.35">
      <c r="A681" s="4">
        <v>46162</v>
      </c>
      <c r="B681" t="s">
        <v>12</v>
      </c>
      <c r="C681" t="s">
        <v>25</v>
      </c>
      <c r="D681" t="s">
        <v>22</v>
      </c>
      <c r="E681" t="s">
        <v>23</v>
      </c>
      <c r="F681">
        <v>548</v>
      </c>
      <c r="G681">
        <v>56</v>
      </c>
      <c r="H681">
        <v>9</v>
      </c>
      <c r="I681">
        <f t="shared" si="62"/>
        <v>595</v>
      </c>
      <c r="J681">
        <v>15</v>
      </c>
      <c r="K681">
        <v>5</v>
      </c>
      <c r="L681" t="str">
        <f t="shared" si="63"/>
        <v>Correct</v>
      </c>
      <c r="M681">
        <f t="shared" si="64"/>
        <v>60</v>
      </c>
      <c r="N681">
        <f t="shared" si="60"/>
        <v>11.3</v>
      </c>
      <c r="O681">
        <f t="shared" si="65"/>
        <v>52.654867256637168</v>
      </c>
      <c r="P681" t="str">
        <f t="shared" si="61"/>
        <v>Overstock</v>
      </c>
    </row>
    <row r="682" spans="1:16" hidden="1" x14ac:dyDescent="0.35">
      <c r="A682" s="4">
        <v>46162</v>
      </c>
      <c r="B682" t="s">
        <v>26</v>
      </c>
      <c r="C682" t="s">
        <v>27</v>
      </c>
      <c r="D682" t="s">
        <v>14</v>
      </c>
      <c r="E682" t="s">
        <v>15</v>
      </c>
      <c r="F682">
        <v>513</v>
      </c>
      <c r="G682">
        <v>49</v>
      </c>
      <c r="H682">
        <v>35</v>
      </c>
      <c r="I682">
        <f t="shared" si="62"/>
        <v>527</v>
      </c>
      <c r="J682">
        <v>42</v>
      </c>
      <c r="K682">
        <v>1</v>
      </c>
      <c r="L682" t="str">
        <f t="shared" si="63"/>
        <v>Correct</v>
      </c>
      <c r="M682">
        <f t="shared" si="64"/>
        <v>83.333333333333343</v>
      </c>
      <c r="N682">
        <f t="shared" si="60"/>
        <v>22.258064516129032</v>
      </c>
      <c r="O682">
        <f t="shared" si="65"/>
        <v>23.676811594202899</v>
      </c>
      <c r="P682" t="str">
        <f t="shared" si="61"/>
        <v>Healthy</v>
      </c>
    </row>
    <row r="683" spans="1:16" hidden="1" x14ac:dyDescent="0.35">
      <c r="A683" s="4">
        <v>46162</v>
      </c>
      <c r="B683" t="s">
        <v>26</v>
      </c>
      <c r="C683" t="s">
        <v>27</v>
      </c>
      <c r="D683" t="s">
        <v>16</v>
      </c>
      <c r="E683" t="s">
        <v>17</v>
      </c>
      <c r="F683">
        <v>317</v>
      </c>
      <c r="G683">
        <v>50</v>
      </c>
      <c r="H683">
        <v>14</v>
      </c>
      <c r="I683">
        <f t="shared" si="62"/>
        <v>353</v>
      </c>
      <c r="J683">
        <v>25</v>
      </c>
      <c r="K683">
        <v>3</v>
      </c>
      <c r="L683" t="str">
        <f t="shared" si="63"/>
        <v>Correct</v>
      </c>
      <c r="M683">
        <f t="shared" si="64"/>
        <v>56.000000000000007</v>
      </c>
      <c r="N683">
        <f t="shared" si="60"/>
        <v>20.172413793103448</v>
      </c>
      <c r="O683">
        <f t="shared" si="65"/>
        <v>17.499145299145297</v>
      </c>
      <c r="P683" t="str">
        <f t="shared" si="61"/>
        <v>Healthy</v>
      </c>
    </row>
    <row r="684" spans="1:16" x14ac:dyDescent="0.35">
      <c r="A684" s="4">
        <v>46162</v>
      </c>
      <c r="B684" t="s">
        <v>26</v>
      </c>
      <c r="C684" t="s">
        <v>27</v>
      </c>
      <c r="D684" t="s">
        <v>18</v>
      </c>
      <c r="E684" t="s">
        <v>19</v>
      </c>
      <c r="F684">
        <v>163</v>
      </c>
      <c r="G684">
        <v>18</v>
      </c>
      <c r="H684">
        <v>27</v>
      </c>
      <c r="I684">
        <f t="shared" si="62"/>
        <v>154</v>
      </c>
      <c r="J684">
        <v>34</v>
      </c>
      <c r="K684">
        <v>3</v>
      </c>
      <c r="L684" t="str">
        <f t="shared" si="63"/>
        <v>Correct</v>
      </c>
      <c r="M684">
        <f t="shared" si="64"/>
        <v>79.411764705882348</v>
      </c>
      <c r="N684">
        <f t="shared" si="60"/>
        <v>29.733333333333334</v>
      </c>
      <c r="O684">
        <f t="shared" si="65"/>
        <v>5.1793721973094167</v>
      </c>
      <c r="P684" t="str">
        <f t="shared" si="61"/>
        <v>Low Stock</v>
      </c>
    </row>
    <row r="685" spans="1:16" hidden="1" x14ac:dyDescent="0.35">
      <c r="A685" s="4">
        <v>46162</v>
      </c>
      <c r="B685" t="s">
        <v>26</v>
      </c>
      <c r="C685" t="s">
        <v>27</v>
      </c>
      <c r="D685" t="s">
        <v>20</v>
      </c>
      <c r="E685" t="s">
        <v>21</v>
      </c>
      <c r="F685">
        <v>305</v>
      </c>
      <c r="G685">
        <v>34</v>
      </c>
      <c r="H685">
        <v>43</v>
      </c>
      <c r="I685">
        <f t="shared" si="62"/>
        <v>296</v>
      </c>
      <c r="J685">
        <v>57</v>
      </c>
      <c r="K685">
        <v>3</v>
      </c>
      <c r="L685" t="str">
        <f t="shared" si="63"/>
        <v>Correct</v>
      </c>
      <c r="M685">
        <f t="shared" si="64"/>
        <v>75.438596491228068</v>
      </c>
      <c r="N685">
        <f t="shared" si="60"/>
        <v>30.724137931034484</v>
      </c>
      <c r="O685">
        <f t="shared" si="65"/>
        <v>9.6341189674523005</v>
      </c>
      <c r="P685" t="str">
        <f t="shared" si="61"/>
        <v>Low Stock</v>
      </c>
    </row>
    <row r="686" spans="1:16" hidden="1" x14ac:dyDescent="0.35">
      <c r="A686" s="4">
        <v>46162</v>
      </c>
      <c r="B686" t="s">
        <v>26</v>
      </c>
      <c r="C686" t="s">
        <v>27</v>
      </c>
      <c r="D686" t="s">
        <v>22</v>
      </c>
      <c r="E686" t="s">
        <v>23</v>
      </c>
      <c r="F686">
        <v>365</v>
      </c>
      <c r="G686">
        <v>19</v>
      </c>
      <c r="H686">
        <v>14</v>
      </c>
      <c r="I686">
        <f t="shared" si="62"/>
        <v>370</v>
      </c>
      <c r="J686">
        <v>14</v>
      </c>
      <c r="K686">
        <v>4</v>
      </c>
      <c r="L686" t="str">
        <f t="shared" si="63"/>
        <v>Correct</v>
      </c>
      <c r="M686">
        <f t="shared" si="64"/>
        <v>100</v>
      </c>
      <c r="N686">
        <f t="shared" si="60"/>
        <v>11.566666666666666</v>
      </c>
      <c r="O686">
        <f t="shared" si="65"/>
        <v>31.988472622478387</v>
      </c>
      <c r="P686" t="str">
        <f t="shared" si="61"/>
        <v>Overstock</v>
      </c>
    </row>
    <row r="687" spans="1:16" hidden="1" x14ac:dyDescent="0.35">
      <c r="A687" s="4">
        <v>46162</v>
      </c>
      <c r="B687" t="s">
        <v>28</v>
      </c>
      <c r="C687" t="s">
        <v>29</v>
      </c>
      <c r="D687" t="s">
        <v>14</v>
      </c>
      <c r="E687" t="s">
        <v>15</v>
      </c>
      <c r="F687">
        <v>347</v>
      </c>
      <c r="G687">
        <v>20</v>
      </c>
      <c r="H687">
        <v>23</v>
      </c>
      <c r="I687">
        <f t="shared" si="62"/>
        <v>344</v>
      </c>
      <c r="J687">
        <v>38</v>
      </c>
      <c r="K687">
        <v>1</v>
      </c>
      <c r="L687" t="str">
        <f t="shared" si="63"/>
        <v>Correct</v>
      </c>
      <c r="M687">
        <f t="shared" si="64"/>
        <v>60.526315789473685</v>
      </c>
      <c r="N687">
        <f t="shared" si="60"/>
        <v>22.25</v>
      </c>
      <c r="O687">
        <f t="shared" si="65"/>
        <v>15.460674157303371</v>
      </c>
      <c r="P687" t="str">
        <f t="shared" si="61"/>
        <v>Healthy</v>
      </c>
    </row>
    <row r="688" spans="1:16" hidden="1" x14ac:dyDescent="0.35">
      <c r="A688" s="4">
        <v>46162</v>
      </c>
      <c r="B688" t="s">
        <v>28</v>
      </c>
      <c r="C688" t="s">
        <v>29</v>
      </c>
      <c r="D688" t="s">
        <v>16</v>
      </c>
      <c r="E688" t="s">
        <v>17</v>
      </c>
      <c r="F688">
        <v>352</v>
      </c>
      <c r="G688">
        <v>21</v>
      </c>
      <c r="H688">
        <v>18</v>
      </c>
      <c r="I688">
        <f t="shared" si="62"/>
        <v>355</v>
      </c>
      <c r="J688">
        <v>30</v>
      </c>
      <c r="K688">
        <v>5</v>
      </c>
      <c r="L688" t="str">
        <f t="shared" si="63"/>
        <v>Correct</v>
      </c>
      <c r="M688">
        <f t="shared" si="64"/>
        <v>60</v>
      </c>
      <c r="N688">
        <f t="shared" si="60"/>
        <v>19.96551724137931</v>
      </c>
      <c r="O688">
        <f t="shared" si="65"/>
        <v>17.780656303972368</v>
      </c>
      <c r="P688" t="str">
        <f t="shared" si="61"/>
        <v>Healthy</v>
      </c>
    </row>
    <row r="689" spans="1:16" x14ac:dyDescent="0.35">
      <c r="A689" s="4">
        <v>46162</v>
      </c>
      <c r="B689" t="s">
        <v>28</v>
      </c>
      <c r="C689" t="s">
        <v>29</v>
      </c>
      <c r="D689" t="s">
        <v>18</v>
      </c>
      <c r="E689" t="s">
        <v>19</v>
      </c>
      <c r="F689">
        <v>127</v>
      </c>
      <c r="G689">
        <v>5</v>
      </c>
      <c r="H689">
        <v>36</v>
      </c>
      <c r="I689">
        <f t="shared" si="62"/>
        <v>96</v>
      </c>
      <c r="J689">
        <v>42</v>
      </c>
      <c r="K689">
        <v>2</v>
      </c>
      <c r="L689" t="str">
        <f t="shared" si="63"/>
        <v>Correct</v>
      </c>
      <c r="M689">
        <f t="shared" si="64"/>
        <v>85.714285714285708</v>
      </c>
      <c r="N689">
        <f t="shared" si="60"/>
        <v>31.206896551724139</v>
      </c>
      <c r="O689">
        <f t="shared" si="65"/>
        <v>3.0762430939226517</v>
      </c>
      <c r="P689" t="str">
        <f t="shared" si="61"/>
        <v>Low Stock</v>
      </c>
    </row>
    <row r="690" spans="1:16" hidden="1" x14ac:dyDescent="0.35">
      <c r="A690" s="4">
        <v>46162</v>
      </c>
      <c r="B690" t="s">
        <v>28</v>
      </c>
      <c r="C690" t="s">
        <v>29</v>
      </c>
      <c r="D690" t="s">
        <v>20</v>
      </c>
      <c r="E690" t="s">
        <v>21</v>
      </c>
      <c r="F690">
        <v>54</v>
      </c>
      <c r="G690">
        <v>41</v>
      </c>
      <c r="H690">
        <v>30</v>
      </c>
      <c r="I690">
        <f t="shared" si="62"/>
        <v>65</v>
      </c>
      <c r="J690">
        <v>39</v>
      </c>
      <c r="K690">
        <v>1</v>
      </c>
      <c r="L690" t="str">
        <f t="shared" si="63"/>
        <v>Correct</v>
      </c>
      <c r="M690">
        <f t="shared" si="64"/>
        <v>76.923076923076934</v>
      </c>
      <c r="N690">
        <f t="shared" si="60"/>
        <v>32.620689655172413</v>
      </c>
      <c r="O690">
        <f t="shared" si="65"/>
        <v>1.992600422832981</v>
      </c>
      <c r="P690" t="str">
        <f t="shared" si="61"/>
        <v>Low Stock</v>
      </c>
    </row>
    <row r="691" spans="1:16" hidden="1" x14ac:dyDescent="0.35">
      <c r="A691" s="4">
        <v>46162</v>
      </c>
      <c r="B691" t="s">
        <v>28</v>
      </c>
      <c r="C691" t="s">
        <v>29</v>
      </c>
      <c r="D691" t="s">
        <v>22</v>
      </c>
      <c r="E691" t="s">
        <v>23</v>
      </c>
      <c r="F691">
        <v>629</v>
      </c>
      <c r="G691">
        <v>60</v>
      </c>
      <c r="H691">
        <v>8</v>
      </c>
      <c r="I691">
        <f t="shared" si="62"/>
        <v>681</v>
      </c>
      <c r="J691">
        <v>15</v>
      </c>
      <c r="K691">
        <v>4</v>
      </c>
      <c r="L691" t="str">
        <f t="shared" si="63"/>
        <v>Correct</v>
      </c>
      <c r="M691">
        <f t="shared" si="64"/>
        <v>53.333333333333336</v>
      </c>
      <c r="N691">
        <f t="shared" si="60"/>
        <v>11.678571428571429</v>
      </c>
      <c r="O691">
        <f t="shared" si="65"/>
        <v>58.311926605504588</v>
      </c>
      <c r="P691" t="str">
        <f t="shared" si="61"/>
        <v>Overstock</v>
      </c>
    </row>
    <row r="692" spans="1:16" hidden="1" x14ac:dyDescent="0.35">
      <c r="A692" s="4">
        <v>46162</v>
      </c>
      <c r="B692" t="s">
        <v>31</v>
      </c>
      <c r="C692" t="s">
        <v>32</v>
      </c>
      <c r="D692" t="s">
        <v>14</v>
      </c>
      <c r="E692" t="s">
        <v>15</v>
      </c>
      <c r="F692">
        <v>332</v>
      </c>
      <c r="G692">
        <v>33</v>
      </c>
      <c r="H692">
        <v>9</v>
      </c>
      <c r="I692">
        <f t="shared" si="62"/>
        <v>356</v>
      </c>
      <c r="J692">
        <v>10</v>
      </c>
      <c r="K692">
        <v>2</v>
      </c>
      <c r="L692" t="str">
        <f t="shared" si="63"/>
        <v>Correct</v>
      </c>
      <c r="M692">
        <f t="shared" si="64"/>
        <v>90</v>
      </c>
      <c r="N692">
        <f t="shared" si="60"/>
        <v>20.84375</v>
      </c>
      <c r="O692">
        <f t="shared" si="65"/>
        <v>17.079460269865066</v>
      </c>
      <c r="P692" t="str">
        <f t="shared" si="61"/>
        <v>Healthy</v>
      </c>
    </row>
    <row r="693" spans="1:16" hidden="1" x14ac:dyDescent="0.35">
      <c r="A693" s="4">
        <v>46162</v>
      </c>
      <c r="B693" t="s">
        <v>31</v>
      </c>
      <c r="C693" t="s">
        <v>32</v>
      </c>
      <c r="D693" t="s">
        <v>16</v>
      </c>
      <c r="E693" t="s">
        <v>17</v>
      </c>
      <c r="F693">
        <v>382</v>
      </c>
      <c r="G693">
        <v>0</v>
      </c>
      <c r="H693">
        <v>18</v>
      </c>
      <c r="I693">
        <f t="shared" si="62"/>
        <v>364</v>
      </c>
      <c r="J693">
        <v>26</v>
      </c>
      <c r="K693">
        <v>1</v>
      </c>
      <c r="L693" t="str">
        <f t="shared" si="63"/>
        <v>Correct</v>
      </c>
      <c r="M693">
        <f t="shared" si="64"/>
        <v>69.230769230769226</v>
      </c>
      <c r="N693">
        <f t="shared" si="60"/>
        <v>21.46875</v>
      </c>
      <c r="O693">
        <f t="shared" si="65"/>
        <v>16.954876273653568</v>
      </c>
      <c r="P693" t="str">
        <f t="shared" si="61"/>
        <v>Healthy</v>
      </c>
    </row>
    <row r="694" spans="1:16" x14ac:dyDescent="0.35">
      <c r="A694" s="4">
        <v>46162</v>
      </c>
      <c r="B694" t="s">
        <v>31</v>
      </c>
      <c r="C694" t="s">
        <v>32</v>
      </c>
      <c r="D694" t="s">
        <v>18</v>
      </c>
      <c r="E694" t="s">
        <v>19</v>
      </c>
      <c r="F694">
        <v>140</v>
      </c>
      <c r="G694">
        <v>7</v>
      </c>
      <c r="H694">
        <v>19</v>
      </c>
      <c r="I694">
        <f t="shared" si="62"/>
        <v>128</v>
      </c>
      <c r="J694">
        <v>31</v>
      </c>
      <c r="K694">
        <v>3</v>
      </c>
      <c r="L694" t="str">
        <f t="shared" si="63"/>
        <v>Correct</v>
      </c>
      <c r="M694">
        <f t="shared" si="64"/>
        <v>61.29032258064516</v>
      </c>
      <c r="N694">
        <f t="shared" si="60"/>
        <v>30.586206896551722</v>
      </c>
      <c r="O694">
        <f t="shared" si="65"/>
        <v>4.1848928974069901</v>
      </c>
      <c r="P694" t="str">
        <f t="shared" si="61"/>
        <v>Low Stock</v>
      </c>
    </row>
    <row r="695" spans="1:16" hidden="1" x14ac:dyDescent="0.35">
      <c r="A695" s="4">
        <v>46162</v>
      </c>
      <c r="B695" t="s">
        <v>31</v>
      </c>
      <c r="C695" t="s">
        <v>32</v>
      </c>
      <c r="D695" t="s">
        <v>20</v>
      </c>
      <c r="E695" t="s">
        <v>21</v>
      </c>
      <c r="F695">
        <v>110</v>
      </c>
      <c r="G695">
        <v>22</v>
      </c>
      <c r="H695">
        <v>39</v>
      </c>
      <c r="I695">
        <f t="shared" si="62"/>
        <v>93</v>
      </c>
      <c r="J695">
        <v>44</v>
      </c>
      <c r="K695">
        <v>5</v>
      </c>
      <c r="L695" t="str">
        <f t="shared" si="63"/>
        <v>Correct</v>
      </c>
      <c r="M695">
        <f t="shared" si="64"/>
        <v>88.63636363636364</v>
      </c>
      <c r="N695">
        <f t="shared" si="60"/>
        <v>32.299999999999997</v>
      </c>
      <c r="O695">
        <f t="shared" si="65"/>
        <v>2.8792569659442728</v>
      </c>
      <c r="P695" t="str">
        <f t="shared" si="61"/>
        <v>Low Stock</v>
      </c>
    </row>
    <row r="696" spans="1:16" hidden="1" x14ac:dyDescent="0.35">
      <c r="A696" s="4">
        <v>46162</v>
      </c>
      <c r="B696" t="s">
        <v>31</v>
      </c>
      <c r="C696" t="s">
        <v>32</v>
      </c>
      <c r="D696" t="s">
        <v>22</v>
      </c>
      <c r="E696" t="s">
        <v>23</v>
      </c>
      <c r="F696">
        <v>688</v>
      </c>
      <c r="G696">
        <v>24</v>
      </c>
      <c r="H696">
        <v>3</v>
      </c>
      <c r="I696">
        <f t="shared" si="62"/>
        <v>709</v>
      </c>
      <c r="J696">
        <v>18</v>
      </c>
      <c r="K696">
        <v>5</v>
      </c>
      <c r="L696" t="str">
        <f t="shared" si="63"/>
        <v>Correct</v>
      </c>
      <c r="M696">
        <f t="shared" si="64"/>
        <v>16.666666666666664</v>
      </c>
      <c r="N696">
        <f t="shared" si="60"/>
        <v>10.413793103448276</v>
      </c>
      <c r="O696">
        <f t="shared" si="65"/>
        <v>68.08278145695364</v>
      </c>
      <c r="P696" t="str">
        <f t="shared" si="61"/>
        <v>Overstock</v>
      </c>
    </row>
    <row r="697" spans="1:16" hidden="1" x14ac:dyDescent="0.35">
      <c r="A697" s="4">
        <v>46162</v>
      </c>
      <c r="B697" t="s">
        <v>33</v>
      </c>
      <c r="C697" t="s">
        <v>34</v>
      </c>
      <c r="D697" t="s">
        <v>14</v>
      </c>
      <c r="E697" t="s">
        <v>15</v>
      </c>
      <c r="F697">
        <v>225</v>
      </c>
      <c r="G697">
        <v>33</v>
      </c>
      <c r="H697">
        <v>35</v>
      </c>
      <c r="I697">
        <f t="shared" si="62"/>
        <v>223</v>
      </c>
      <c r="J697">
        <v>35</v>
      </c>
      <c r="K697">
        <v>4</v>
      </c>
      <c r="L697" t="str">
        <f t="shared" si="63"/>
        <v>Correct</v>
      </c>
      <c r="M697">
        <f t="shared" si="64"/>
        <v>100</v>
      </c>
      <c r="N697">
        <f t="shared" si="60"/>
        <v>20.70967741935484</v>
      </c>
      <c r="O697">
        <f t="shared" si="65"/>
        <v>10.767912772585669</v>
      </c>
      <c r="P697" t="str">
        <f t="shared" si="61"/>
        <v>Low Stock</v>
      </c>
    </row>
    <row r="698" spans="1:16" hidden="1" x14ac:dyDescent="0.35">
      <c r="A698" s="4">
        <v>46162</v>
      </c>
      <c r="B698" t="s">
        <v>33</v>
      </c>
      <c r="C698" t="s">
        <v>34</v>
      </c>
      <c r="D698" t="s">
        <v>16</v>
      </c>
      <c r="E698" t="s">
        <v>17</v>
      </c>
      <c r="F698">
        <v>235</v>
      </c>
      <c r="G698">
        <v>4</v>
      </c>
      <c r="H698">
        <v>30</v>
      </c>
      <c r="I698">
        <f t="shared" si="62"/>
        <v>209</v>
      </c>
      <c r="J698">
        <v>31</v>
      </c>
      <c r="K698">
        <v>3</v>
      </c>
      <c r="L698" t="str">
        <f t="shared" si="63"/>
        <v>Correct</v>
      </c>
      <c r="M698">
        <f t="shared" si="64"/>
        <v>96.774193548387103</v>
      </c>
      <c r="N698">
        <f t="shared" si="60"/>
        <v>22.142857142857142</v>
      </c>
      <c r="O698">
        <f t="shared" si="65"/>
        <v>9.4387096774193555</v>
      </c>
      <c r="P698" t="str">
        <f t="shared" si="61"/>
        <v>Low Stock</v>
      </c>
    </row>
    <row r="699" spans="1:16" x14ac:dyDescent="0.35">
      <c r="A699" s="4">
        <v>46162</v>
      </c>
      <c r="B699" t="s">
        <v>33</v>
      </c>
      <c r="C699" t="s">
        <v>34</v>
      </c>
      <c r="D699" t="s">
        <v>18</v>
      </c>
      <c r="E699" t="s">
        <v>19</v>
      </c>
      <c r="F699">
        <v>129</v>
      </c>
      <c r="G699">
        <v>6</v>
      </c>
      <c r="H699">
        <v>19</v>
      </c>
      <c r="I699">
        <f t="shared" si="62"/>
        <v>116</v>
      </c>
      <c r="J699">
        <v>27</v>
      </c>
      <c r="K699">
        <v>4</v>
      </c>
      <c r="L699" t="str">
        <f t="shared" si="63"/>
        <v>Correct</v>
      </c>
      <c r="M699">
        <f t="shared" si="64"/>
        <v>70.370370370370367</v>
      </c>
      <c r="N699">
        <f t="shared" si="60"/>
        <v>30.275862068965516</v>
      </c>
      <c r="O699">
        <f t="shared" si="65"/>
        <v>3.8314350797266514</v>
      </c>
      <c r="P699" t="str">
        <f t="shared" si="61"/>
        <v>Low Stock</v>
      </c>
    </row>
    <row r="700" spans="1:16" hidden="1" x14ac:dyDescent="0.35">
      <c r="A700" s="4">
        <v>46162</v>
      </c>
      <c r="B700" t="s">
        <v>33</v>
      </c>
      <c r="C700" t="s">
        <v>34</v>
      </c>
      <c r="D700" t="s">
        <v>20</v>
      </c>
      <c r="E700" t="s">
        <v>21</v>
      </c>
      <c r="F700">
        <v>322</v>
      </c>
      <c r="G700">
        <v>43</v>
      </c>
      <c r="H700">
        <v>24</v>
      </c>
      <c r="I700">
        <f t="shared" si="62"/>
        <v>341</v>
      </c>
      <c r="J700">
        <v>0</v>
      </c>
      <c r="K700">
        <v>4</v>
      </c>
      <c r="L700" t="str">
        <f t="shared" si="63"/>
        <v>Correct</v>
      </c>
      <c r="M700">
        <f t="shared" si="64"/>
        <v>0</v>
      </c>
      <c r="N700">
        <f t="shared" si="60"/>
        <v>30.931034482758619</v>
      </c>
      <c r="O700">
        <f t="shared" si="65"/>
        <v>11.024526198439242</v>
      </c>
      <c r="P700" t="str">
        <f t="shared" si="61"/>
        <v>Low Stock</v>
      </c>
    </row>
    <row r="701" spans="1:16" hidden="1" x14ac:dyDescent="0.35">
      <c r="A701" s="4">
        <v>46162</v>
      </c>
      <c r="B701" t="s">
        <v>33</v>
      </c>
      <c r="C701" t="s">
        <v>34</v>
      </c>
      <c r="D701" t="s">
        <v>22</v>
      </c>
      <c r="E701" t="s">
        <v>23</v>
      </c>
      <c r="F701">
        <v>466</v>
      </c>
      <c r="G701">
        <v>25</v>
      </c>
      <c r="H701">
        <v>17</v>
      </c>
      <c r="I701">
        <f t="shared" si="62"/>
        <v>474</v>
      </c>
      <c r="J701">
        <v>25</v>
      </c>
      <c r="K701">
        <v>3</v>
      </c>
      <c r="L701" t="str">
        <f t="shared" si="63"/>
        <v>Correct</v>
      </c>
      <c r="M701">
        <f t="shared" si="64"/>
        <v>68</v>
      </c>
      <c r="N701">
        <f t="shared" si="60"/>
        <v>10.25</v>
      </c>
      <c r="O701">
        <f t="shared" si="65"/>
        <v>46.243902439024389</v>
      </c>
      <c r="P701" t="str">
        <f t="shared" si="61"/>
        <v>Overstock</v>
      </c>
    </row>
    <row r="702" spans="1:16" hidden="1" x14ac:dyDescent="0.35">
      <c r="A702" s="4">
        <v>46163</v>
      </c>
      <c r="B702" t="s">
        <v>12</v>
      </c>
      <c r="C702" t="s">
        <v>13</v>
      </c>
      <c r="D702" t="s">
        <v>14</v>
      </c>
      <c r="E702" t="s">
        <v>15</v>
      </c>
      <c r="F702">
        <v>474</v>
      </c>
      <c r="G702">
        <v>60</v>
      </c>
      <c r="H702">
        <v>10</v>
      </c>
      <c r="I702">
        <f t="shared" si="62"/>
        <v>524</v>
      </c>
      <c r="J702">
        <v>13</v>
      </c>
      <c r="K702">
        <v>4</v>
      </c>
      <c r="L702" t="str">
        <f t="shared" si="63"/>
        <v>Correct</v>
      </c>
      <c r="M702">
        <f t="shared" si="64"/>
        <v>76.923076923076934</v>
      </c>
      <c r="N702">
        <f t="shared" si="60"/>
        <v>21.666666666666668</v>
      </c>
      <c r="O702">
        <f t="shared" si="65"/>
        <v>24.184615384615384</v>
      </c>
      <c r="P702" t="str">
        <f t="shared" si="61"/>
        <v>Healthy</v>
      </c>
    </row>
    <row r="703" spans="1:16" hidden="1" x14ac:dyDescent="0.35">
      <c r="A703" s="4">
        <v>46163</v>
      </c>
      <c r="B703" t="s">
        <v>12</v>
      </c>
      <c r="C703" t="s">
        <v>13</v>
      </c>
      <c r="D703" t="s">
        <v>16</v>
      </c>
      <c r="E703" t="s">
        <v>17</v>
      </c>
      <c r="F703">
        <v>328</v>
      </c>
      <c r="G703">
        <v>44</v>
      </c>
      <c r="H703">
        <v>31</v>
      </c>
      <c r="I703">
        <f t="shared" si="62"/>
        <v>341</v>
      </c>
      <c r="J703">
        <v>44</v>
      </c>
      <c r="K703">
        <v>3</v>
      </c>
      <c r="L703" t="str">
        <f t="shared" si="63"/>
        <v>Correct</v>
      </c>
      <c r="M703">
        <f t="shared" si="64"/>
        <v>70.454545454545453</v>
      </c>
      <c r="N703">
        <f t="shared" si="60"/>
        <v>20.030303030303031</v>
      </c>
      <c r="O703">
        <f t="shared" si="65"/>
        <v>17.024205748865356</v>
      </c>
      <c r="P703" t="str">
        <f t="shared" si="61"/>
        <v>Healthy</v>
      </c>
    </row>
    <row r="704" spans="1:16" x14ac:dyDescent="0.35">
      <c r="A704" s="4">
        <v>46163</v>
      </c>
      <c r="B704" t="s">
        <v>12</v>
      </c>
      <c r="C704" t="s">
        <v>13</v>
      </c>
      <c r="D704" t="s">
        <v>18</v>
      </c>
      <c r="E704" t="s">
        <v>19</v>
      </c>
      <c r="F704">
        <v>151</v>
      </c>
      <c r="G704">
        <v>33</v>
      </c>
      <c r="H704">
        <v>32</v>
      </c>
      <c r="I704">
        <f t="shared" si="62"/>
        <v>152</v>
      </c>
      <c r="J704">
        <v>34</v>
      </c>
      <c r="K704">
        <v>2</v>
      </c>
      <c r="L704" t="str">
        <f t="shared" si="63"/>
        <v>Correct</v>
      </c>
      <c r="M704">
        <f t="shared" si="64"/>
        <v>94.117647058823522</v>
      </c>
      <c r="N704">
        <f t="shared" si="60"/>
        <v>33.34375</v>
      </c>
      <c r="O704">
        <f t="shared" si="65"/>
        <v>4.5585754451733838</v>
      </c>
      <c r="P704" t="str">
        <f t="shared" si="61"/>
        <v>Low Stock</v>
      </c>
    </row>
    <row r="705" spans="1:16" hidden="1" x14ac:dyDescent="0.35">
      <c r="A705" s="4">
        <v>46163</v>
      </c>
      <c r="B705" t="s">
        <v>12</v>
      </c>
      <c r="C705" t="s">
        <v>13</v>
      </c>
      <c r="D705" t="s">
        <v>20</v>
      </c>
      <c r="E705" t="s">
        <v>21</v>
      </c>
      <c r="F705">
        <v>43</v>
      </c>
      <c r="G705">
        <v>23</v>
      </c>
      <c r="H705">
        <v>25</v>
      </c>
      <c r="I705">
        <f t="shared" si="62"/>
        <v>41</v>
      </c>
      <c r="J705">
        <v>33</v>
      </c>
      <c r="K705">
        <v>4</v>
      </c>
      <c r="L705" t="str">
        <f t="shared" si="63"/>
        <v>Correct</v>
      </c>
      <c r="M705">
        <f t="shared" si="64"/>
        <v>75.757575757575751</v>
      </c>
      <c r="N705">
        <f t="shared" si="60"/>
        <v>34.515151515151516</v>
      </c>
      <c r="O705">
        <f t="shared" si="65"/>
        <v>1.1878841088674275</v>
      </c>
      <c r="P705" t="str">
        <f t="shared" si="61"/>
        <v>Low Stock</v>
      </c>
    </row>
    <row r="706" spans="1:16" hidden="1" x14ac:dyDescent="0.35">
      <c r="A706" s="4">
        <v>46163</v>
      </c>
      <c r="B706" t="s">
        <v>12</v>
      </c>
      <c r="C706" t="s">
        <v>13</v>
      </c>
      <c r="D706" t="s">
        <v>22</v>
      </c>
      <c r="E706" t="s">
        <v>23</v>
      </c>
      <c r="F706">
        <v>413</v>
      </c>
      <c r="G706">
        <v>49</v>
      </c>
      <c r="H706">
        <v>13</v>
      </c>
      <c r="I706">
        <f t="shared" si="62"/>
        <v>449</v>
      </c>
      <c r="J706">
        <v>28</v>
      </c>
      <c r="K706">
        <v>5</v>
      </c>
      <c r="L706" t="str">
        <f t="shared" si="63"/>
        <v>Correct</v>
      </c>
      <c r="M706">
        <f t="shared" si="64"/>
        <v>46.428571428571431</v>
      </c>
      <c r="N706">
        <f t="shared" ref="N706:N769" si="66">SUMIFS($H:$H,$B:$B,B706,$C:$C,C706,$D:$D,D706)/COUNTIFS($B:$B,B706,$C:$C,C706,$D:$D,D706)</f>
        <v>9.9032258064516121</v>
      </c>
      <c r="O706">
        <f t="shared" si="65"/>
        <v>45.338762214983717</v>
      </c>
      <c r="P706" t="str">
        <f t="shared" ref="P706:P769" si="67">IF(O706&lt;15,"Low Stock",IF(O706&lt;=30,"Healthy","Overstock"))</f>
        <v>Overstock</v>
      </c>
    </row>
    <row r="707" spans="1:16" hidden="1" x14ac:dyDescent="0.35">
      <c r="A707" s="4">
        <v>46163</v>
      </c>
      <c r="B707" t="s">
        <v>12</v>
      </c>
      <c r="C707" t="s">
        <v>24</v>
      </c>
      <c r="D707" t="s">
        <v>14</v>
      </c>
      <c r="E707" t="s">
        <v>15</v>
      </c>
      <c r="F707">
        <v>267</v>
      </c>
      <c r="G707">
        <v>57</v>
      </c>
      <c r="H707">
        <v>24</v>
      </c>
      <c r="I707">
        <f t="shared" ref="I707:I770" si="68">F707+G707-H707</f>
        <v>300</v>
      </c>
      <c r="J707">
        <v>27</v>
      </c>
      <c r="K707">
        <v>3</v>
      </c>
      <c r="L707" t="str">
        <f t="shared" ref="L707:L770" si="69">IF(I707&lt;0,"Need verification","Correct")</f>
        <v>Correct</v>
      </c>
      <c r="M707">
        <f t="shared" ref="M707:M770" si="70">IF(J707=0,0,(H707/J707)*100)</f>
        <v>88.888888888888886</v>
      </c>
      <c r="N707">
        <f t="shared" si="66"/>
        <v>21.35483870967742</v>
      </c>
      <c r="O707">
        <f t="shared" ref="O707:O770" si="71">IFERROR(I707/N707,0)</f>
        <v>14.04833836858006</v>
      </c>
      <c r="P707" t="str">
        <f t="shared" si="67"/>
        <v>Low Stock</v>
      </c>
    </row>
    <row r="708" spans="1:16" hidden="1" x14ac:dyDescent="0.35">
      <c r="A708" s="4">
        <v>46163</v>
      </c>
      <c r="B708" t="s">
        <v>12</v>
      </c>
      <c r="C708" t="s">
        <v>24</v>
      </c>
      <c r="D708" t="s">
        <v>16</v>
      </c>
      <c r="E708" t="s">
        <v>17</v>
      </c>
      <c r="F708">
        <v>213</v>
      </c>
      <c r="G708">
        <v>10</v>
      </c>
      <c r="H708">
        <v>34</v>
      </c>
      <c r="I708">
        <f t="shared" si="68"/>
        <v>189</v>
      </c>
      <c r="J708">
        <v>42</v>
      </c>
      <c r="K708">
        <v>1</v>
      </c>
      <c r="L708" t="str">
        <f t="shared" si="69"/>
        <v>Correct</v>
      </c>
      <c r="M708">
        <f t="shared" si="70"/>
        <v>80.952380952380949</v>
      </c>
      <c r="N708">
        <f t="shared" si="66"/>
        <v>21.9</v>
      </c>
      <c r="O708">
        <f t="shared" si="71"/>
        <v>8.6301369863013697</v>
      </c>
      <c r="P708" t="str">
        <f t="shared" si="67"/>
        <v>Low Stock</v>
      </c>
    </row>
    <row r="709" spans="1:16" x14ac:dyDescent="0.35">
      <c r="A709" s="4">
        <v>46163</v>
      </c>
      <c r="B709" t="s">
        <v>12</v>
      </c>
      <c r="C709" t="s">
        <v>24</v>
      </c>
      <c r="D709" t="s">
        <v>18</v>
      </c>
      <c r="E709" t="s">
        <v>19</v>
      </c>
      <c r="F709">
        <v>180</v>
      </c>
      <c r="G709">
        <v>15</v>
      </c>
      <c r="H709">
        <v>18</v>
      </c>
      <c r="I709">
        <f t="shared" si="68"/>
        <v>177</v>
      </c>
      <c r="J709">
        <v>23</v>
      </c>
      <c r="K709">
        <v>2</v>
      </c>
      <c r="L709" t="str">
        <f t="shared" si="69"/>
        <v>Correct</v>
      </c>
      <c r="M709">
        <f t="shared" si="70"/>
        <v>78.260869565217391</v>
      </c>
      <c r="N709">
        <f t="shared" si="66"/>
        <v>31.586206896551722</v>
      </c>
      <c r="O709">
        <f t="shared" si="71"/>
        <v>5.6037117903930138</v>
      </c>
      <c r="P709" t="str">
        <f t="shared" si="67"/>
        <v>Low Stock</v>
      </c>
    </row>
    <row r="710" spans="1:16" hidden="1" x14ac:dyDescent="0.35">
      <c r="A710" s="4">
        <v>46163</v>
      </c>
      <c r="B710" t="s">
        <v>12</v>
      </c>
      <c r="C710" t="s">
        <v>24</v>
      </c>
      <c r="D710" t="s">
        <v>20</v>
      </c>
      <c r="E710" t="s">
        <v>21</v>
      </c>
      <c r="F710">
        <v>0</v>
      </c>
      <c r="G710">
        <v>40</v>
      </c>
      <c r="H710">
        <v>21</v>
      </c>
      <c r="I710">
        <f t="shared" si="68"/>
        <v>19</v>
      </c>
      <c r="J710">
        <v>22</v>
      </c>
      <c r="K710">
        <v>1</v>
      </c>
      <c r="L710" t="str">
        <f t="shared" si="69"/>
        <v>Correct</v>
      </c>
      <c r="M710">
        <f t="shared" si="70"/>
        <v>95.454545454545453</v>
      </c>
      <c r="N710">
        <f t="shared" si="66"/>
        <v>34.200000000000003</v>
      </c>
      <c r="O710">
        <f t="shared" si="71"/>
        <v>0.55555555555555547</v>
      </c>
      <c r="P710" t="str">
        <f t="shared" si="67"/>
        <v>Low Stock</v>
      </c>
    </row>
    <row r="711" spans="1:16" hidden="1" x14ac:dyDescent="0.35">
      <c r="A711" s="4">
        <v>46163</v>
      </c>
      <c r="B711" t="s">
        <v>12</v>
      </c>
      <c r="C711" t="s">
        <v>24</v>
      </c>
      <c r="D711" t="s">
        <v>22</v>
      </c>
      <c r="E711" t="s">
        <v>23</v>
      </c>
      <c r="F711">
        <v>455</v>
      </c>
      <c r="G711">
        <v>5</v>
      </c>
      <c r="H711">
        <v>13</v>
      </c>
      <c r="I711">
        <f t="shared" si="68"/>
        <v>447</v>
      </c>
      <c r="J711">
        <v>16</v>
      </c>
      <c r="K711">
        <v>5</v>
      </c>
      <c r="L711" t="str">
        <f t="shared" si="69"/>
        <v>Correct</v>
      </c>
      <c r="M711">
        <f t="shared" si="70"/>
        <v>81.25</v>
      </c>
      <c r="N711">
        <f t="shared" si="66"/>
        <v>10.96551724137931</v>
      </c>
      <c r="O711">
        <f t="shared" si="71"/>
        <v>40.764150943396231</v>
      </c>
      <c r="P711" t="str">
        <f t="shared" si="67"/>
        <v>Overstock</v>
      </c>
    </row>
    <row r="712" spans="1:16" hidden="1" x14ac:dyDescent="0.35">
      <c r="A712" s="4">
        <v>46163</v>
      </c>
      <c r="B712" t="s">
        <v>12</v>
      </c>
      <c r="C712" t="s">
        <v>25</v>
      </c>
      <c r="D712" t="s">
        <v>14</v>
      </c>
      <c r="E712" t="s">
        <v>15</v>
      </c>
      <c r="F712">
        <v>253</v>
      </c>
      <c r="G712">
        <v>12</v>
      </c>
      <c r="H712">
        <v>29</v>
      </c>
      <c r="I712">
        <f t="shared" si="68"/>
        <v>236</v>
      </c>
      <c r="J712">
        <v>38</v>
      </c>
      <c r="K712">
        <v>4</v>
      </c>
      <c r="L712" t="str">
        <f t="shared" si="69"/>
        <v>Correct</v>
      </c>
      <c r="M712">
        <f t="shared" si="70"/>
        <v>76.31578947368422</v>
      </c>
      <c r="N712">
        <f t="shared" si="66"/>
        <v>20.7</v>
      </c>
      <c r="O712">
        <f t="shared" si="71"/>
        <v>11.40096618357488</v>
      </c>
      <c r="P712" t="str">
        <f t="shared" si="67"/>
        <v>Low Stock</v>
      </c>
    </row>
    <row r="713" spans="1:16" hidden="1" x14ac:dyDescent="0.35">
      <c r="A713" s="4">
        <v>46163</v>
      </c>
      <c r="B713" t="s">
        <v>12</v>
      </c>
      <c r="C713" t="s">
        <v>25</v>
      </c>
      <c r="D713" t="s">
        <v>16</v>
      </c>
      <c r="E713" t="s">
        <v>17</v>
      </c>
      <c r="F713">
        <v>292</v>
      </c>
      <c r="G713">
        <v>14</v>
      </c>
      <c r="H713">
        <v>8</v>
      </c>
      <c r="I713">
        <f t="shared" si="68"/>
        <v>298</v>
      </c>
      <c r="J713">
        <v>13</v>
      </c>
      <c r="K713">
        <v>2</v>
      </c>
      <c r="L713" t="str">
        <f t="shared" si="69"/>
        <v>Correct</v>
      </c>
      <c r="M713">
        <f t="shared" si="70"/>
        <v>61.53846153846154</v>
      </c>
      <c r="N713">
        <f t="shared" si="66"/>
        <v>23.758620689655171</v>
      </c>
      <c r="O713">
        <f t="shared" si="71"/>
        <v>12.542815674891147</v>
      </c>
      <c r="P713" t="str">
        <f t="shared" si="67"/>
        <v>Low Stock</v>
      </c>
    </row>
    <row r="714" spans="1:16" x14ac:dyDescent="0.35">
      <c r="A714" s="4">
        <v>46163</v>
      </c>
      <c r="B714" t="s">
        <v>12</v>
      </c>
      <c r="C714" t="s">
        <v>25</v>
      </c>
      <c r="D714" t="s">
        <v>18</v>
      </c>
      <c r="E714" t="s">
        <v>19</v>
      </c>
      <c r="F714">
        <v>73</v>
      </c>
      <c r="G714">
        <v>24</v>
      </c>
      <c r="H714">
        <v>25</v>
      </c>
      <c r="I714">
        <f t="shared" si="68"/>
        <v>72</v>
      </c>
      <c r="J714">
        <v>38</v>
      </c>
      <c r="K714">
        <v>2</v>
      </c>
      <c r="L714" t="str">
        <f t="shared" si="69"/>
        <v>Correct</v>
      </c>
      <c r="M714">
        <f t="shared" si="70"/>
        <v>65.789473684210535</v>
      </c>
      <c r="N714">
        <f t="shared" si="66"/>
        <v>31.142857142857142</v>
      </c>
      <c r="O714">
        <f t="shared" si="71"/>
        <v>2.3119266055045871</v>
      </c>
      <c r="P714" t="str">
        <f t="shared" si="67"/>
        <v>Low Stock</v>
      </c>
    </row>
    <row r="715" spans="1:16" hidden="1" x14ac:dyDescent="0.35">
      <c r="A715" s="4">
        <v>46163</v>
      </c>
      <c r="B715" t="s">
        <v>12</v>
      </c>
      <c r="C715" t="s">
        <v>25</v>
      </c>
      <c r="D715" t="s">
        <v>20</v>
      </c>
      <c r="E715" t="s">
        <v>21</v>
      </c>
      <c r="F715">
        <v>184</v>
      </c>
      <c r="G715">
        <v>40</v>
      </c>
      <c r="H715">
        <v>48</v>
      </c>
      <c r="I715">
        <f t="shared" si="68"/>
        <v>176</v>
      </c>
      <c r="J715">
        <v>59</v>
      </c>
      <c r="K715">
        <v>5</v>
      </c>
      <c r="L715" t="str">
        <f t="shared" si="69"/>
        <v>Correct</v>
      </c>
      <c r="M715">
        <f t="shared" si="70"/>
        <v>81.355932203389841</v>
      </c>
      <c r="N715">
        <f t="shared" si="66"/>
        <v>31.137931034482758</v>
      </c>
      <c r="O715">
        <f t="shared" si="71"/>
        <v>5.6522702104097453</v>
      </c>
      <c r="P715" t="str">
        <f t="shared" si="67"/>
        <v>Low Stock</v>
      </c>
    </row>
    <row r="716" spans="1:16" hidden="1" x14ac:dyDescent="0.35">
      <c r="A716" s="4">
        <v>46163</v>
      </c>
      <c r="B716" t="s">
        <v>12</v>
      </c>
      <c r="C716" t="s">
        <v>25</v>
      </c>
      <c r="D716" t="s">
        <v>22</v>
      </c>
      <c r="E716" t="s">
        <v>23</v>
      </c>
      <c r="F716">
        <v>595</v>
      </c>
      <c r="G716">
        <v>44</v>
      </c>
      <c r="H716">
        <v>16</v>
      </c>
      <c r="I716">
        <f t="shared" si="68"/>
        <v>623</v>
      </c>
      <c r="J716">
        <v>21</v>
      </c>
      <c r="K716">
        <v>5</v>
      </c>
      <c r="L716" t="str">
        <f t="shared" si="69"/>
        <v>Correct</v>
      </c>
      <c r="M716">
        <f t="shared" si="70"/>
        <v>76.19047619047619</v>
      </c>
      <c r="N716">
        <f t="shared" si="66"/>
        <v>11.3</v>
      </c>
      <c r="O716">
        <f t="shared" si="71"/>
        <v>55.132743362831853</v>
      </c>
      <c r="P716" t="str">
        <f t="shared" si="67"/>
        <v>Overstock</v>
      </c>
    </row>
    <row r="717" spans="1:16" hidden="1" x14ac:dyDescent="0.35">
      <c r="A717" s="4">
        <v>46163</v>
      </c>
      <c r="B717" t="s">
        <v>26</v>
      </c>
      <c r="C717" t="s">
        <v>27</v>
      </c>
      <c r="D717" t="s">
        <v>14</v>
      </c>
      <c r="E717" t="s">
        <v>15</v>
      </c>
      <c r="F717">
        <v>527</v>
      </c>
      <c r="G717">
        <v>58</v>
      </c>
      <c r="H717">
        <v>14</v>
      </c>
      <c r="I717">
        <f t="shared" si="68"/>
        <v>571</v>
      </c>
      <c r="J717">
        <v>20</v>
      </c>
      <c r="K717">
        <v>4</v>
      </c>
      <c r="L717" t="str">
        <f t="shared" si="69"/>
        <v>Correct</v>
      </c>
      <c r="M717">
        <f t="shared" si="70"/>
        <v>70</v>
      </c>
      <c r="N717">
        <f t="shared" si="66"/>
        <v>22.258064516129032</v>
      </c>
      <c r="O717">
        <f t="shared" si="71"/>
        <v>25.653623188405799</v>
      </c>
      <c r="P717" t="str">
        <f t="shared" si="67"/>
        <v>Healthy</v>
      </c>
    </row>
    <row r="718" spans="1:16" hidden="1" x14ac:dyDescent="0.35">
      <c r="A718" s="4">
        <v>46163</v>
      </c>
      <c r="B718" t="s">
        <v>26</v>
      </c>
      <c r="C718" t="s">
        <v>27</v>
      </c>
      <c r="D718" t="s">
        <v>16</v>
      </c>
      <c r="E718" t="s">
        <v>17</v>
      </c>
      <c r="F718">
        <v>353</v>
      </c>
      <c r="G718">
        <v>44</v>
      </c>
      <c r="H718">
        <v>34</v>
      </c>
      <c r="I718">
        <f t="shared" si="68"/>
        <v>363</v>
      </c>
      <c r="J718">
        <v>42</v>
      </c>
      <c r="K718">
        <v>4</v>
      </c>
      <c r="L718" t="str">
        <f t="shared" si="69"/>
        <v>Correct</v>
      </c>
      <c r="M718">
        <f t="shared" si="70"/>
        <v>80.952380952380949</v>
      </c>
      <c r="N718">
        <f t="shared" si="66"/>
        <v>20.172413793103448</v>
      </c>
      <c r="O718">
        <f t="shared" si="71"/>
        <v>17.994871794871795</v>
      </c>
      <c r="P718" t="str">
        <f t="shared" si="67"/>
        <v>Healthy</v>
      </c>
    </row>
    <row r="719" spans="1:16" x14ac:dyDescent="0.35">
      <c r="A719" s="4">
        <v>46163</v>
      </c>
      <c r="B719" t="s">
        <v>26</v>
      </c>
      <c r="C719" t="s">
        <v>27</v>
      </c>
      <c r="D719" t="s">
        <v>18</v>
      </c>
      <c r="E719" t="s">
        <v>19</v>
      </c>
      <c r="F719">
        <v>154</v>
      </c>
      <c r="G719">
        <v>2</v>
      </c>
      <c r="H719">
        <v>48</v>
      </c>
      <c r="I719">
        <f t="shared" si="68"/>
        <v>108</v>
      </c>
      <c r="J719">
        <v>49</v>
      </c>
      <c r="K719">
        <v>3</v>
      </c>
      <c r="L719" t="str">
        <f t="shared" si="69"/>
        <v>Correct</v>
      </c>
      <c r="M719">
        <f t="shared" si="70"/>
        <v>97.959183673469383</v>
      </c>
      <c r="N719">
        <f t="shared" si="66"/>
        <v>29.733333333333334</v>
      </c>
      <c r="O719">
        <f t="shared" si="71"/>
        <v>3.6322869955156949</v>
      </c>
      <c r="P719" t="str">
        <f t="shared" si="67"/>
        <v>Low Stock</v>
      </c>
    </row>
    <row r="720" spans="1:16" hidden="1" x14ac:dyDescent="0.35">
      <c r="A720" s="4">
        <v>46163</v>
      </c>
      <c r="B720" t="s">
        <v>26</v>
      </c>
      <c r="C720" t="s">
        <v>27</v>
      </c>
      <c r="D720" t="s">
        <v>20</v>
      </c>
      <c r="E720" t="s">
        <v>21</v>
      </c>
      <c r="F720">
        <v>296</v>
      </c>
      <c r="G720">
        <v>19</v>
      </c>
      <c r="H720">
        <v>24</v>
      </c>
      <c r="I720">
        <f t="shared" si="68"/>
        <v>291</v>
      </c>
      <c r="J720">
        <v>37</v>
      </c>
      <c r="K720">
        <v>2</v>
      </c>
      <c r="L720" t="str">
        <f t="shared" si="69"/>
        <v>Correct</v>
      </c>
      <c r="M720">
        <f t="shared" si="70"/>
        <v>64.86486486486487</v>
      </c>
      <c r="N720">
        <f t="shared" si="66"/>
        <v>30.724137931034484</v>
      </c>
      <c r="O720">
        <f t="shared" si="71"/>
        <v>9.4713804713804706</v>
      </c>
      <c r="P720" t="str">
        <f t="shared" si="67"/>
        <v>Low Stock</v>
      </c>
    </row>
    <row r="721" spans="1:16" hidden="1" x14ac:dyDescent="0.35">
      <c r="A721" s="4">
        <v>46163</v>
      </c>
      <c r="B721" t="s">
        <v>26</v>
      </c>
      <c r="C721" t="s">
        <v>27</v>
      </c>
      <c r="D721" t="s">
        <v>22</v>
      </c>
      <c r="E721" t="s">
        <v>23</v>
      </c>
      <c r="F721">
        <v>370</v>
      </c>
      <c r="G721">
        <v>1</v>
      </c>
      <c r="H721">
        <v>18</v>
      </c>
      <c r="I721">
        <f t="shared" si="68"/>
        <v>353</v>
      </c>
      <c r="J721">
        <v>19</v>
      </c>
      <c r="K721">
        <v>3</v>
      </c>
      <c r="L721" t="str">
        <f t="shared" si="69"/>
        <v>Correct</v>
      </c>
      <c r="M721">
        <f t="shared" si="70"/>
        <v>94.73684210526315</v>
      </c>
      <c r="N721">
        <f t="shared" si="66"/>
        <v>11.566666666666666</v>
      </c>
      <c r="O721">
        <f t="shared" si="71"/>
        <v>30.518731988472624</v>
      </c>
      <c r="P721" t="str">
        <f t="shared" si="67"/>
        <v>Overstock</v>
      </c>
    </row>
    <row r="722" spans="1:16" hidden="1" x14ac:dyDescent="0.35">
      <c r="A722" s="4">
        <v>46163</v>
      </c>
      <c r="B722" t="s">
        <v>28</v>
      </c>
      <c r="C722" t="s">
        <v>29</v>
      </c>
      <c r="D722" t="s">
        <v>14</v>
      </c>
      <c r="E722" t="s">
        <v>15</v>
      </c>
      <c r="F722">
        <v>344</v>
      </c>
      <c r="G722">
        <v>51</v>
      </c>
      <c r="H722">
        <v>17</v>
      </c>
      <c r="I722">
        <f t="shared" si="68"/>
        <v>378</v>
      </c>
      <c r="J722">
        <v>22</v>
      </c>
      <c r="K722">
        <v>5</v>
      </c>
      <c r="L722" t="str">
        <f t="shared" si="69"/>
        <v>Correct</v>
      </c>
      <c r="M722">
        <f t="shared" si="70"/>
        <v>77.272727272727266</v>
      </c>
      <c r="N722">
        <f t="shared" si="66"/>
        <v>22.25</v>
      </c>
      <c r="O722">
        <f t="shared" si="71"/>
        <v>16.988764044943821</v>
      </c>
      <c r="P722" t="str">
        <f t="shared" si="67"/>
        <v>Healthy</v>
      </c>
    </row>
    <row r="723" spans="1:16" hidden="1" x14ac:dyDescent="0.35">
      <c r="A723" s="4">
        <v>46163</v>
      </c>
      <c r="B723" t="s">
        <v>28</v>
      </c>
      <c r="C723" t="s">
        <v>29</v>
      </c>
      <c r="D723" t="s">
        <v>16</v>
      </c>
      <c r="E723" t="s">
        <v>17</v>
      </c>
      <c r="F723">
        <v>355</v>
      </c>
      <c r="G723">
        <v>57</v>
      </c>
      <c r="H723">
        <v>10</v>
      </c>
      <c r="I723">
        <f t="shared" si="68"/>
        <v>402</v>
      </c>
      <c r="J723">
        <v>23</v>
      </c>
      <c r="K723">
        <v>3</v>
      </c>
      <c r="L723" t="str">
        <f t="shared" si="69"/>
        <v>Correct</v>
      </c>
      <c r="M723">
        <f t="shared" si="70"/>
        <v>43.478260869565219</v>
      </c>
      <c r="N723">
        <f t="shared" si="66"/>
        <v>19.96551724137931</v>
      </c>
      <c r="O723">
        <f t="shared" si="71"/>
        <v>20.134715025906736</v>
      </c>
      <c r="P723" t="str">
        <f t="shared" si="67"/>
        <v>Healthy</v>
      </c>
    </row>
    <row r="724" spans="1:16" x14ac:dyDescent="0.35">
      <c r="A724" s="4">
        <v>46163</v>
      </c>
      <c r="B724" t="s">
        <v>28</v>
      </c>
      <c r="C724" t="s">
        <v>29</v>
      </c>
      <c r="D724" t="s">
        <v>18</v>
      </c>
      <c r="E724" t="s">
        <v>19</v>
      </c>
      <c r="F724">
        <v>96</v>
      </c>
      <c r="G724">
        <v>21</v>
      </c>
      <c r="H724">
        <v>16</v>
      </c>
      <c r="I724">
        <f t="shared" si="68"/>
        <v>101</v>
      </c>
      <c r="J724">
        <v>17</v>
      </c>
      <c r="K724">
        <v>1</v>
      </c>
      <c r="L724" t="str">
        <f t="shared" si="69"/>
        <v>Correct</v>
      </c>
      <c r="M724">
        <f t="shared" si="70"/>
        <v>94.117647058823522</v>
      </c>
      <c r="N724">
        <f t="shared" si="66"/>
        <v>31.206896551724139</v>
      </c>
      <c r="O724">
        <f t="shared" si="71"/>
        <v>3.2364640883977898</v>
      </c>
      <c r="P724" t="str">
        <f t="shared" si="67"/>
        <v>Low Stock</v>
      </c>
    </row>
    <row r="725" spans="1:16" hidden="1" x14ac:dyDescent="0.35">
      <c r="A725" s="4">
        <v>46163</v>
      </c>
      <c r="B725" t="s">
        <v>28</v>
      </c>
      <c r="C725" t="s">
        <v>29</v>
      </c>
      <c r="D725" t="s">
        <v>20</v>
      </c>
      <c r="E725" t="s">
        <v>21</v>
      </c>
      <c r="F725">
        <v>65</v>
      </c>
      <c r="G725">
        <v>2</v>
      </c>
      <c r="H725">
        <v>30</v>
      </c>
      <c r="I725">
        <f t="shared" si="68"/>
        <v>37</v>
      </c>
      <c r="J725">
        <v>33</v>
      </c>
      <c r="K725">
        <v>3</v>
      </c>
      <c r="L725" t="str">
        <f t="shared" si="69"/>
        <v>Correct</v>
      </c>
      <c r="M725">
        <f t="shared" si="70"/>
        <v>90.909090909090907</v>
      </c>
      <c r="N725">
        <f t="shared" si="66"/>
        <v>32.620689655172413</v>
      </c>
      <c r="O725">
        <f t="shared" si="71"/>
        <v>1.1342494714587739</v>
      </c>
      <c r="P725" t="str">
        <f t="shared" si="67"/>
        <v>Low Stock</v>
      </c>
    </row>
    <row r="726" spans="1:16" hidden="1" x14ac:dyDescent="0.35">
      <c r="A726" s="4">
        <v>46163</v>
      </c>
      <c r="B726" t="s">
        <v>28</v>
      </c>
      <c r="C726" t="s">
        <v>29</v>
      </c>
      <c r="D726" t="s">
        <v>22</v>
      </c>
      <c r="E726" t="s">
        <v>23</v>
      </c>
      <c r="F726">
        <v>681</v>
      </c>
      <c r="G726">
        <v>37</v>
      </c>
      <c r="H726">
        <v>15</v>
      </c>
      <c r="I726">
        <f t="shared" si="68"/>
        <v>703</v>
      </c>
      <c r="J726">
        <v>25</v>
      </c>
      <c r="K726">
        <v>3</v>
      </c>
      <c r="L726" t="str">
        <f t="shared" si="69"/>
        <v>Correct</v>
      </c>
      <c r="M726">
        <f t="shared" si="70"/>
        <v>60</v>
      </c>
      <c r="N726">
        <f t="shared" si="66"/>
        <v>11.678571428571429</v>
      </c>
      <c r="O726">
        <f t="shared" si="71"/>
        <v>60.195718654434252</v>
      </c>
      <c r="P726" t="str">
        <f t="shared" si="67"/>
        <v>Overstock</v>
      </c>
    </row>
    <row r="727" spans="1:16" hidden="1" x14ac:dyDescent="0.35">
      <c r="A727" s="4">
        <v>46163</v>
      </c>
      <c r="B727" t="s">
        <v>31</v>
      </c>
      <c r="C727" t="s">
        <v>32</v>
      </c>
      <c r="D727" t="s">
        <v>14</v>
      </c>
      <c r="E727" t="s">
        <v>15</v>
      </c>
      <c r="F727">
        <v>356</v>
      </c>
      <c r="G727">
        <v>6</v>
      </c>
      <c r="H727">
        <v>35</v>
      </c>
      <c r="I727">
        <f t="shared" si="68"/>
        <v>327</v>
      </c>
      <c r="J727">
        <v>35</v>
      </c>
      <c r="K727">
        <v>4</v>
      </c>
      <c r="L727" t="str">
        <f t="shared" si="69"/>
        <v>Correct</v>
      </c>
      <c r="M727">
        <f t="shared" si="70"/>
        <v>100</v>
      </c>
      <c r="N727">
        <f t="shared" si="66"/>
        <v>20.84375</v>
      </c>
      <c r="O727">
        <f t="shared" si="71"/>
        <v>15.68815592203898</v>
      </c>
      <c r="P727" t="str">
        <f t="shared" si="67"/>
        <v>Healthy</v>
      </c>
    </row>
    <row r="728" spans="1:16" hidden="1" x14ac:dyDescent="0.35">
      <c r="A728" s="4">
        <v>46163</v>
      </c>
      <c r="B728" t="s">
        <v>31</v>
      </c>
      <c r="C728" t="s">
        <v>32</v>
      </c>
      <c r="D728" t="s">
        <v>16</v>
      </c>
      <c r="E728" t="s">
        <v>17</v>
      </c>
      <c r="F728">
        <v>364</v>
      </c>
      <c r="G728">
        <v>52</v>
      </c>
      <c r="H728">
        <v>32</v>
      </c>
      <c r="I728">
        <f t="shared" si="68"/>
        <v>384</v>
      </c>
      <c r="J728">
        <v>37</v>
      </c>
      <c r="K728">
        <v>5</v>
      </c>
      <c r="L728" t="str">
        <f t="shared" si="69"/>
        <v>Correct</v>
      </c>
      <c r="M728">
        <f t="shared" si="70"/>
        <v>86.486486486486484</v>
      </c>
      <c r="N728">
        <f t="shared" si="66"/>
        <v>21.46875</v>
      </c>
      <c r="O728">
        <f t="shared" si="71"/>
        <v>17.886462882096069</v>
      </c>
      <c r="P728" t="str">
        <f t="shared" si="67"/>
        <v>Healthy</v>
      </c>
    </row>
    <row r="729" spans="1:16" x14ac:dyDescent="0.35">
      <c r="A729" s="4">
        <v>46163</v>
      </c>
      <c r="B729" t="s">
        <v>31</v>
      </c>
      <c r="C729" t="s">
        <v>32</v>
      </c>
      <c r="D729" t="s">
        <v>18</v>
      </c>
      <c r="E729" t="s">
        <v>19</v>
      </c>
      <c r="F729">
        <v>128</v>
      </c>
      <c r="G729">
        <v>52</v>
      </c>
      <c r="H729">
        <v>31</v>
      </c>
      <c r="I729">
        <f t="shared" si="68"/>
        <v>149</v>
      </c>
      <c r="J729">
        <v>32</v>
      </c>
      <c r="K729">
        <v>4</v>
      </c>
      <c r="L729" t="str">
        <f t="shared" si="69"/>
        <v>Correct</v>
      </c>
      <c r="M729">
        <f t="shared" si="70"/>
        <v>96.875</v>
      </c>
      <c r="N729">
        <f t="shared" si="66"/>
        <v>30.586206896551722</v>
      </c>
      <c r="O729">
        <f t="shared" si="71"/>
        <v>4.8714768883878241</v>
      </c>
      <c r="P729" t="str">
        <f t="shared" si="67"/>
        <v>Low Stock</v>
      </c>
    </row>
    <row r="730" spans="1:16" hidden="1" x14ac:dyDescent="0.35">
      <c r="A730" s="4">
        <v>46163</v>
      </c>
      <c r="B730" t="s">
        <v>31</v>
      </c>
      <c r="C730" t="s">
        <v>32</v>
      </c>
      <c r="D730" t="s">
        <v>20</v>
      </c>
      <c r="E730" t="s">
        <v>21</v>
      </c>
      <c r="F730">
        <v>93</v>
      </c>
      <c r="G730">
        <v>36</v>
      </c>
      <c r="H730">
        <v>39</v>
      </c>
      <c r="I730">
        <f t="shared" si="68"/>
        <v>90</v>
      </c>
      <c r="J730">
        <v>52</v>
      </c>
      <c r="K730">
        <v>2</v>
      </c>
      <c r="L730" t="str">
        <f t="shared" si="69"/>
        <v>Correct</v>
      </c>
      <c r="M730">
        <f t="shared" si="70"/>
        <v>75</v>
      </c>
      <c r="N730">
        <f t="shared" si="66"/>
        <v>32.299999999999997</v>
      </c>
      <c r="O730">
        <f t="shared" si="71"/>
        <v>2.7863777089783284</v>
      </c>
      <c r="P730" t="str">
        <f t="shared" si="67"/>
        <v>Low Stock</v>
      </c>
    </row>
    <row r="731" spans="1:16" hidden="1" x14ac:dyDescent="0.35">
      <c r="A731" s="4">
        <v>46163</v>
      </c>
      <c r="B731" t="s">
        <v>31</v>
      </c>
      <c r="C731" t="s">
        <v>32</v>
      </c>
      <c r="D731" t="s">
        <v>22</v>
      </c>
      <c r="E731" t="s">
        <v>23</v>
      </c>
      <c r="F731">
        <v>709</v>
      </c>
      <c r="G731">
        <v>58</v>
      </c>
      <c r="H731">
        <v>18</v>
      </c>
      <c r="I731">
        <f t="shared" si="68"/>
        <v>749</v>
      </c>
      <c r="J731">
        <v>23</v>
      </c>
      <c r="K731">
        <v>3</v>
      </c>
      <c r="L731" t="str">
        <f t="shared" si="69"/>
        <v>Correct</v>
      </c>
      <c r="M731">
        <f t="shared" si="70"/>
        <v>78.260869565217391</v>
      </c>
      <c r="N731">
        <f t="shared" si="66"/>
        <v>10.413793103448276</v>
      </c>
      <c r="O731">
        <f t="shared" si="71"/>
        <v>71.923841059602651</v>
      </c>
      <c r="P731" t="str">
        <f t="shared" si="67"/>
        <v>Overstock</v>
      </c>
    </row>
    <row r="732" spans="1:16" hidden="1" x14ac:dyDescent="0.35">
      <c r="A732" s="4">
        <v>46163</v>
      </c>
      <c r="B732" t="s">
        <v>33</v>
      </c>
      <c r="C732" t="s">
        <v>34</v>
      </c>
      <c r="D732" t="s">
        <v>14</v>
      </c>
      <c r="E732" t="s">
        <v>15</v>
      </c>
      <c r="F732">
        <v>223</v>
      </c>
      <c r="G732">
        <v>37</v>
      </c>
      <c r="H732">
        <v>11</v>
      </c>
      <c r="I732">
        <f t="shared" si="68"/>
        <v>249</v>
      </c>
      <c r="J732">
        <v>22</v>
      </c>
      <c r="K732">
        <v>5</v>
      </c>
      <c r="L732" t="str">
        <f t="shared" si="69"/>
        <v>Correct</v>
      </c>
      <c r="M732">
        <f t="shared" si="70"/>
        <v>50</v>
      </c>
      <c r="N732">
        <f t="shared" si="66"/>
        <v>20.70967741935484</v>
      </c>
      <c r="O732">
        <f t="shared" si="71"/>
        <v>12.023364485981308</v>
      </c>
      <c r="P732" t="str">
        <f t="shared" si="67"/>
        <v>Low Stock</v>
      </c>
    </row>
    <row r="733" spans="1:16" hidden="1" x14ac:dyDescent="0.35">
      <c r="A733" s="4">
        <v>46163</v>
      </c>
      <c r="B733" t="s">
        <v>33</v>
      </c>
      <c r="C733" t="s">
        <v>34</v>
      </c>
      <c r="D733" t="s">
        <v>16</v>
      </c>
      <c r="E733" t="s">
        <v>17</v>
      </c>
      <c r="F733">
        <v>219</v>
      </c>
      <c r="G733">
        <v>14</v>
      </c>
      <c r="H733">
        <v>18</v>
      </c>
      <c r="I733">
        <f t="shared" si="68"/>
        <v>215</v>
      </c>
      <c r="J733">
        <v>25</v>
      </c>
      <c r="K733">
        <v>2</v>
      </c>
      <c r="L733" t="str">
        <f t="shared" si="69"/>
        <v>Correct</v>
      </c>
      <c r="M733">
        <f t="shared" si="70"/>
        <v>72</v>
      </c>
      <c r="N733">
        <f t="shared" si="66"/>
        <v>22.142857142857142</v>
      </c>
      <c r="O733">
        <f t="shared" si="71"/>
        <v>9.7096774193548381</v>
      </c>
      <c r="P733" t="str">
        <f t="shared" si="67"/>
        <v>Low Stock</v>
      </c>
    </row>
    <row r="734" spans="1:16" x14ac:dyDescent="0.35">
      <c r="A734" s="4">
        <v>46163</v>
      </c>
      <c r="B734" t="s">
        <v>33</v>
      </c>
      <c r="C734" t="s">
        <v>34</v>
      </c>
      <c r="D734" t="s">
        <v>18</v>
      </c>
      <c r="E734" t="s">
        <v>19</v>
      </c>
      <c r="F734">
        <v>116</v>
      </c>
      <c r="G734">
        <v>20</v>
      </c>
      <c r="H734">
        <v>24</v>
      </c>
      <c r="I734">
        <f t="shared" si="68"/>
        <v>112</v>
      </c>
      <c r="J734">
        <v>33</v>
      </c>
      <c r="K734">
        <v>2</v>
      </c>
      <c r="L734" t="str">
        <f t="shared" si="69"/>
        <v>Correct</v>
      </c>
      <c r="M734">
        <f t="shared" si="70"/>
        <v>72.727272727272734</v>
      </c>
      <c r="N734">
        <f t="shared" si="66"/>
        <v>30.275862068965516</v>
      </c>
      <c r="O734">
        <f t="shared" si="71"/>
        <v>3.6993166287015948</v>
      </c>
      <c r="P734" t="str">
        <f t="shared" si="67"/>
        <v>Low Stock</v>
      </c>
    </row>
    <row r="735" spans="1:16" hidden="1" x14ac:dyDescent="0.35">
      <c r="A735" s="4">
        <v>46163</v>
      </c>
      <c r="B735" t="s">
        <v>33</v>
      </c>
      <c r="C735" t="s">
        <v>34</v>
      </c>
      <c r="D735" t="s">
        <v>20</v>
      </c>
      <c r="E735" t="s">
        <v>21</v>
      </c>
      <c r="F735">
        <v>341</v>
      </c>
      <c r="G735">
        <v>5</v>
      </c>
      <c r="H735">
        <v>48</v>
      </c>
      <c r="I735">
        <f t="shared" si="68"/>
        <v>298</v>
      </c>
      <c r="J735">
        <v>57</v>
      </c>
      <c r="K735">
        <v>1</v>
      </c>
      <c r="L735" t="str">
        <f t="shared" si="69"/>
        <v>Correct</v>
      </c>
      <c r="M735">
        <f t="shared" si="70"/>
        <v>84.210526315789465</v>
      </c>
      <c r="N735">
        <f t="shared" si="66"/>
        <v>30.931034482758619</v>
      </c>
      <c r="O735">
        <f t="shared" si="71"/>
        <v>9.6343366778149395</v>
      </c>
      <c r="P735" t="str">
        <f t="shared" si="67"/>
        <v>Low Stock</v>
      </c>
    </row>
    <row r="736" spans="1:16" hidden="1" x14ac:dyDescent="0.35">
      <c r="A736" s="4">
        <v>46163</v>
      </c>
      <c r="B736" t="s">
        <v>33</v>
      </c>
      <c r="C736" t="s">
        <v>34</v>
      </c>
      <c r="D736" t="s">
        <v>22</v>
      </c>
      <c r="E736" t="s">
        <v>23</v>
      </c>
      <c r="F736">
        <v>474</v>
      </c>
      <c r="G736">
        <v>44</v>
      </c>
      <c r="H736">
        <v>17</v>
      </c>
      <c r="I736">
        <f t="shared" si="68"/>
        <v>501</v>
      </c>
      <c r="J736">
        <v>20</v>
      </c>
      <c r="K736">
        <v>1</v>
      </c>
      <c r="L736" t="str">
        <f t="shared" si="69"/>
        <v>Correct</v>
      </c>
      <c r="M736">
        <f t="shared" si="70"/>
        <v>85</v>
      </c>
      <c r="N736">
        <f t="shared" si="66"/>
        <v>10.25</v>
      </c>
      <c r="O736">
        <f t="shared" si="71"/>
        <v>48.878048780487802</v>
      </c>
      <c r="P736" t="str">
        <f t="shared" si="67"/>
        <v>Overstock</v>
      </c>
    </row>
    <row r="737" spans="1:16" hidden="1" x14ac:dyDescent="0.35">
      <c r="A737" s="4">
        <v>46164</v>
      </c>
      <c r="B737" t="s">
        <v>12</v>
      </c>
      <c r="C737" t="s">
        <v>13</v>
      </c>
      <c r="D737" t="s">
        <v>14</v>
      </c>
      <c r="E737" t="s">
        <v>15</v>
      </c>
      <c r="F737">
        <v>524</v>
      </c>
      <c r="G737">
        <v>30</v>
      </c>
      <c r="H737">
        <v>18</v>
      </c>
      <c r="I737">
        <f t="shared" si="68"/>
        <v>536</v>
      </c>
      <c r="J737">
        <v>22</v>
      </c>
      <c r="K737">
        <v>5</v>
      </c>
      <c r="L737" t="str">
        <f t="shared" si="69"/>
        <v>Correct</v>
      </c>
      <c r="M737">
        <f t="shared" si="70"/>
        <v>81.818181818181827</v>
      </c>
      <c r="N737">
        <f t="shared" si="66"/>
        <v>21.666666666666668</v>
      </c>
      <c r="O737">
        <f t="shared" si="71"/>
        <v>24.738461538461536</v>
      </c>
      <c r="P737" t="str">
        <f t="shared" si="67"/>
        <v>Healthy</v>
      </c>
    </row>
    <row r="738" spans="1:16" hidden="1" x14ac:dyDescent="0.35">
      <c r="A738" s="4">
        <v>46164</v>
      </c>
      <c r="B738" t="s">
        <v>12</v>
      </c>
      <c r="C738" t="s">
        <v>13</v>
      </c>
      <c r="D738" t="s">
        <v>16</v>
      </c>
      <c r="E738" t="s">
        <v>17</v>
      </c>
      <c r="F738">
        <v>341</v>
      </c>
      <c r="G738">
        <v>8</v>
      </c>
      <c r="H738">
        <v>10</v>
      </c>
      <c r="I738">
        <f t="shared" si="68"/>
        <v>339</v>
      </c>
      <c r="J738">
        <v>23</v>
      </c>
      <c r="K738">
        <v>2</v>
      </c>
      <c r="L738" t="str">
        <f t="shared" si="69"/>
        <v>Correct</v>
      </c>
      <c r="M738">
        <f t="shared" si="70"/>
        <v>43.478260869565219</v>
      </c>
      <c r="N738">
        <f t="shared" si="66"/>
        <v>20.030303030303031</v>
      </c>
      <c r="O738">
        <f t="shared" si="71"/>
        <v>16.924357034795765</v>
      </c>
      <c r="P738" t="str">
        <f t="shared" si="67"/>
        <v>Healthy</v>
      </c>
    </row>
    <row r="739" spans="1:16" x14ac:dyDescent="0.35">
      <c r="A739" s="4">
        <v>46164</v>
      </c>
      <c r="B739" t="s">
        <v>12</v>
      </c>
      <c r="C739" t="s">
        <v>13</v>
      </c>
      <c r="D739" t="s">
        <v>18</v>
      </c>
      <c r="E739" t="s">
        <v>19</v>
      </c>
      <c r="F739">
        <v>152</v>
      </c>
      <c r="G739">
        <v>25</v>
      </c>
      <c r="H739">
        <v>18</v>
      </c>
      <c r="I739">
        <f t="shared" si="68"/>
        <v>159</v>
      </c>
      <c r="J739">
        <v>19</v>
      </c>
      <c r="K739">
        <v>1</v>
      </c>
      <c r="L739" t="str">
        <f t="shared" si="69"/>
        <v>Correct</v>
      </c>
      <c r="M739">
        <f t="shared" si="70"/>
        <v>94.73684210526315</v>
      </c>
      <c r="N739">
        <f t="shared" si="66"/>
        <v>33.34375</v>
      </c>
      <c r="O739">
        <f t="shared" si="71"/>
        <v>4.7685098406747892</v>
      </c>
      <c r="P739" t="str">
        <f t="shared" si="67"/>
        <v>Low Stock</v>
      </c>
    </row>
    <row r="740" spans="1:16" hidden="1" x14ac:dyDescent="0.35">
      <c r="A740" s="4">
        <v>46164</v>
      </c>
      <c r="B740" t="s">
        <v>12</v>
      </c>
      <c r="C740" t="s">
        <v>13</v>
      </c>
      <c r="D740" t="s">
        <v>20</v>
      </c>
      <c r="E740" t="s">
        <v>21</v>
      </c>
      <c r="F740">
        <v>41</v>
      </c>
      <c r="G740">
        <v>12</v>
      </c>
      <c r="H740">
        <v>47</v>
      </c>
      <c r="I740">
        <f t="shared" si="68"/>
        <v>6</v>
      </c>
      <c r="J740">
        <v>52</v>
      </c>
      <c r="K740">
        <v>4</v>
      </c>
      <c r="L740" t="str">
        <f t="shared" si="69"/>
        <v>Correct</v>
      </c>
      <c r="M740">
        <f t="shared" si="70"/>
        <v>90.384615384615387</v>
      </c>
      <c r="N740">
        <f t="shared" si="66"/>
        <v>34.515151515151516</v>
      </c>
      <c r="O740">
        <f t="shared" si="71"/>
        <v>0.17383669885864794</v>
      </c>
      <c r="P740" t="str">
        <f t="shared" si="67"/>
        <v>Low Stock</v>
      </c>
    </row>
    <row r="741" spans="1:16" hidden="1" x14ac:dyDescent="0.35">
      <c r="A741" s="4">
        <v>46164</v>
      </c>
      <c r="B741" t="s">
        <v>12</v>
      </c>
      <c r="C741" t="s">
        <v>13</v>
      </c>
      <c r="D741" t="s">
        <v>22</v>
      </c>
      <c r="E741" t="s">
        <v>23</v>
      </c>
      <c r="F741">
        <v>449</v>
      </c>
      <c r="G741">
        <v>13</v>
      </c>
      <c r="H741">
        <v>15</v>
      </c>
      <c r="I741">
        <f t="shared" si="68"/>
        <v>447</v>
      </c>
      <c r="J741">
        <v>18</v>
      </c>
      <c r="K741">
        <v>1</v>
      </c>
      <c r="L741" t="str">
        <f t="shared" si="69"/>
        <v>Correct</v>
      </c>
      <c r="M741">
        <f t="shared" si="70"/>
        <v>83.333333333333343</v>
      </c>
      <c r="N741">
        <f t="shared" si="66"/>
        <v>9.9032258064516121</v>
      </c>
      <c r="O741">
        <f t="shared" si="71"/>
        <v>45.136807817589577</v>
      </c>
      <c r="P741" t="str">
        <f t="shared" si="67"/>
        <v>Overstock</v>
      </c>
    </row>
    <row r="742" spans="1:16" hidden="1" x14ac:dyDescent="0.35">
      <c r="A742" s="4">
        <v>46164</v>
      </c>
      <c r="B742" t="s">
        <v>12</v>
      </c>
      <c r="C742" t="s">
        <v>24</v>
      </c>
      <c r="D742" t="s">
        <v>14</v>
      </c>
      <c r="E742" t="s">
        <v>15</v>
      </c>
      <c r="F742">
        <v>300</v>
      </c>
      <c r="G742">
        <v>13</v>
      </c>
      <c r="H742">
        <v>20</v>
      </c>
      <c r="I742">
        <f t="shared" si="68"/>
        <v>293</v>
      </c>
      <c r="J742">
        <v>21</v>
      </c>
      <c r="K742">
        <v>3</v>
      </c>
      <c r="L742" t="str">
        <f t="shared" si="69"/>
        <v>Correct</v>
      </c>
      <c r="M742">
        <f t="shared" si="70"/>
        <v>95.238095238095227</v>
      </c>
      <c r="N742">
        <f t="shared" si="66"/>
        <v>21.35483870967742</v>
      </c>
      <c r="O742">
        <f t="shared" si="71"/>
        <v>13.720543806646525</v>
      </c>
      <c r="P742" t="str">
        <f t="shared" si="67"/>
        <v>Low Stock</v>
      </c>
    </row>
    <row r="743" spans="1:16" hidden="1" x14ac:dyDescent="0.35">
      <c r="A743" s="4">
        <v>46164</v>
      </c>
      <c r="B743" t="s">
        <v>12</v>
      </c>
      <c r="C743" t="s">
        <v>24</v>
      </c>
      <c r="D743" t="s">
        <v>16</v>
      </c>
      <c r="E743" t="s">
        <v>17</v>
      </c>
      <c r="F743">
        <v>189</v>
      </c>
      <c r="G743">
        <v>50</v>
      </c>
      <c r="H743">
        <v>20</v>
      </c>
      <c r="I743">
        <f t="shared" si="68"/>
        <v>219</v>
      </c>
      <c r="J743">
        <v>28</v>
      </c>
      <c r="K743">
        <v>5</v>
      </c>
      <c r="L743" t="str">
        <f t="shared" si="69"/>
        <v>Correct</v>
      </c>
      <c r="M743">
        <f t="shared" si="70"/>
        <v>71.428571428571431</v>
      </c>
      <c r="N743">
        <f t="shared" si="66"/>
        <v>21.9</v>
      </c>
      <c r="O743">
        <f t="shared" si="71"/>
        <v>10</v>
      </c>
      <c r="P743" t="str">
        <f t="shared" si="67"/>
        <v>Low Stock</v>
      </c>
    </row>
    <row r="744" spans="1:16" x14ac:dyDescent="0.35">
      <c r="A744" s="4">
        <v>46164</v>
      </c>
      <c r="B744" t="s">
        <v>12</v>
      </c>
      <c r="C744" t="s">
        <v>24</v>
      </c>
      <c r="D744" t="s">
        <v>18</v>
      </c>
      <c r="E744" t="s">
        <v>19</v>
      </c>
      <c r="F744">
        <v>177</v>
      </c>
      <c r="G744">
        <v>6</v>
      </c>
      <c r="H744">
        <v>16</v>
      </c>
      <c r="I744">
        <f t="shared" si="68"/>
        <v>167</v>
      </c>
      <c r="J744">
        <v>30</v>
      </c>
      <c r="K744">
        <v>2</v>
      </c>
      <c r="L744" t="str">
        <f t="shared" si="69"/>
        <v>Correct</v>
      </c>
      <c r="M744">
        <f t="shared" si="70"/>
        <v>53.333333333333336</v>
      </c>
      <c r="N744">
        <f t="shared" si="66"/>
        <v>31.586206896551722</v>
      </c>
      <c r="O744">
        <f t="shared" si="71"/>
        <v>5.287117903930131</v>
      </c>
      <c r="P744" t="str">
        <f t="shared" si="67"/>
        <v>Low Stock</v>
      </c>
    </row>
    <row r="745" spans="1:16" hidden="1" x14ac:dyDescent="0.35">
      <c r="A745" s="4">
        <v>46164</v>
      </c>
      <c r="B745" t="s">
        <v>12</v>
      </c>
      <c r="C745" t="s">
        <v>24</v>
      </c>
      <c r="D745" t="s">
        <v>20</v>
      </c>
      <c r="E745" t="s">
        <v>21</v>
      </c>
      <c r="F745">
        <v>19</v>
      </c>
      <c r="G745">
        <v>49</v>
      </c>
      <c r="H745">
        <v>39</v>
      </c>
      <c r="I745">
        <f t="shared" si="68"/>
        <v>29</v>
      </c>
      <c r="J745">
        <v>47</v>
      </c>
      <c r="K745">
        <v>4</v>
      </c>
      <c r="L745" t="str">
        <f t="shared" si="69"/>
        <v>Correct</v>
      </c>
      <c r="M745">
        <f t="shared" si="70"/>
        <v>82.978723404255319</v>
      </c>
      <c r="N745">
        <f t="shared" si="66"/>
        <v>34.200000000000003</v>
      </c>
      <c r="O745">
        <f t="shared" si="71"/>
        <v>0.8479532163742689</v>
      </c>
      <c r="P745" t="str">
        <f t="shared" si="67"/>
        <v>Low Stock</v>
      </c>
    </row>
    <row r="746" spans="1:16" hidden="1" x14ac:dyDescent="0.35">
      <c r="A746" s="4">
        <v>46164</v>
      </c>
      <c r="B746" t="s">
        <v>12</v>
      </c>
      <c r="C746" t="s">
        <v>24</v>
      </c>
      <c r="D746" t="s">
        <v>22</v>
      </c>
      <c r="E746" t="s">
        <v>23</v>
      </c>
      <c r="F746">
        <v>447</v>
      </c>
      <c r="G746">
        <v>32</v>
      </c>
      <c r="H746">
        <v>4</v>
      </c>
      <c r="I746">
        <f t="shared" si="68"/>
        <v>475</v>
      </c>
      <c r="J746">
        <v>7</v>
      </c>
      <c r="K746">
        <v>3</v>
      </c>
      <c r="L746" t="str">
        <f t="shared" si="69"/>
        <v>Correct</v>
      </c>
      <c r="M746">
        <f t="shared" si="70"/>
        <v>57.142857142857139</v>
      </c>
      <c r="N746">
        <f t="shared" si="66"/>
        <v>10.96551724137931</v>
      </c>
      <c r="O746">
        <f t="shared" si="71"/>
        <v>43.317610062893081</v>
      </c>
      <c r="P746" t="str">
        <f t="shared" si="67"/>
        <v>Overstock</v>
      </c>
    </row>
    <row r="747" spans="1:16" hidden="1" x14ac:dyDescent="0.35">
      <c r="A747" s="4">
        <v>46164</v>
      </c>
      <c r="B747" t="s">
        <v>12</v>
      </c>
      <c r="C747" t="s">
        <v>25</v>
      </c>
      <c r="D747" t="s">
        <v>14</v>
      </c>
      <c r="E747" t="s">
        <v>15</v>
      </c>
      <c r="F747">
        <v>236</v>
      </c>
      <c r="G747">
        <v>56</v>
      </c>
      <c r="H747">
        <v>24</v>
      </c>
      <c r="I747">
        <f t="shared" si="68"/>
        <v>268</v>
      </c>
      <c r="J747">
        <v>28</v>
      </c>
      <c r="K747">
        <v>4</v>
      </c>
      <c r="L747" t="str">
        <f t="shared" si="69"/>
        <v>Correct</v>
      </c>
      <c r="M747">
        <f t="shared" si="70"/>
        <v>85.714285714285708</v>
      </c>
      <c r="N747">
        <f t="shared" si="66"/>
        <v>20.7</v>
      </c>
      <c r="O747">
        <f t="shared" si="71"/>
        <v>12.946859903381643</v>
      </c>
      <c r="P747" t="str">
        <f t="shared" si="67"/>
        <v>Low Stock</v>
      </c>
    </row>
    <row r="748" spans="1:16" hidden="1" x14ac:dyDescent="0.35">
      <c r="A748" s="4">
        <v>46164</v>
      </c>
      <c r="B748" t="s">
        <v>12</v>
      </c>
      <c r="C748" t="s">
        <v>25</v>
      </c>
      <c r="D748" t="s">
        <v>16</v>
      </c>
      <c r="E748" t="s">
        <v>17</v>
      </c>
      <c r="F748">
        <v>298</v>
      </c>
      <c r="G748">
        <v>1</v>
      </c>
      <c r="H748">
        <v>28</v>
      </c>
      <c r="I748">
        <f t="shared" si="68"/>
        <v>271</v>
      </c>
      <c r="J748">
        <v>35</v>
      </c>
      <c r="K748">
        <v>4</v>
      </c>
      <c r="L748" t="str">
        <f t="shared" si="69"/>
        <v>Correct</v>
      </c>
      <c r="M748">
        <f t="shared" si="70"/>
        <v>80</v>
      </c>
      <c r="N748">
        <f t="shared" si="66"/>
        <v>23.758620689655171</v>
      </c>
      <c r="O748">
        <f t="shared" si="71"/>
        <v>11.406386066763426</v>
      </c>
      <c r="P748" t="str">
        <f t="shared" si="67"/>
        <v>Low Stock</v>
      </c>
    </row>
    <row r="749" spans="1:16" x14ac:dyDescent="0.35">
      <c r="A749" s="4">
        <v>46164</v>
      </c>
      <c r="B749" t="s">
        <v>12</v>
      </c>
      <c r="C749" t="s">
        <v>25</v>
      </c>
      <c r="D749" t="s">
        <v>18</v>
      </c>
      <c r="E749" t="s">
        <v>19</v>
      </c>
      <c r="F749">
        <v>72</v>
      </c>
      <c r="G749">
        <v>38</v>
      </c>
      <c r="H749">
        <v>21</v>
      </c>
      <c r="I749">
        <f t="shared" si="68"/>
        <v>89</v>
      </c>
      <c r="J749">
        <v>26</v>
      </c>
      <c r="K749">
        <v>4</v>
      </c>
      <c r="L749" t="str">
        <f t="shared" si="69"/>
        <v>Correct</v>
      </c>
      <c r="M749">
        <f t="shared" si="70"/>
        <v>80.769230769230774</v>
      </c>
      <c r="N749">
        <f t="shared" si="66"/>
        <v>31.142857142857142</v>
      </c>
      <c r="O749">
        <f t="shared" si="71"/>
        <v>2.8577981651376145</v>
      </c>
      <c r="P749" t="str">
        <f t="shared" si="67"/>
        <v>Low Stock</v>
      </c>
    </row>
    <row r="750" spans="1:16" hidden="1" x14ac:dyDescent="0.35">
      <c r="A750" s="4">
        <v>46164</v>
      </c>
      <c r="B750" t="s">
        <v>12</v>
      </c>
      <c r="C750" t="s">
        <v>25</v>
      </c>
      <c r="D750" t="s">
        <v>20</v>
      </c>
      <c r="E750" t="s">
        <v>21</v>
      </c>
      <c r="F750">
        <v>176</v>
      </c>
      <c r="G750">
        <v>16</v>
      </c>
      <c r="H750">
        <v>37</v>
      </c>
      <c r="I750">
        <f t="shared" si="68"/>
        <v>155</v>
      </c>
      <c r="J750">
        <v>45</v>
      </c>
      <c r="K750">
        <v>1</v>
      </c>
      <c r="L750" t="str">
        <f t="shared" si="69"/>
        <v>Correct</v>
      </c>
      <c r="M750">
        <f t="shared" si="70"/>
        <v>82.222222222222214</v>
      </c>
      <c r="N750">
        <f t="shared" si="66"/>
        <v>31.137931034482758</v>
      </c>
      <c r="O750">
        <f t="shared" si="71"/>
        <v>4.9778516057585822</v>
      </c>
      <c r="P750" t="str">
        <f t="shared" si="67"/>
        <v>Low Stock</v>
      </c>
    </row>
    <row r="751" spans="1:16" hidden="1" x14ac:dyDescent="0.35">
      <c r="A751" s="4">
        <v>46164</v>
      </c>
      <c r="B751" t="s">
        <v>12</v>
      </c>
      <c r="C751" t="s">
        <v>25</v>
      </c>
      <c r="D751" t="s">
        <v>22</v>
      </c>
      <c r="E751" t="s">
        <v>23</v>
      </c>
      <c r="F751">
        <v>623</v>
      </c>
      <c r="G751">
        <v>13</v>
      </c>
      <c r="H751">
        <v>17</v>
      </c>
      <c r="I751">
        <f t="shared" si="68"/>
        <v>619</v>
      </c>
      <c r="J751">
        <v>27</v>
      </c>
      <c r="K751">
        <v>3</v>
      </c>
      <c r="L751" t="str">
        <f t="shared" si="69"/>
        <v>Correct</v>
      </c>
      <c r="M751">
        <f t="shared" si="70"/>
        <v>62.962962962962962</v>
      </c>
      <c r="N751">
        <f t="shared" si="66"/>
        <v>11.3</v>
      </c>
      <c r="O751">
        <f t="shared" si="71"/>
        <v>54.778761061946902</v>
      </c>
      <c r="P751" t="str">
        <f t="shared" si="67"/>
        <v>Overstock</v>
      </c>
    </row>
    <row r="752" spans="1:16" hidden="1" x14ac:dyDescent="0.35">
      <c r="A752" s="4">
        <v>46164</v>
      </c>
      <c r="B752" t="s">
        <v>26</v>
      </c>
      <c r="C752" t="s">
        <v>27</v>
      </c>
      <c r="D752" t="s">
        <v>14</v>
      </c>
      <c r="E752" t="s">
        <v>15</v>
      </c>
      <c r="F752">
        <v>571</v>
      </c>
      <c r="G752">
        <v>14</v>
      </c>
      <c r="H752">
        <v>28</v>
      </c>
      <c r="I752">
        <f t="shared" si="68"/>
        <v>557</v>
      </c>
      <c r="J752">
        <v>30</v>
      </c>
      <c r="K752">
        <v>1</v>
      </c>
      <c r="L752" t="str">
        <f t="shared" si="69"/>
        <v>Correct</v>
      </c>
      <c r="M752">
        <f t="shared" si="70"/>
        <v>93.333333333333329</v>
      </c>
      <c r="N752">
        <f t="shared" si="66"/>
        <v>22.258064516129032</v>
      </c>
      <c r="O752">
        <f t="shared" si="71"/>
        <v>25.024637681159419</v>
      </c>
      <c r="P752" t="str">
        <f t="shared" si="67"/>
        <v>Healthy</v>
      </c>
    </row>
    <row r="753" spans="1:16" hidden="1" x14ac:dyDescent="0.35">
      <c r="A753" s="4">
        <v>46164</v>
      </c>
      <c r="B753" t="s">
        <v>26</v>
      </c>
      <c r="C753" t="s">
        <v>27</v>
      </c>
      <c r="D753" t="s">
        <v>16</v>
      </c>
      <c r="E753" t="s">
        <v>17</v>
      </c>
      <c r="F753">
        <v>363</v>
      </c>
      <c r="G753">
        <v>30</v>
      </c>
      <c r="H753">
        <v>14</v>
      </c>
      <c r="I753">
        <f t="shared" si="68"/>
        <v>379</v>
      </c>
      <c r="J753">
        <v>14</v>
      </c>
      <c r="K753">
        <v>1</v>
      </c>
      <c r="L753" t="str">
        <f t="shared" si="69"/>
        <v>Correct</v>
      </c>
      <c r="M753">
        <f t="shared" si="70"/>
        <v>100</v>
      </c>
      <c r="N753">
        <f t="shared" si="66"/>
        <v>20.172413793103448</v>
      </c>
      <c r="O753">
        <f t="shared" si="71"/>
        <v>18.788034188034189</v>
      </c>
      <c r="P753" t="str">
        <f t="shared" si="67"/>
        <v>Healthy</v>
      </c>
    </row>
    <row r="754" spans="1:16" x14ac:dyDescent="0.35">
      <c r="A754" s="4">
        <v>46164</v>
      </c>
      <c r="B754" t="s">
        <v>26</v>
      </c>
      <c r="C754" t="s">
        <v>27</v>
      </c>
      <c r="D754" t="s">
        <v>18</v>
      </c>
      <c r="E754" t="s">
        <v>19</v>
      </c>
      <c r="F754">
        <v>108</v>
      </c>
      <c r="G754">
        <v>6</v>
      </c>
      <c r="H754">
        <v>50</v>
      </c>
      <c r="I754">
        <f t="shared" si="68"/>
        <v>64</v>
      </c>
      <c r="J754">
        <v>54</v>
      </c>
      <c r="K754">
        <v>2</v>
      </c>
      <c r="L754" t="str">
        <f t="shared" si="69"/>
        <v>Correct</v>
      </c>
      <c r="M754">
        <f t="shared" si="70"/>
        <v>92.592592592592595</v>
      </c>
      <c r="N754">
        <f t="shared" si="66"/>
        <v>29.733333333333334</v>
      </c>
      <c r="O754">
        <f t="shared" si="71"/>
        <v>2.1524663677130045</v>
      </c>
      <c r="P754" t="str">
        <f t="shared" si="67"/>
        <v>Low Stock</v>
      </c>
    </row>
    <row r="755" spans="1:16" hidden="1" x14ac:dyDescent="0.35">
      <c r="A755" s="4">
        <v>46164</v>
      </c>
      <c r="B755" t="s">
        <v>26</v>
      </c>
      <c r="C755" t="s">
        <v>27</v>
      </c>
      <c r="D755" t="s">
        <v>20</v>
      </c>
      <c r="E755" t="s">
        <v>21</v>
      </c>
      <c r="F755">
        <v>291</v>
      </c>
      <c r="G755">
        <v>22</v>
      </c>
      <c r="H755">
        <v>31</v>
      </c>
      <c r="I755">
        <f t="shared" si="68"/>
        <v>282</v>
      </c>
      <c r="J755">
        <v>36</v>
      </c>
      <c r="K755">
        <v>4</v>
      </c>
      <c r="L755" t="str">
        <f t="shared" si="69"/>
        <v>Correct</v>
      </c>
      <c r="M755">
        <f t="shared" si="70"/>
        <v>86.111111111111114</v>
      </c>
      <c r="N755">
        <f t="shared" si="66"/>
        <v>30.724137931034484</v>
      </c>
      <c r="O755">
        <f t="shared" si="71"/>
        <v>9.1784511784511782</v>
      </c>
      <c r="P755" t="str">
        <f t="shared" si="67"/>
        <v>Low Stock</v>
      </c>
    </row>
    <row r="756" spans="1:16" hidden="1" x14ac:dyDescent="0.35">
      <c r="A756" s="4">
        <v>46164</v>
      </c>
      <c r="B756" t="s">
        <v>26</v>
      </c>
      <c r="C756" t="s">
        <v>27</v>
      </c>
      <c r="D756" t="s">
        <v>22</v>
      </c>
      <c r="E756" t="s">
        <v>23</v>
      </c>
      <c r="F756">
        <v>353</v>
      </c>
      <c r="G756">
        <v>16</v>
      </c>
      <c r="H756">
        <v>12</v>
      </c>
      <c r="I756">
        <f t="shared" si="68"/>
        <v>357</v>
      </c>
      <c r="J756">
        <v>26</v>
      </c>
      <c r="K756">
        <v>2</v>
      </c>
      <c r="L756" t="str">
        <f t="shared" si="69"/>
        <v>Correct</v>
      </c>
      <c r="M756">
        <f t="shared" si="70"/>
        <v>46.153846153846153</v>
      </c>
      <c r="N756">
        <f t="shared" si="66"/>
        <v>11.566666666666666</v>
      </c>
      <c r="O756">
        <f t="shared" si="71"/>
        <v>30.864553314121039</v>
      </c>
      <c r="P756" t="str">
        <f t="shared" si="67"/>
        <v>Overstock</v>
      </c>
    </row>
    <row r="757" spans="1:16" hidden="1" x14ac:dyDescent="0.35">
      <c r="A757" s="4">
        <v>46164</v>
      </c>
      <c r="B757" t="s">
        <v>28</v>
      </c>
      <c r="C757" t="s">
        <v>29</v>
      </c>
      <c r="D757" t="s">
        <v>14</v>
      </c>
      <c r="E757" t="s">
        <v>15</v>
      </c>
      <c r="F757">
        <v>378</v>
      </c>
      <c r="G757">
        <v>7</v>
      </c>
      <c r="H757">
        <v>29</v>
      </c>
      <c r="I757">
        <f t="shared" si="68"/>
        <v>356</v>
      </c>
      <c r="J757">
        <v>42</v>
      </c>
      <c r="K757">
        <v>4</v>
      </c>
      <c r="L757" t="str">
        <f t="shared" si="69"/>
        <v>Correct</v>
      </c>
      <c r="M757">
        <f t="shared" si="70"/>
        <v>69.047619047619051</v>
      </c>
      <c r="N757">
        <f t="shared" si="66"/>
        <v>22.25</v>
      </c>
      <c r="O757">
        <f t="shared" si="71"/>
        <v>16</v>
      </c>
      <c r="P757" t="str">
        <f t="shared" si="67"/>
        <v>Healthy</v>
      </c>
    </row>
    <row r="758" spans="1:16" hidden="1" x14ac:dyDescent="0.35">
      <c r="A758" s="4">
        <v>46164</v>
      </c>
      <c r="B758" t="s">
        <v>28</v>
      </c>
      <c r="C758" t="s">
        <v>29</v>
      </c>
      <c r="D758" t="s">
        <v>16</v>
      </c>
      <c r="E758" t="s">
        <v>17</v>
      </c>
      <c r="F758">
        <v>402</v>
      </c>
      <c r="G758">
        <v>51</v>
      </c>
      <c r="H758">
        <v>34</v>
      </c>
      <c r="I758">
        <f t="shared" si="68"/>
        <v>419</v>
      </c>
      <c r="J758">
        <v>39</v>
      </c>
      <c r="K758">
        <v>1</v>
      </c>
      <c r="L758" t="str">
        <f t="shared" si="69"/>
        <v>Correct</v>
      </c>
      <c r="M758">
        <f t="shared" si="70"/>
        <v>87.179487179487182</v>
      </c>
      <c r="N758">
        <f t="shared" si="66"/>
        <v>19.96551724137931</v>
      </c>
      <c r="O758">
        <f t="shared" si="71"/>
        <v>20.986183074265977</v>
      </c>
      <c r="P758" t="str">
        <f t="shared" si="67"/>
        <v>Healthy</v>
      </c>
    </row>
    <row r="759" spans="1:16" x14ac:dyDescent="0.35">
      <c r="A759" s="4">
        <v>46164</v>
      </c>
      <c r="B759" t="s">
        <v>28</v>
      </c>
      <c r="C759" t="s">
        <v>29</v>
      </c>
      <c r="D759" t="s">
        <v>18</v>
      </c>
      <c r="E759" t="s">
        <v>19</v>
      </c>
      <c r="F759">
        <v>101</v>
      </c>
      <c r="G759">
        <v>13</v>
      </c>
      <c r="H759">
        <v>17</v>
      </c>
      <c r="I759">
        <f t="shared" si="68"/>
        <v>97</v>
      </c>
      <c r="J759">
        <v>17</v>
      </c>
      <c r="K759">
        <v>4</v>
      </c>
      <c r="L759" t="str">
        <f t="shared" si="69"/>
        <v>Correct</v>
      </c>
      <c r="M759">
        <f t="shared" si="70"/>
        <v>100</v>
      </c>
      <c r="N759">
        <f t="shared" si="66"/>
        <v>31.206896551724139</v>
      </c>
      <c r="O759">
        <f t="shared" si="71"/>
        <v>3.1082872928176797</v>
      </c>
      <c r="P759" t="str">
        <f t="shared" si="67"/>
        <v>Low Stock</v>
      </c>
    </row>
    <row r="760" spans="1:16" hidden="1" x14ac:dyDescent="0.35">
      <c r="A760" s="4">
        <v>46164</v>
      </c>
      <c r="B760" t="s">
        <v>28</v>
      </c>
      <c r="C760" t="s">
        <v>29</v>
      </c>
      <c r="D760" t="s">
        <v>20</v>
      </c>
      <c r="E760" t="s">
        <v>21</v>
      </c>
      <c r="F760">
        <v>37</v>
      </c>
      <c r="G760">
        <v>11</v>
      </c>
      <c r="H760">
        <v>43</v>
      </c>
      <c r="I760">
        <f t="shared" si="68"/>
        <v>5</v>
      </c>
      <c r="J760">
        <v>56</v>
      </c>
      <c r="K760">
        <v>4</v>
      </c>
      <c r="L760" t="str">
        <f t="shared" si="69"/>
        <v>Correct</v>
      </c>
      <c r="M760">
        <f t="shared" si="70"/>
        <v>76.785714285714292</v>
      </c>
      <c r="N760">
        <f t="shared" si="66"/>
        <v>32.620689655172413</v>
      </c>
      <c r="O760">
        <f t="shared" si="71"/>
        <v>0.15327695560253701</v>
      </c>
      <c r="P760" t="str">
        <f t="shared" si="67"/>
        <v>Low Stock</v>
      </c>
    </row>
    <row r="761" spans="1:16" hidden="1" x14ac:dyDescent="0.35">
      <c r="A761" s="4">
        <v>46164</v>
      </c>
      <c r="B761" t="s">
        <v>28</v>
      </c>
      <c r="C761" t="s">
        <v>29</v>
      </c>
      <c r="D761" t="s">
        <v>22</v>
      </c>
      <c r="E761" t="s">
        <v>23</v>
      </c>
      <c r="F761">
        <v>703</v>
      </c>
      <c r="G761">
        <v>32</v>
      </c>
      <c r="H761">
        <v>16</v>
      </c>
      <c r="I761">
        <f t="shared" si="68"/>
        <v>719</v>
      </c>
      <c r="J761">
        <v>16</v>
      </c>
      <c r="K761">
        <v>1</v>
      </c>
      <c r="L761" t="str">
        <f t="shared" si="69"/>
        <v>Correct</v>
      </c>
      <c r="M761">
        <f t="shared" si="70"/>
        <v>100</v>
      </c>
      <c r="N761">
        <f t="shared" si="66"/>
        <v>11.678571428571429</v>
      </c>
      <c r="O761">
        <f t="shared" si="71"/>
        <v>61.565749235474001</v>
      </c>
      <c r="P761" t="str">
        <f t="shared" si="67"/>
        <v>Overstock</v>
      </c>
    </row>
    <row r="762" spans="1:16" hidden="1" x14ac:dyDescent="0.35">
      <c r="A762" s="4">
        <v>46164</v>
      </c>
      <c r="B762" t="s">
        <v>31</v>
      </c>
      <c r="C762" t="s">
        <v>32</v>
      </c>
      <c r="D762" t="s">
        <v>14</v>
      </c>
      <c r="E762" t="s">
        <v>15</v>
      </c>
      <c r="F762">
        <v>327</v>
      </c>
      <c r="G762">
        <v>33</v>
      </c>
      <c r="H762">
        <v>31</v>
      </c>
      <c r="I762">
        <f t="shared" si="68"/>
        <v>329</v>
      </c>
      <c r="J762">
        <v>34</v>
      </c>
      <c r="K762">
        <v>4</v>
      </c>
      <c r="L762" t="str">
        <f t="shared" si="69"/>
        <v>Correct</v>
      </c>
      <c r="M762">
        <f t="shared" si="70"/>
        <v>91.17647058823529</v>
      </c>
      <c r="N762">
        <f t="shared" si="66"/>
        <v>20.84375</v>
      </c>
      <c r="O762">
        <f t="shared" si="71"/>
        <v>15.784107946026987</v>
      </c>
      <c r="P762" t="str">
        <f t="shared" si="67"/>
        <v>Healthy</v>
      </c>
    </row>
    <row r="763" spans="1:16" hidden="1" x14ac:dyDescent="0.35">
      <c r="A763" s="4">
        <v>46164</v>
      </c>
      <c r="B763" t="s">
        <v>31</v>
      </c>
      <c r="C763" t="s">
        <v>32</v>
      </c>
      <c r="D763" t="s">
        <v>16</v>
      </c>
      <c r="E763" t="s">
        <v>17</v>
      </c>
      <c r="F763">
        <v>384</v>
      </c>
      <c r="G763">
        <v>32</v>
      </c>
      <c r="H763">
        <v>15</v>
      </c>
      <c r="I763">
        <f t="shared" si="68"/>
        <v>401</v>
      </c>
      <c r="J763">
        <v>30</v>
      </c>
      <c r="K763">
        <v>2</v>
      </c>
      <c r="L763" t="str">
        <f t="shared" si="69"/>
        <v>Correct</v>
      </c>
      <c r="M763">
        <f t="shared" si="70"/>
        <v>50</v>
      </c>
      <c r="N763">
        <f t="shared" si="66"/>
        <v>21.46875</v>
      </c>
      <c r="O763">
        <f t="shared" si="71"/>
        <v>18.678311499272198</v>
      </c>
      <c r="P763" t="str">
        <f t="shared" si="67"/>
        <v>Healthy</v>
      </c>
    </row>
    <row r="764" spans="1:16" x14ac:dyDescent="0.35">
      <c r="A764" s="4">
        <v>46164</v>
      </c>
      <c r="B764" t="s">
        <v>31</v>
      </c>
      <c r="C764" t="s">
        <v>32</v>
      </c>
      <c r="D764" t="s">
        <v>18</v>
      </c>
      <c r="E764" t="s">
        <v>19</v>
      </c>
      <c r="F764">
        <v>149</v>
      </c>
      <c r="G764">
        <v>49</v>
      </c>
      <c r="H764">
        <v>42</v>
      </c>
      <c r="I764">
        <f t="shared" si="68"/>
        <v>156</v>
      </c>
      <c r="J764">
        <v>45</v>
      </c>
      <c r="K764">
        <v>4</v>
      </c>
      <c r="L764" t="str">
        <f t="shared" si="69"/>
        <v>Correct</v>
      </c>
      <c r="M764">
        <f t="shared" si="70"/>
        <v>93.333333333333329</v>
      </c>
      <c r="N764">
        <f t="shared" si="66"/>
        <v>30.586206896551722</v>
      </c>
      <c r="O764">
        <f t="shared" si="71"/>
        <v>5.1003382187147688</v>
      </c>
      <c r="P764" t="str">
        <f t="shared" si="67"/>
        <v>Low Stock</v>
      </c>
    </row>
    <row r="765" spans="1:16" hidden="1" x14ac:dyDescent="0.35">
      <c r="A765" s="4">
        <v>46164</v>
      </c>
      <c r="B765" t="s">
        <v>31</v>
      </c>
      <c r="C765" t="s">
        <v>32</v>
      </c>
      <c r="D765" t="s">
        <v>20</v>
      </c>
      <c r="E765" t="s">
        <v>21</v>
      </c>
      <c r="F765">
        <v>90</v>
      </c>
      <c r="G765">
        <v>17</v>
      </c>
      <c r="H765">
        <v>38</v>
      </c>
      <c r="I765">
        <f t="shared" si="68"/>
        <v>69</v>
      </c>
      <c r="J765">
        <v>50</v>
      </c>
      <c r="K765">
        <v>3</v>
      </c>
      <c r="L765" t="str">
        <f t="shared" si="69"/>
        <v>Correct</v>
      </c>
      <c r="M765">
        <f t="shared" si="70"/>
        <v>76</v>
      </c>
      <c r="N765">
        <f t="shared" si="66"/>
        <v>32.299999999999997</v>
      </c>
      <c r="O765">
        <f t="shared" si="71"/>
        <v>2.1362229102167185</v>
      </c>
      <c r="P765" t="str">
        <f t="shared" si="67"/>
        <v>Low Stock</v>
      </c>
    </row>
    <row r="766" spans="1:16" hidden="1" x14ac:dyDescent="0.35">
      <c r="A766" s="4">
        <v>46164</v>
      </c>
      <c r="B766" t="s">
        <v>31</v>
      </c>
      <c r="C766" t="s">
        <v>32</v>
      </c>
      <c r="D766" t="s">
        <v>22</v>
      </c>
      <c r="E766" t="s">
        <v>23</v>
      </c>
      <c r="F766">
        <v>749</v>
      </c>
      <c r="G766">
        <v>14</v>
      </c>
      <c r="H766">
        <v>4</v>
      </c>
      <c r="I766">
        <f t="shared" si="68"/>
        <v>759</v>
      </c>
      <c r="J766">
        <v>9</v>
      </c>
      <c r="K766">
        <v>4</v>
      </c>
      <c r="L766" t="str">
        <f t="shared" si="69"/>
        <v>Correct</v>
      </c>
      <c r="M766">
        <f t="shared" si="70"/>
        <v>44.444444444444443</v>
      </c>
      <c r="N766">
        <f t="shared" si="66"/>
        <v>10.413793103448276</v>
      </c>
      <c r="O766">
        <f t="shared" si="71"/>
        <v>72.884105960264904</v>
      </c>
      <c r="P766" t="str">
        <f t="shared" si="67"/>
        <v>Overstock</v>
      </c>
    </row>
    <row r="767" spans="1:16" hidden="1" x14ac:dyDescent="0.35">
      <c r="A767" s="4">
        <v>46164</v>
      </c>
      <c r="B767" t="s">
        <v>33</v>
      </c>
      <c r="C767" t="s">
        <v>34</v>
      </c>
      <c r="D767" t="s">
        <v>14</v>
      </c>
      <c r="E767" t="s">
        <v>15</v>
      </c>
      <c r="F767">
        <v>249</v>
      </c>
      <c r="G767">
        <v>9</v>
      </c>
      <c r="H767">
        <v>32</v>
      </c>
      <c r="I767">
        <f t="shared" si="68"/>
        <v>226</v>
      </c>
      <c r="J767">
        <v>36</v>
      </c>
      <c r="K767">
        <v>2</v>
      </c>
      <c r="L767" t="str">
        <f t="shared" si="69"/>
        <v>Correct</v>
      </c>
      <c r="M767">
        <f t="shared" si="70"/>
        <v>88.888888888888886</v>
      </c>
      <c r="N767">
        <f t="shared" si="66"/>
        <v>20.70967741935484</v>
      </c>
      <c r="O767">
        <f t="shared" si="71"/>
        <v>10.912772585669781</v>
      </c>
      <c r="P767" t="str">
        <f t="shared" si="67"/>
        <v>Low Stock</v>
      </c>
    </row>
    <row r="768" spans="1:16" hidden="1" x14ac:dyDescent="0.35">
      <c r="A768" s="4">
        <v>46164</v>
      </c>
      <c r="B768" t="s">
        <v>33</v>
      </c>
      <c r="C768" t="s">
        <v>34</v>
      </c>
      <c r="D768" t="s">
        <v>16</v>
      </c>
      <c r="E768" t="s">
        <v>17</v>
      </c>
      <c r="F768">
        <v>215</v>
      </c>
      <c r="G768">
        <v>9</v>
      </c>
      <c r="H768">
        <v>24</v>
      </c>
      <c r="I768">
        <f t="shared" si="68"/>
        <v>200</v>
      </c>
      <c r="J768">
        <v>37</v>
      </c>
      <c r="K768">
        <v>3</v>
      </c>
      <c r="L768" t="str">
        <f t="shared" si="69"/>
        <v>Correct</v>
      </c>
      <c r="M768">
        <f t="shared" si="70"/>
        <v>64.86486486486487</v>
      </c>
      <c r="N768">
        <f t="shared" si="66"/>
        <v>22.142857142857142</v>
      </c>
      <c r="O768">
        <f t="shared" si="71"/>
        <v>9.0322580645161299</v>
      </c>
      <c r="P768" t="str">
        <f t="shared" si="67"/>
        <v>Low Stock</v>
      </c>
    </row>
    <row r="769" spans="1:16" x14ac:dyDescent="0.35">
      <c r="A769" s="4">
        <v>46164</v>
      </c>
      <c r="B769" t="s">
        <v>33</v>
      </c>
      <c r="C769" t="s">
        <v>34</v>
      </c>
      <c r="D769" t="s">
        <v>18</v>
      </c>
      <c r="E769" t="s">
        <v>19</v>
      </c>
      <c r="F769">
        <v>112</v>
      </c>
      <c r="G769">
        <v>48</v>
      </c>
      <c r="H769">
        <v>34</v>
      </c>
      <c r="I769">
        <f t="shared" si="68"/>
        <v>126</v>
      </c>
      <c r="J769">
        <v>49</v>
      </c>
      <c r="K769">
        <v>2</v>
      </c>
      <c r="L769" t="str">
        <f t="shared" si="69"/>
        <v>Correct</v>
      </c>
      <c r="M769">
        <f t="shared" si="70"/>
        <v>69.387755102040813</v>
      </c>
      <c r="N769">
        <f t="shared" si="66"/>
        <v>30.275862068965516</v>
      </c>
      <c r="O769">
        <f t="shared" si="71"/>
        <v>4.1617312072892938</v>
      </c>
      <c r="P769" t="str">
        <f t="shared" si="67"/>
        <v>Low Stock</v>
      </c>
    </row>
    <row r="770" spans="1:16" hidden="1" x14ac:dyDescent="0.35">
      <c r="A770" s="4">
        <v>46164</v>
      </c>
      <c r="B770" t="s">
        <v>33</v>
      </c>
      <c r="C770" t="s">
        <v>34</v>
      </c>
      <c r="D770" t="s">
        <v>20</v>
      </c>
      <c r="E770" t="s">
        <v>21</v>
      </c>
      <c r="F770">
        <v>298</v>
      </c>
      <c r="G770">
        <v>49</v>
      </c>
      <c r="H770">
        <v>38</v>
      </c>
      <c r="I770">
        <f t="shared" si="68"/>
        <v>309</v>
      </c>
      <c r="J770">
        <v>40</v>
      </c>
      <c r="K770">
        <v>4</v>
      </c>
      <c r="L770" t="str">
        <f t="shared" si="69"/>
        <v>Correct</v>
      </c>
      <c r="M770">
        <f t="shared" si="70"/>
        <v>95</v>
      </c>
      <c r="N770">
        <f t="shared" ref="N770:N833" si="72">SUMIFS($H:$H,$B:$B,B770,$C:$C,C770,$D:$D,D770)/COUNTIFS($B:$B,B770,$C:$C,C770,$D:$D,D770)</f>
        <v>30.931034482758619</v>
      </c>
      <c r="O770">
        <f t="shared" si="71"/>
        <v>9.9899665551839476</v>
      </c>
      <c r="P770" t="str">
        <f t="shared" ref="P770:P833" si="73">IF(O770&lt;15,"Low Stock",IF(O770&lt;=30,"Healthy","Overstock"))</f>
        <v>Low Stock</v>
      </c>
    </row>
    <row r="771" spans="1:16" hidden="1" x14ac:dyDescent="0.35">
      <c r="A771" s="4">
        <v>46164</v>
      </c>
      <c r="B771" t="s">
        <v>33</v>
      </c>
      <c r="C771" t="s">
        <v>34</v>
      </c>
      <c r="D771" t="s">
        <v>22</v>
      </c>
      <c r="E771" t="s">
        <v>23</v>
      </c>
      <c r="F771">
        <v>501</v>
      </c>
      <c r="G771">
        <v>6</v>
      </c>
      <c r="H771">
        <v>5</v>
      </c>
      <c r="I771">
        <f t="shared" ref="I771:I834" si="74">F771+G771-H771</f>
        <v>502</v>
      </c>
      <c r="J771">
        <v>19</v>
      </c>
      <c r="K771">
        <v>5</v>
      </c>
      <c r="L771" t="str">
        <f t="shared" ref="L771:L834" si="75">IF(I771&lt;0,"Need verification","Correct")</f>
        <v>Correct</v>
      </c>
      <c r="M771">
        <f t="shared" ref="M771:M834" si="76">IF(J771=0,0,(H771/J771)*100)</f>
        <v>26.315789473684209</v>
      </c>
      <c r="N771">
        <f t="shared" si="72"/>
        <v>10.25</v>
      </c>
      <c r="O771">
        <f t="shared" ref="O771:O834" si="77">IFERROR(I771/N771,0)</f>
        <v>48.975609756097562</v>
      </c>
      <c r="P771" t="str">
        <f t="shared" si="73"/>
        <v>Overstock</v>
      </c>
    </row>
    <row r="772" spans="1:16" hidden="1" x14ac:dyDescent="0.35">
      <c r="A772" s="4">
        <v>46165</v>
      </c>
      <c r="B772" t="s">
        <v>12</v>
      </c>
      <c r="C772" t="s">
        <v>13</v>
      </c>
      <c r="D772" t="s">
        <v>14</v>
      </c>
      <c r="E772" t="s">
        <v>15</v>
      </c>
      <c r="F772">
        <v>536</v>
      </c>
      <c r="G772">
        <v>50</v>
      </c>
      <c r="H772">
        <v>18</v>
      </c>
      <c r="I772">
        <f t="shared" si="74"/>
        <v>568</v>
      </c>
      <c r="J772">
        <v>28</v>
      </c>
      <c r="K772">
        <v>2</v>
      </c>
      <c r="L772" t="str">
        <f t="shared" si="75"/>
        <v>Correct</v>
      </c>
      <c r="M772">
        <f t="shared" si="76"/>
        <v>64.285714285714292</v>
      </c>
      <c r="N772">
        <f t="shared" si="72"/>
        <v>21.666666666666668</v>
      </c>
      <c r="O772">
        <f t="shared" si="77"/>
        <v>26.215384615384615</v>
      </c>
      <c r="P772" t="str">
        <f t="shared" si="73"/>
        <v>Healthy</v>
      </c>
    </row>
    <row r="773" spans="1:16" hidden="1" x14ac:dyDescent="0.35">
      <c r="A773" s="4">
        <v>46165</v>
      </c>
      <c r="B773" t="s">
        <v>12</v>
      </c>
      <c r="C773" t="s">
        <v>13</v>
      </c>
      <c r="D773" t="s">
        <v>16</v>
      </c>
      <c r="E773" t="s">
        <v>17</v>
      </c>
      <c r="F773">
        <v>339</v>
      </c>
      <c r="G773">
        <v>17</v>
      </c>
      <c r="H773">
        <v>28</v>
      </c>
      <c r="I773">
        <f t="shared" si="74"/>
        <v>328</v>
      </c>
      <c r="J773">
        <v>41</v>
      </c>
      <c r="K773">
        <v>1</v>
      </c>
      <c r="L773" t="str">
        <f t="shared" si="75"/>
        <v>Correct</v>
      </c>
      <c r="M773">
        <f t="shared" si="76"/>
        <v>68.292682926829272</v>
      </c>
      <c r="N773">
        <f t="shared" si="72"/>
        <v>20.030303030303031</v>
      </c>
      <c r="O773">
        <f t="shared" si="77"/>
        <v>16.375189107413011</v>
      </c>
      <c r="P773" t="str">
        <f t="shared" si="73"/>
        <v>Healthy</v>
      </c>
    </row>
    <row r="774" spans="1:16" x14ac:dyDescent="0.35">
      <c r="A774" s="4">
        <v>46165</v>
      </c>
      <c r="B774" t="s">
        <v>12</v>
      </c>
      <c r="C774" t="s">
        <v>13</v>
      </c>
      <c r="D774" t="s">
        <v>18</v>
      </c>
      <c r="E774" t="s">
        <v>19</v>
      </c>
      <c r="F774">
        <v>159</v>
      </c>
      <c r="G774">
        <v>16</v>
      </c>
      <c r="H774">
        <v>43</v>
      </c>
      <c r="I774">
        <f t="shared" si="74"/>
        <v>132</v>
      </c>
      <c r="J774">
        <v>48</v>
      </c>
      <c r="K774">
        <v>1</v>
      </c>
      <c r="L774" t="str">
        <f t="shared" si="75"/>
        <v>Correct</v>
      </c>
      <c r="M774">
        <f t="shared" si="76"/>
        <v>89.583333333333343</v>
      </c>
      <c r="N774">
        <f t="shared" si="72"/>
        <v>33.34375</v>
      </c>
      <c r="O774">
        <f t="shared" si="77"/>
        <v>3.9587628865979383</v>
      </c>
      <c r="P774" t="str">
        <f t="shared" si="73"/>
        <v>Low Stock</v>
      </c>
    </row>
    <row r="775" spans="1:16" hidden="1" x14ac:dyDescent="0.35">
      <c r="A775" s="4">
        <v>46165</v>
      </c>
      <c r="B775" t="s">
        <v>12</v>
      </c>
      <c r="C775" t="s">
        <v>13</v>
      </c>
      <c r="D775" t="s">
        <v>20</v>
      </c>
      <c r="E775" t="s">
        <v>21</v>
      </c>
      <c r="F775">
        <v>6</v>
      </c>
      <c r="G775">
        <v>52</v>
      </c>
      <c r="H775">
        <v>26</v>
      </c>
      <c r="I775">
        <f t="shared" si="74"/>
        <v>32</v>
      </c>
      <c r="J775">
        <v>32</v>
      </c>
      <c r="K775">
        <v>4</v>
      </c>
      <c r="L775" t="str">
        <f t="shared" si="75"/>
        <v>Correct</v>
      </c>
      <c r="M775">
        <f t="shared" si="76"/>
        <v>81.25</v>
      </c>
      <c r="N775">
        <f t="shared" si="72"/>
        <v>34.515151515151516</v>
      </c>
      <c r="O775">
        <f t="shared" si="77"/>
        <v>0.92712906057945565</v>
      </c>
      <c r="P775" t="str">
        <f t="shared" si="73"/>
        <v>Low Stock</v>
      </c>
    </row>
    <row r="776" spans="1:16" hidden="1" x14ac:dyDescent="0.35">
      <c r="A776" s="4">
        <v>46165</v>
      </c>
      <c r="B776" t="s">
        <v>12</v>
      </c>
      <c r="C776" t="s">
        <v>13</v>
      </c>
      <c r="D776" t="s">
        <v>22</v>
      </c>
      <c r="E776" t="s">
        <v>23</v>
      </c>
      <c r="F776">
        <v>447</v>
      </c>
      <c r="G776">
        <v>51</v>
      </c>
      <c r="H776">
        <v>6</v>
      </c>
      <c r="I776">
        <f t="shared" si="74"/>
        <v>492</v>
      </c>
      <c r="J776">
        <v>0</v>
      </c>
      <c r="K776">
        <v>4</v>
      </c>
      <c r="L776" t="str">
        <f t="shared" si="75"/>
        <v>Correct</v>
      </c>
      <c r="M776">
        <f t="shared" si="76"/>
        <v>0</v>
      </c>
      <c r="N776">
        <f t="shared" si="72"/>
        <v>9.9032258064516121</v>
      </c>
      <c r="O776">
        <f t="shared" si="77"/>
        <v>49.680781758957657</v>
      </c>
      <c r="P776" t="str">
        <f t="shared" si="73"/>
        <v>Overstock</v>
      </c>
    </row>
    <row r="777" spans="1:16" hidden="1" x14ac:dyDescent="0.35">
      <c r="A777" s="4">
        <v>46165</v>
      </c>
      <c r="B777" t="s">
        <v>12</v>
      </c>
      <c r="C777" t="s">
        <v>24</v>
      </c>
      <c r="D777" t="s">
        <v>14</v>
      </c>
      <c r="E777" t="s">
        <v>15</v>
      </c>
      <c r="F777">
        <v>293</v>
      </c>
      <c r="G777">
        <v>21</v>
      </c>
      <c r="H777">
        <v>17</v>
      </c>
      <c r="I777">
        <f t="shared" si="74"/>
        <v>297</v>
      </c>
      <c r="J777">
        <v>19</v>
      </c>
      <c r="K777">
        <v>1</v>
      </c>
      <c r="L777" t="str">
        <f t="shared" si="75"/>
        <v>Correct</v>
      </c>
      <c r="M777">
        <f t="shared" si="76"/>
        <v>89.473684210526315</v>
      </c>
      <c r="N777">
        <f t="shared" si="72"/>
        <v>21.35483870967742</v>
      </c>
      <c r="O777">
        <f t="shared" si="77"/>
        <v>13.907854984894259</v>
      </c>
      <c r="P777" t="str">
        <f t="shared" si="73"/>
        <v>Low Stock</v>
      </c>
    </row>
    <row r="778" spans="1:16" hidden="1" x14ac:dyDescent="0.35">
      <c r="A778" s="4">
        <v>46165</v>
      </c>
      <c r="B778" t="s">
        <v>12</v>
      </c>
      <c r="C778" t="s">
        <v>24</v>
      </c>
      <c r="D778" t="s">
        <v>16</v>
      </c>
      <c r="E778" t="s">
        <v>17</v>
      </c>
      <c r="F778">
        <v>219</v>
      </c>
      <c r="G778">
        <v>9</v>
      </c>
      <c r="H778">
        <v>12</v>
      </c>
      <c r="I778">
        <f t="shared" si="74"/>
        <v>216</v>
      </c>
      <c r="J778">
        <v>24</v>
      </c>
      <c r="K778">
        <v>3</v>
      </c>
      <c r="L778" t="str">
        <f t="shared" si="75"/>
        <v>Correct</v>
      </c>
      <c r="M778">
        <f t="shared" si="76"/>
        <v>50</v>
      </c>
      <c r="N778">
        <f t="shared" si="72"/>
        <v>21.9</v>
      </c>
      <c r="O778">
        <f t="shared" si="77"/>
        <v>9.8630136986301373</v>
      </c>
      <c r="P778" t="str">
        <f t="shared" si="73"/>
        <v>Low Stock</v>
      </c>
    </row>
    <row r="779" spans="1:16" x14ac:dyDescent="0.35">
      <c r="A779" s="4">
        <v>46165</v>
      </c>
      <c r="B779" t="s">
        <v>12</v>
      </c>
      <c r="C779" t="s">
        <v>24</v>
      </c>
      <c r="D779" t="s">
        <v>18</v>
      </c>
      <c r="E779" t="s">
        <v>19</v>
      </c>
      <c r="F779">
        <v>167</v>
      </c>
      <c r="G779">
        <v>8</v>
      </c>
      <c r="H779">
        <v>37</v>
      </c>
      <c r="I779">
        <f t="shared" si="74"/>
        <v>138</v>
      </c>
      <c r="J779">
        <v>41</v>
      </c>
      <c r="K779">
        <v>1</v>
      </c>
      <c r="L779" t="str">
        <f t="shared" si="75"/>
        <v>Correct</v>
      </c>
      <c r="M779">
        <f t="shared" si="76"/>
        <v>90.243902439024396</v>
      </c>
      <c r="N779">
        <f t="shared" si="72"/>
        <v>31.586206896551722</v>
      </c>
      <c r="O779">
        <f t="shared" si="77"/>
        <v>4.3689956331877733</v>
      </c>
      <c r="P779" t="str">
        <f t="shared" si="73"/>
        <v>Low Stock</v>
      </c>
    </row>
    <row r="780" spans="1:16" hidden="1" x14ac:dyDescent="0.35">
      <c r="A780" s="4">
        <v>46165</v>
      </c>
      <c r="B780" t="s">
        <v>12</v>
      </c>
      <c r="C780" t="s">
        <v>24</v>
      </c>
      <c r="D780" t="s">
        <v>20</v>
      </c>
      <c r="E780" t="s">
        <v>21</v>
      </c>
      <c r="F780">
        <v>29</v>
      </c>
      <c r="G780">
        <v>30</v>
      </c>
      <c r="H780">
        <v>37</v>
      </c>
      <c r="I780">
        <f t="shared" si="74"/>
        <v>22</v>
      </c>
      <c r="J780">
        <v>37</v>
      </c>
      <c r="K780">
        <v>2</v>
      </c>
      <c r="L780" t="str">
        <f t="shared" si="75"/>
        <v>Correct</v>
      </c>
      <c r="M780">
        <f t="shared" si="76"/>
        <v>100</v>
      </c>
      <c r="N780">
        <f t="shared" si="72"/>
        <v>34.200000000000003</v>
      </c>
      <c r="O780">
        <f t="shared" si="77"/>
        <v>0.64327485380116955</v>
      </c>
      <c r="P780" t="str">
        <f t="shared" si="73"/>
        <v>Low Stock</v>
      </c>
    </row>
    <row r="781" spans="1:16" hidden="1" x14ac:dyDescent="0.35">
      <c r="A781" s="4">
        <v>46165</v>
      </c>
      <c r="B781" t="s">
        <v>12</v>
      </c>
      <c r="C781" t="s">
        <v>24</v>
      </c>
      <c r="D781" t="s">
        <v>22</v>
      </c>
      <c r="E781" t="s">
        <v>23</v>
      </c>
      <c r="F781">
        <v>475</v>
      </c>
      <c r="G781">
        <v>43</v>
      </c>
      <c r="H781">
        <v>6</v>
      </c>
      <c r="I781">
        <f t="shared" si="74"/>
        <v>512</v>
      </c>
      <c r="J781">
        <v>15</v>
      </c>
      <c r="K781">
        <v>4</v>
      </c>
      <c r="L781" t="str">
        <f t="shared" si="75"/>
        <v>Correct</v>
      </c>
      <c r="M781">
        <f t="shared" si="76"/>
        <v>40</v>
      </c>
      <c r="N781">
        <f t="shared" si="72"/>
        <v>10.96551724137931</v>
      </c>
      <c r="O781">
        <f t="shared" si="77"/>
        <v>46.691823899371073</v>
      </c>
      <c r="P781" t="str">
        <f t="shared" si="73"/>
        <v>Overstock</v>
      </c>
    </row>
    <row r="782" spans="1:16" hidden="1" x14ac:dyDescent="0.35">
      <c r="A782" s="4">
        <v>46165</v>
      </c>
      <c r="B782" t="s">
        <v>12</v>
      </c>
      <c r="C782" t="s">
        <v>25</v>
      </c>
      <c r="D782" t="s">
        <v>14</v>
      </c>
      <c r="E782" t="s">
        <v>15</v>
      </c>
      <c r="F782">
        <v>268</v>
      </c>
      <c r="G782">
        <v>36</v>
      </c>
      <c r="H782">
        <v>19</v>
      </c>
      <c r="I782">
        <f t="shared" si="74"/>
        <v>285</v>
      </c>
      <c r="J782">
        <v>32</v>
      </c>
      <c r="K782">
        <v>4</v>
      </c>
      <c r="L782" t="str">
        <f t="shared" si="75"/>
        <v>Correct</v>
      </c>
      <c r="M782">
        <f t="shared" si="76"/>
        <v>59.375</v>
      </c>
      <c r="N782">
        <f t="shared" si="72"/>
        <v>20.7</v>
      </c>
      <c r="O782">
        <f t="shared" si="77"/>
        <v>13.768115942028986</v>
      </c>
      <c r="P782" t="str">
        <f t="shared" si="73"/>
        <v>Low Stock</v>
      </c>
    </row>
    <row r="783" spans="1:16" hidden="1" x14ac:dyDescent="0.35">
      <c r="A783" s="4">
        <v>46165</v>
      </c>
      <c r="B783" t="s">
        <v>12</v>
      </c>
      <c r="C783" t="s">
        <v>25</v>
      </c>
      <c r="D783" t="s">
        <v>16</v>
      </c>
      <c r="E783" t="s">
        <v>17</v>
      </c>
      <c r="F783">
        <v>271</v>
      </c>
      <c r="G783">
        <v>5</v>
      </c>
      <c r="H783">
        <v>30</v>
      </c>
      <c r="I783">
        <f t="shared" si="74"/>
        <v>246</v>
      </c>
      <c r="J783">
        <v>34</v>
      </c>
      <c r="K783">
        <v>2</v>
      </c>
      <c r="L783" t="str">
        <f t="shared" si="75"/>
        <v>Correct</v>
      </c>
      <c r="M783">
        <f t="shared" si="76"/>
        <v>88.235294117647058</v>
      </c>
      <c r="N783">
        <f t="shared" si="72"/>
        <v>23.758620689655171</v>
      </c>
      <c r="O783">
        <f t="shared" si="77"/>
        <v>10.354136429608129</v>
      </c>
      <c r="P783" t="str">
        <f t="shared" si="73"/>
        <v>Low Stock</v>
      </c>
    </row>
    <row r="784" spans="1:16" x14ac:dyDescent="0.35">
      <c r="A784" s="4">
        <v>46165</v>
      </c>
      <c r="B784" t="s">
        <v>12</v>
      </c>
      <c r="C784" t="s">
        <v>25</v>
      </c>
      <c r="D784" t="s">
        <v>18</v>
      </c>
      <c r="E784" t="s">
        <v>19</v>
      </c>
      <c r="F784">
        <v>89</v>
      </c>
      <c r="G784">
        <v>11</v>
      </c>
      <c r="H784">
        <v>18</v>
      </c>
      <c r="I784">
        <f t="shared" si="74"/>
        <v>82</v>
      </c>
      <c r="J784">
        <v>26</v>
      </c>
      <c r="K784">
        <v>3</v>
      </c>
      <c r="L784" t="str">
        <f t="shared" si="75"/>
        <v>Correct</v>
      </c>
      <c r="M784">
        <f t="shared" si="76"/>
        <v>69.230769230769226</v>
      </c>
      <c r="N784">
        <f t="shared" si="72"/>
        <v>31.142857142857142</v>
      </c>
      <c r="O784">
        <f t="shared" si="77"/>
        <v>2.6330275229357798</v>
      </c>
      <c r="P784" t="str">
        <f t="shared" si="73"/>
        <v>Low Stock</v>
      </c>
    </row>
    <row r="785" spans="1:16" hidden="1" x14ac:dyDescent="0.35">
      <c r="A785" s="4">
        <v>46165</v>
      </c>
      <c r="B785" t="s">
        <v>12</v>
      </c>
      <c r="C785" t="s">
        <v>25</v>
      </c>
      <c r="D785" t="s">
        <v>20</v>
      </c>
      <c r="E785" t="s">
        <v>21</v>
      </c>
      <c r="F785">
        <v>155</v>
      </c>
      <c r="G785">
        <v>32</v>
      </c>
      <c r="H785">
        <v>47</v>
      </c>
      <c r="I785">
        <f t="shared" si="74"/>
        <v>140</v>
      </c>
      <c r="J785">
        <v>62</v>
      </c>
      <c r="K785">
        <v>1</v>
      </c>
      <c r="L785" t="str">
        <f t="shared" si="75"/>
        <v>Correct</v>
      </c>
      <c r="M785">
        <f t="shared" si="76"/>
        <v>75.806451612903231</v>
      </c>
      <c r="N785">
        <f t="shared" si="72"/>
        <v>31.137931034482758</v>
      </c>
      <c r="O785">
        <f t="shared" si="77"/>
        <v>4.4961240310077519</v>
      </c>
      <c r="P785" t="str">
        <f t="shared" si="73"/>
        <v>Low Stock</v>
      </c>
    </row>
    <row r="786" spans="1:16" hidden="1" x14ac:dyDescent="0.35">
      <c r="A786" s="4">
        <v>46165</v>
      </c>
      <c r="B786" t="s">
        <v>12</v>
      </c>
      <c r="C786" t="s">
        <v>25</v>
      </c>
      <c r="D786" t="s">
        <v>22</v>
      </c>
      <c r="E786" t="s">
        <v>23</v>
      </c>
      <c r="F786">
        <v>619</v>
      </c>
      <c r="G786">
        <v>9</v>
      </c>
      <c r="H786">
        <v>16</v>
      </c>
      <c r="I786">
        <f t="shared" si="74"/>
        <v>612</v>
      </c>
      <c r="J786">
        <v>28</v>
      </c>
      <c r="K786">
        <v>4</v>
      </c>
      <c r="L786" t="str">
        <f t="shared" si="75"/>
        <v>Correct</v>
      </c>
      <c r="M786">
        <f t="shared" si="76"/>
        <v>57.142857142857139</v>
      </c>
      <c r="N786">
        <f t="shared" si="72"/>
        <v>11.3</v>
      </c>
      <c r="O786">
        <f t="shared" si="77"/>
        <v>54.159292035398224</v>
      </c>
      <c r="P786" t="str">
        <f t="shared" si="73"/>
        <v>Overstock</v>
      </c>
    </row>
    <row r="787" spans="1:16" hidden="1" x14ac:dyDescent="0.35">
      <c r="A787" s="4">
        <v>46165</v>
      </c>
      <c r="B787" t="s">
        <v>26</v>
      </c>
      <c r="C787" t="s">
        <v>27</v>
      </c>
      <c r="D787" t="s">
        <v>14</v>
      </c>
      <c r="E787" t="s">
        <v>15</v>
      </c>
      <c r="F787">
        <v>557</v>
      </c>
      <c r="G787">
        <v>40</v>
      </c>
      <c r="H787">
        <v>30</v>
      </c>
      <c r="I787">
        <f t="shared" si="74"/>
        <v>567</v>
      </c>
      <c r="J787">
        <v>33</v>
      </c>
      <c r="K787">
        <v>2</v>
      </c>
      <c r="L787" t="str">
        <f t="shared" si="75"/>
        <v>Correct</v>
      </c>
      <c r="M787">
        <f t="shared" si="76"/>
        <v>90.909090909090907</v>
      </c>
      <c r="N787">
        <f t="shared" si="72"/>
        <v>22.258064516129032</v>
      </c>
      <c r="O787">
        <f t="shared" si="77"/>
        <v>25.473913043478262</v>
      </c>
      <c r="P787" t="str">
        <f t="shared" si="73"/>
        <v>Healthy</v>
      </c>
    </row>
    <row r="788" spans="1:16" hidden="1" x14ac:dyDescent="0.35">
      <c r="A788" s="4">
        <v>46165</v>
      </c>
      <c r="B788" t="s">
        <v>26</v>
      </c>
      <c r="C788" t="s">
        <v>27</v>
      </c>
      <c r="D788" t="s">
        <v>16</v>
      </c>
      <c r="E788" t="s">
        <v>17</v>
      </c>
      <c r="F788">
        <v>379</v>
      </c>
      <c r="G788">
        <v>49</v>
      </c>
      <c r="H788">
        <v>18</v>
      </c>
      <c r="I788">
        <f t="shared" si="74"/>
        <v>410</v>
      </c>
      <c r="J788">
        <v>27</v>
      </c>
      <c r="K788">
        <v>3</v>
      </c>
      <c r="L788" t="str">
        <f t="shared" si="75"/>
        <v>Correct</v>
      </c>
      <c r="M788">
        <f t="shared" si="76"/>
        <v>66.666666666666657</v>
      </c>
      <c r="N788">
        <f t="shared" si="72"/>
        <v>20.172413793103448</v>
      </c>
      <c r="O788">
        <f t="shared" si="77"/>
        <v>20.324786324786324</v>
      </c>
      <c r="P788" t="str">
        <f t="shared" si="73"/>
        <v>Healthy</v>
      </c>
    </row>
    <row r="789" spans="1:16" x14ac:dyDescent="0.35">
      <c r="A789" s="4">
        <v>46165</v>
      </c>
      <c r="B789" t="s">
        <v>26</v>
      </c>
      <c r="C789" t="s">
        <v>27</v>
      </c>
      <c r="D789" t="s">
        <v>18</v>
      </c>
      <c r="E789" t="s">
        <v>19</v>
      </c>
      <c r="F789">
        <v>64</v>
      </c>
      <c r="G789">
        <v>60</v>
      </c>
      <c r="H789">
        <v>43</v>
      </c>
      <c r="I789">
        <f t="shared" si="74"/>
        <v>81</v>
      </c>
      <c r="J789">
        <v>53</v>
      </c>
      <c r="K789">
        <v>2</v>
      </c>
      <c r="L789" t="str">
        <f t="shared" si="75"/>
        <v>Correct</v>
      </c>
      <c r="M789">
        <f t="shared" si="76"/>
        <v>81.132075471698116</v>
      </c>
      <c r="N789">
        <f t="shared" si="72"/>
        <v>29.733333333333334</v>
      </c>
      <c r="O789">
        <f t="shared" si="77"/>
        <v>2.7242152466367711</v>
      </c>
      <c r="P789" t="str">
        <f t="shared" si="73"/>
        <v>Low Stock</v>
      </c>
    </row>
    <row r="790" spans="1:16" hidden="1" x14ac:dyDescent="0.35">
      <c r="A790" s="4">
        <v>46165</v>
      </c>
      <c r="B790" t="s">
        <v>26</v>
      </c>
      <c r="C790" t="s">
        <v>27</v>
      </c>
      <c r="D790" t="s">
        <v>20</v>
      </c>
      <c r="E790" t="s">
        <v>21</v>
      </c>
      <c r="F790">
        <v>282</v>
      </c>
      <c r="G790">
        <v>44</v>
      </c>
      <c r="H790">
        <v>44</v>
      </c>
      <c r="I790">
        <f t="shared" si="74"/>
        <v>282</v>
      </c>
      <c r="J790">
        <v>46</v>
      </c>
      <c r="K790">
        <v>4</v>
      </c>
      <c r="L790" t="str">
        <f t="shared" si="75"/>
        <v>Correct</v>
      </c>
      <c r="M790">
        <f t="shared" si="76"/>
        <v>95.652173913043484</v>
      </c>
      <c r="N790">
        <f t="shared" si="72"/>
        <v>30.724137931034484</v>
      </c>
      <c r="O790">
        <f t="shared" si="77"/>
        <v>9.1784511784511782</v>
      </c>
      <c r="P790" t="str">
        <f t="shared" si="73"/>
        <v>Low Stock</v>
      </c>
    </row>
    <row r="791" spans="1:16" hidden="1" x14ac:dyDescent="0.35">
      <c r="A791" s="4">
        <v>46165</v>
      </c>
      <c r="B791" t="s">
        <v>26</v>
      </c>
      <c r="C791" t="s">
        <v>27</v>
      </c>
      <c r="D791" t="s">
        <v>22</v>
      </c>
      <c r="E791" t="s">
        <v>23</v>
      </c>
      <c r="F791">
        <v>357</v>
      </c>
      <c r="G791">
        <v>59</v>
      </c>
      <c r="H791">
        <v>11</v>
      </c>
      <c r="I791">
        <f t="shared" si="74"/>
        <v>405</v>
      </c>
      <c r="J791">
        <v>20</v>
      </c>
      <c r="K791">
        <v>4</v>
      </c>
      <c r="L791" t="str">
        <f t="shared" si="75"/>
        <v>Correct</v>
      </c>
      <c r="M791">
        <f t="shared" si="76"/>
        <v>55.000000000000007</v>
      </c>
      <c r="N791">
        <f t="shared" si="72"/>
        <v>11.566666666666666</v>
      </c>
      <c r="O791">
        <f t="shared" si="77"/>
        <v>35.014409221902021</v>
      </c>
      <c r="P791" t="str">
        <f t="shared" si="73"/>
        <v>Overstock</v>
      </c>
    </row>
    <row r="792" spans="1:16" hidden="1" x14ac:dyDescent="0.35">
      <c r="A792" s="4">
        <v>46165</v>
      </c>
      <c r="B792" t="s">
        <v>28</v>
      </c>
      <c r="C792" t="s">
        <v>29</v>
      </c>
      <c r="D792" t="s">
        <v>14</v>
      </c>
      <c r="E792" t="s">
        <v>15</v>
      </c>
      <c r="F792">
        <v>356</v>
      </c>
      <c r="G792">
        <v>23</v>
      </c>
      <c r="H792">
        <v>14</v>
      </c>
      <c r="I792">
        <f t="shared" si="74"/>
        <v>365</v>
      </c>
      <c r="J792">
        <v>28</v>
      </c>
      <c r="K792">
        <v>2</v>
      </c>
      <c r="L792" t="str">
        <f t="shared" si="75"/>
        <v>Correct</v>
      </c>
      <c r="M792">
        <f t="shared" si="76"/>
        <v>50</v>
      </c>
      <c r="N792">
        <f t="shared" si="72"/>
        <v>22.25</v>
      </c>
      <c r="O792">
        <f t="shared" si="77"/>
        <v>16.40449438202247</v>
      </c>
      <c r="P792" t="str">
        <f t="shared" si="73"/>
        <v>Healthy</v>
      </c>
    </row>
    <row r="793" spans="1:16" hidden="1" x14ac:dyDescent="0.35">
      <c r="A793" s="4">
        <v>46165</v>
      </c>
      <c r="B793" t="s">
        <v>28</v>
      </c>
      <c r="C793" t="s">
        <v>29</v>
      </c>
      <c r="D793" t="s">
        <v>16</v>
      </c>
      <c r="E793" t="s">
        <v>17</v>
      </c>
      <c r="F793">
        <v>419</v>
      </c>
      <c r="G793">
        <v>49</v>
      </c>
      <c r="H793">
        <v>11</v>
      </c>
      <c r="I793">
        <f t="shared" si="74"/>
        <v>457</v>
      </c>
      <c r="J793">
        <v>26</v>
      </c>
      <c r="K793">
        <v>1</v>
      </c>
      <c r="L793" t="str">
        <f t="shared" si="75"/>
        <v>Correct</v>
      </c>
      <c r="M793">
        <f t="shared" si="76"/>
        <v>42.307692307692307</v>
      </c>
      <c r="N793">
        <f t="shared" si="72"/>
        <v>19.96551724137931</v>
      </c>
      <c r="O793">
        <f t="shared" si="77"/>
        <v>22.889464594127809</v>
      </c>
      <c r="P793" t="str">
        <f t="shared" si="73"/>
        <v>Healthy</v>
      </c>
    </row>
    <row r="794" spans="1:16" x14ac:dyDescent="0.35">
      <c r="A794" s="4">
        <v>46165</v>
      </c>
      <c r="B794" t="s">
        <v>28</v>
      </c>
      <c r="C794" t="s">
        <v>29</v>
      </c>
      <c r="D794" t="s">
        <v>18</v>
      </c>
      <c r="E794" t="s">
        <v>19</v>
      </c>
      <c r="F794">
        <v>97</v>
      </c>
      <c r="G794">
        <v>38</v>
      </c>
      <c r="H794">
        <v>47</v>
      </c>
      <c r="I794">
        <f t="shared" si="74"/>
        <v>88</v>
      </c>
      <c r="J794">
        <v>54</v>
      </c>
      <c r="K794">
        <v>5</v>
      </c>
      <c r="L794" t="str">
        <f t="shared" si="75"/>
        <v>Correct</v>
      </c>
      <c r="M794">
        <f t="shared" si="76"/>
        <v>87.037037037037038</v>
      </c>
      <c r="N794">
        <f t="shared" si="72"/>
        <v>31.206896551724139</v>
      </c>
      <c r="O794">
        <f t="shared" si="77"/>
        <v>2.8198895027624307</v>
      </c>
      <c r="P794" t="str">
        <f t="shared" si="73"/>
        <v>Low Stock</v>
      </c>
    </row>
    <row r="795" spans="1:16" hidden="1" x14ac:dyDescent="0.35">
      <c r="A795" s="4">
        <v>46165</v>
      </c>
      <c r="B795" t="s">
        <v>12</v>
      </c>
      <c r="C795" t="s">
        <v>13</v>
      </c>
      <c r="D795" t="s">
        <v>20</v>
      </c>
      <c r="E795" t="s">
        <v>21</v>
      </c>
      <c r="F795">
        <v>5</v>
      </c>
      <c r="G795">
        <v>25</v>
      </c>
      <c r="H795">
        <v>47</v>
      </c>
      <c r="I795">
        <f t="shared" si="74"/>
        <v>-17</v>
      </c>
      <c r="J795">
        <v>58</v>
      </c>
      <c r="K795">
        <v>4</v>
      </c>
      <c r="L795" t="str">
        <f t="shared" si="75"/>
        <v>Need verification</v>
      </c>
      <c r="M795">
        <f t="shared" si="76"/>
        <v>81.034482758620683</v>
      </c>
      <c r="N795">
        <f t="shared" si="72"/>
        <v>34.515151515151516</v>
      </c>
      <c r="O795">
        <f t="shared" si="77"/>
        <v>-0.4925373134328358</v>
      </c>
      <c r="P795" t="str">
        <f t="shared" si="73"/>
        <v>Low Stock</v>
      </c>
    </row>
    <row r="796" spans="1:16" hidden="1" x14ac:dyDescent="0.35">
      <c r="A796" s="4">
        <v>46165</v>
      </c>
      <c r="B796" t="s">
        <v>28</v>
      </c>
      <c r="C796" t="s">
        <v>29</v>
      </c>
      <c r="D796" t="s">
        <v>22</v>
      </c>
      <c r="E796" t="s">
        <v>23</v>
      </c>
      <c r="F796">
        <v>719</v>
      </c>
      <c r="G796">
        <v>13</v>
      </c>
      <c r="H796">
        <v>18</v>
      </c>
      <c r="I796">
        <f t="shared" si="74"/>
        <v>714</v>
      </c>
      <c r="J796">
        <v>32</v>
      </c>
      <c r="K796">
        <v>5</v>
      </c>
      <c r="L796" t="str">
        <f t="shared" si="75"/>
        <v>Correct</v>
      </c>
      <c r="M796">
        <f t="shared" si="76"/>
        <v>56.25</v>
      </c>
      <c r="N796">
        <f t="shared" si="72"/>
        <v>11.678571428571429</v>
      </c>
      <c r="O796">
        <f t="shared" si="77"/>
        <v>61.137614678899084</v>
      </c>
      <c r="P796" t="str">
        <f t="shared" si="73"/>
        <v>Overstock</v>
      </c>
    </row>
    <row r="797" spans="1:16" hidden="1" x14ac:dyDescent="0.35">
      <c r="A797" s="4">
        <v>46165</v>
      </c>
      <c r="B797" t="s">
        <v>31</v>
      </c>
      <c r="C797" t="s">
        <v>32</v>
      </c>
      <c r="D797" t="s">
        <v>14</v>
      </c>
      <c r="E797" t="s">
        <v>15</v>
      </c>
      <c r="F797">
        <v>329</v>
      </c>
      <c r="G797">
        <v>38</v>
      </c>
      <c r="H797">
        <v>15</v>
      </c>
      <c r="I797">
        <f t="shared" si="74"/>
        <v>352</v>
      </c>
      <c r="J797">
        <v>20</v>
      </c>
      <c r="K797">
        <v>4</v>
      </c>
      <c r="L797" t="str">
        <f t="shared" si="75"/>
        <v>Correct</v>
      </c>
      <c r="M797">
        <f t="shared" si="76"/>
        <v>75</v>
      </c>
      <c r="N797">
        <f t="shared" si="72"/>
        <v>20.84375</v>
      </c>
      <c r="O797">
        <f t="shared" si="77"/>
        <v>16.887556221889056</v>
      </c>
      <c r="P797" t="str">
        <f t="shared" si="73"/>
        <v>Healthy</v>
      </c>
    </row>
    <row r="798" spans="1:16" hidden="1" x14ac:dyDescent="0.35">
      <c r="A798" s="4">
        <v>46165</v>
      </c>
      <c r="B798" t="s">
        <v>31</v>
      </c>
      <c r="C798" t="s">
        <v>32</v>
      </c>
      <c r="D798" t="s">
        <v>16</v>
      </c>
      <c r="E798" t="s">
        <v>17</v>
      </c>
      <c r="F798">
        <v>401</v>
      </c>
      <c r="G798">
        <v>13</v>
      </c>
      <c r="H798">
        <v>18</v>
      </c>
      <c r="I798">
        <f t="shared" si="74"/>
        <v>396</v>
      </c>
      <c r="J798">
        <v>32</v>
      </c>
      <c r="K798">
        <v>3</v>
      </c>
      <c r="L798" t="str">
        <f t="shared" si="75"/>
        <v>Correct</v>
      </c>
      <c r="M798">
        <f t="shared" si="76"/>
        <v>56.25</v>
      </c>
      <c r="N798">
        <f t="shared" si="72"/>
        <v>21.46875</v>
      </c>
      <c r="O798">
        <f t="shared" si="77"/>
        <v>18.445414847161572</v>
      </c>
      <c r="P798" t="str">
        <f t="shared" si="73"/>
        <v>Healthy</v>
      </c>
    </row>
    <row r="799" spans="1:16" x14ac:dyDescent="0.35">
      <c r="A799" s="4">
        <v>46165</v>
      </c>
      <c r="B799" t="s">
        <v>31</v>
      </c>
      <c r="C799" t="s">
        <v>32</v>
      </c>
      <c r="D799" t="s">
        <v>18</v>
      </c>
      <c r="E799" t="s">
        <v>19</v>
      </c>
      <c r="F799">
        <v>156</v>
      </c>
      <c r="G799">
        <v>49</v>
      </c>
      <c r="H799">
        <v>24</v>
      </c>
      <c r="I799">
        <f t="shared" si="74"/>
        <v>181</v>
      </c>
      <c r="J799">
        <v>25</v>
      </c>
      <c r="K799">
        <v>1</v>
      </c>
      <c r="L799" t="str">
        <f t="shared" si="75"/>
        <v>Correct</v>
      </c>
      <c r="M799">
        <f t="shared" si="76"/>
        <v>96</v>
      </c>
      <c r="N799">
        <f t="shared" si="72"/>
        <v>30.586206896551722</v>
      </c>
      <c r="O799">
        <f t="shared" si="77"/>
        <v>5.9177001127395723</v>
      </c>
      <c r="P799" t="str">
        <f t="shared" si="73"/>
        <v>Low Stock</v>
      </c>
    </row>
    <row r="800" spans="1:16" hidden="1" x14ac:dyDescent="0.35">
      <c r="A800" s="4">
        <v>46165</v>
      </c>
      <c r="B800" t="s">
        <v>31</v>
      </c>
      <c r="C800" t="s">
        <v>32</v>
      </c>
      <c r="D800" t="s">
        <v>20</v>
      </c>
      <c r="E800" t="s">
        <v>21</v>
      </c>
      <c r="F800">
        <v>69</v>
      </c>
      <c r="G800">
        <v>54</v>
      </c>
      <c r="H800">
        <v>50</v>
      </c>
      <c r="I800">
        <f t="shared" si="74"/>
        <v>73</v>
      </c>
      <c r="J800">
        <v>55</v>
      </c>
      <c r="K800">
        <v>1</v>
      </c>
      <c r="L800" t="str">
        <f t="shared" si="75"/>
        <v>Correct</v>
      </c>
      <c r="M800">
        <f t="shared" si="76"/>
        <v>90.909090909090907</v>
      </c>
      <c r="N800">
        <f t="shared" si="72"/>
        <v>32.299999999999997</v>
      </c>
      <c r="O800">
        <f t="shared" si="77"/>
        <v>2.2600619195046443</v>
      </c>
      <c r="P800" t="str">
        <f t="shared" si="73"/>
        <v>Low Stock</v>
      </c>
    </row>
    <row r="801" spans="1:16" hidden="1" x14ac:dyDescent="0.35">
      <c r="A801" s="4">
        <v>46165</v>
      </c>
      <c r="B801" t="s">
        <v>31</v>
      </c>
      <c r="C801" t="s">
        <v>32</v>
      </c>
      <c r="D801" t="s">
        <v>22</v>
      </c>
      <c r="E801" t="s">
        <v>23</v>
      </c>
      <c r="F801">
        <v>759</v>
      </c>
      <c r="G801">
        <v>15</v>
      </c>
      <c r="H801">
        <v>12</v>
      </c>
      <c r="I801">
        <f t="shared" si="74"/>
        <v>762</v>
      </c>
      <c r="J801">
        <v>15</v>
      </c>
      <c r="K801">
        <v>4</v>
      </c>
      <c r="L801" t="str">
        <f t="shared" si="75"/>
        <v>Correct</v>
      </c>
      <c r="M801">
        <f t="shared" si="76"/>
        <v>80</v>
      </c>
      <c r="N801">
        <f t="shared" si="72"/>
        <v>10.413793103448276</v>
      </c>
      <c r="O801">
        <f t="shared" si="77"/>
        <v>73.172185430463571</v>
      </c>
      <c r="P801" t="str">
        <f t="shared" si="73"/>
        <v>Overstock</v>
      </c>
    </row>
    <row r="802" spans="1:16" hidden="1" x14ac:dyDescent="0.35">
      <c r="A802" s="4">
        <v>46165</v>
      </c>
      <c r="B802" t="s">
        <v>33</v>
      </c>
      <c r="C802" t="s">
        <v>34</v>
      </c>
      <c r="D802" t="s">
        <v>14</v>
      </c>
      <c r="E802" t="s">
        <v>15</v>
      </c>
      <c r="F802">
        <v>226</v>
      </c>
      <c r="G802">
        <v>19</v>
      </c>
      <c r="H802">
        <v>13</v>
      </c>
      <c r="I802">
        <f t="shared" si="74"/>
        <v>232</v>
      </c>
      <c r="J802">
        <v>13</v>
      </c>
      <c r="K802">
        <v>1</v>
      </c>
      <c r="L802" t="str">
        <f t="shared" si="75"/>
        <v>Correct</v>
      </c>
      <c r="M802">
        <f t="shared" si="76"/>
        <v>100</v>
      </c>
      <c r="N802">
        <f t="shared" si="72"/>
        <v>20.70967741935484</v>
      </c>
      <c r="O802">
        <f t="shared" si="77"/>
        <v>11.202492211838006</v>
      </c>
      <c r="P802" t="str">
        <f t="shared" si="73"/>
        <v>Low Stock</v>
      </c>
    </row>
    <row r="803" spans="1:16" hidden="1" x14ac:dyDescent="0.35">
      <c r="A803" s="4">
        <v>46165</v>
      </c>
      <c r="B803" t="s">
        <v>33</v>
      </c>
      <c r="C803" t="s">
        <v>34</v>
      </c>
      <c r="D803" t="s">
        <v>16</v>
      </c>
      <c r="E803" t="s">
        <v>17</v>
      </c>
      <c r="F803">
        <v>200</v>
      </c>
      <c r="G803">
        <v>40</v>
      </c>
      <c r="H803">
        <v>33</v>
      </c>
      <c r="I803">
        <f t="shared" si="74"/>
        <v>207</v>
      </c>
      <c r="J803">
        <v>36</v>
      </c>
      <c r="K803">
        <v>4</v>
      </c>
      <c r="L803" t="str">
        <f t="shared" si="75"/>
        <v>Correct</v>
      </c>
      <c r="M803">
        <f t="shared" si="76"/>
        <v>91.666666666666657</v>
      </c>
      <c r="N803">
        <f t="shared" si="72"/>
        <v>22.142857142857142</v>
      </c>
      <c r="O803">
        <f t="shared" si="77"/>
        <v>9.3483870967741929</v>
      </c>
      <c r="P803" t="str">
        <f t="shared" si="73"/>
        <v>Low Stock</v>
      </c>
    </row>
    <row r="804" spans="1:16" x14ac:dyDescent="0.35">
      <c r="A804" s="4">
        <v>46165</v>
      </c>
      <c r="B804" t="s">
        <v>33</v>
      </c>
      <c r="C804" t="s">
        <v>34</v>
      </c>
      <c r="D804" t="s">
        <v>18</v>
      </c>
      <c r="E804" t="s">
        <v>19</v>
      </c>
      <c r="F804">
        <v>126</v>
      </c>
      <c r="G804">
        <v>25</v>
      </c>
      <c r="H804">
        <v>34</v>
      </c>
      <c r="I804">
        <f t="shared" si="74"/>
        <v>117</v>
      </c>
      <c r="J804">
        <v>0</v>
      </c>
      <c r="K804">
        <v>3</v>
      </c>
      <c r="L804" t="str">
        <f t="shared" si="75"/>
        <v>Correct</v>
      </c>
      <c r="M804">
        <f t="shared" si="76"/>
        <v>0</v>
      </c>
      <c r="N804">
        <f t="shared" si="72"/>
        <v>30.275862068965516</v>
      </c>
      <c r="O804">
        <f t="shared" si="77"/>
        <v>3.8644646924829158</v>
      </c>
      <c r="P804" t="str">
        <f t="shared" si="73"/>
        <v>Low Stock</v>
      </c>
    </row>
    <row r="805" spans="1:16" hidden="1" x14ac:dyDescent="0.35">
      <c r="A805" s="4">
        <v>46165</v>
      </c>
      <c r="B805" t="s">
        <v>33</v>
      </c>
      <c r="C805" t="s">
        <v>34</v>
      </c>
      <c r="D805" t="s">
        <v>20</v>
      </c>
      <c r="E805" t="s">
        <v>21</v>
      </c>
      <c r="F805">
        <v>309</v>
      </c>
      <c r="G805">
        <v>27</v>
      </c>
      <c r="H805">
        <v>40</v>
      </c>
      <c r="I805">
        <f t="shared" si="74"/>
        <v>296</v>
      </c>
      <c r="J805">
        <v>49</v>
      </c>
      <c r="K805">
        <v>4</v>
      </c>
      <c r="L805" t="str">
        <f t="shared" si="75"/>
        <v>Correct</v>
      </c>
      <c r="M805">
        <f t="shared" si="76"/>
        <v>81.632653061224488</v>
      </c>
      <c r="N805">
        <f t="shared" si="72"/>
        <v>30.931034482758619</v>
      </c>
      <c r="O805">
        <f t="shared" si="77"/>
        <v>9.5696767001114829</v>
      </c>
      <c r="P805" t="str">
        <f t="shared" si="73"/>
        <v>Low Stock</v>
      </c>
    </row>
    <row r="806" spans="1:16" hidden="1" x14ac:dyDescent="0.35">
      <c r="A806" s="4">
        <v>46165</v>
      </c>
      <c r="B806" t="s">
        <v>33</v>
      </c>
      <c r="C806" t="s">
        <v>34</v>
      </c>
      <c r="D806" t="s">
        <v>22</v>
      </c>
      <c r="E806" t="s">
        <v>23</v>
      </c>
      <c r="F806">
        <v>502</v>
      </c>
      <c r="G806">
        <v>39</v>
      </c>
      <c r="H806">
        <v>15</v>
      </c>
      <c r="I806">
        <f t="shared" si="74"/>
        <v>526</v>
      </c>
      <c r="J806">
        <v>22</v>
      </c>
      <c r="K806">
        <v>1</v>
      </c>
      <c r="L806" t="str">
        <f t="shared" si="75"/>
        <v>Correct</v>
      </c>
      <c r="M806">
        <f t="shared" si="76"/>
        <v>68.181818181818173</v>
      </c>
      <c r="N806">
        <f t="shared" si="72"/>
        <v>10.25</v>
      </c>
      <c r="O806">
        <f t="shared" si="77"/>
        <v>51.31707317073171</v>
      </c>
      <c r="P806" t="str">
        <f t="shared" si="73"/>
        <v>Overstock</v>
      </c>
    </row>
    <row r="807" spans="1:16" hidden="1" x14ac:dyDescent="0.35">
      <c r="A807" s="4">
        <v>46166</v>
      </c>
      <c r="B807" t="s">
        <v>12</v>
      </c>
      <c r="C807" t="s">
        <v>13</v>
      </c>
      <c r="D807" t="s">
        <v>14</v>
      </c>
      <c r="E807" t="s">
        <v>15</v>
      </c>
      <c r="F807">
        <v>568</v>
      </c>
      <c r="G807">
        <v>7</v>
      </c>
      <c r="H807">
        <v>19</v>
      </c>
      <c r="I807">
        <f t="shared" si="74"/>
        <v>556</v>
      </c>
      <c r="J807">
        <v>20</v>
      </c>
      <c r="K807">
        <v>5</v>
      </c>
      <c r="L807" t="str">
        <f t="shared" si="75"/>
        <v>Correct</v>
      </c>
      <c r="M807">
        <f t="shared" si="76"/>
        <v>95</v>
      </c>
      <c r="N807">
        <f t="shared" si="72"/>
        <v>21.666666666666668</v>
      </c>
      <c r="O807">
        <f t="shared" si="77"/>
        <v>25.661538461538459</v>
      </c>
      <c r="P807" t="str">
        <f t="shared" si="73"/>
        <v>Healthy</v>
      </c>
    </row>
    <row r="808" spans="1:16" hidden="1" x14ac:dyDescent="0.35">
      <c r="A808" s="4">
        <v>46166</v>
      </c>
      <c r="B808" t="s">
        <v>12</v>
      </c>
      <c r="C808" t="s">
        <v>13</v>
      </c>
      <c r="D808" t="s">
        <v>16</v>
      </c>
      <c r="E808" t="s">
        <v>17</v>
      </c>
      <c r="F808">
        <v>328</v>
      </c>
      <c r="G808">
        <v>7</v>
      </c>
      <c r="H808">
        <v>25</v>
      </c>
      <c r="I808">
        <f t="shared" si="74"/>
        <v>310</v>
      </c>
      <c r="J808">
        <v>30</v>
      </c>
      <c r="K808">
        <v>5</v>
      </c>
      <c r="L808" t="str">
        <f t="shared" si="75"/>
        <v>Correct</v>
      </c>
      <c r="M808">
        <f t="shared" si="76"/>
        <v>83.333333333333343</v>
      </c>
      <c r="N808">
        <f t="shared" si="72"/>
        <v>20.030303030303031</v>
      </c>
      <c r="O808">
        <f t="shared" si="77"/>
        <v>15.476550680786687</v>
      </c>
      <c r="P808" t="str">
        <f t="shared" si="73"/>
        <v>Healthy</v>
      </c>
    </row>
    <row r="809" spans="1:16" x14ac:dyDescent="0.35">
      <c r="A809" s="4">
        <v>46166</v>
      </c>
      <c r="B809" t="s">
        <v>12</v>
      </c>
      <c r="C809" t="s">
        <v>13</v>
      </c>
      <c r="D809" t="s">
        <v>18</v>
      </c>
      <c r="E809" t="s">
        <v>19</v>
      </c>
      <c r="F809">
        <v>132</v>
      </c>
      <c r="G809">
        <v>26</v>
      </c>
      <c r="H809">
        <v>18</v>
      </c>
      <c r="I809">
        <f t="shared" si="74"/>
        <v>140</v>
      </c>
      <c r="J809">
        <v>32</v>
      </c>
      <c r="K809">
        <v>3</v>
      </c>
      <c r="L809" t="str">
        <f t="shared" si="75"/>
        <v>Correct</v>
      </c>
      <c r="M809">
        <f t="shared" si="76"/>
        <v>56.25</v>
      </c>
      <c r="N809">
        <f t="shared" si="72"/>
        <v>33.34375</v>
      </c>
      <c r="O809">
        <f t="shared" si="77"/>
        <v>4.1986879100281165</v>
      </c>
      <c r="P809" t="str">
        <f t="shared" si="73"/>
        <v>Low Stock</v>
      </c>
    </row>
    <row r="810" spans="1:16" hidden="1" x14ac:dyDescent="0.35">
      <c r="A810" s="4">
        <v>46166</v>
      </c>
      <c r="B810" t="s">
        <v>12</v>
      </c>
      <c r="C810" t="s">
        <v>13</v>
      </c>
      <c r="D810" t="s">
        <v>20</v>
      </c>
      <c r="E810" t="s">
        <v>21</v>
      </c>
      <c r="F810">
        <v>32</v>
      </c>
      <c r="G810">
        <v>2</v>
      </c>
      <c r="H810">
        <v>17</v>
      </c>
      <c r="I810">
        <f t="shared" si="74"/>
        <v>17</v>
      </c>
      <c r="J810">
        <v>23</v>
      </c>
      <c r="K810">
        <v>2</v>
      </c>
      <c r="L810" t="str">
        <f t="shared" si="75"/>
        <v>Correct</v>
      </c>
      <c r="M810">
        <f t="shared" si="76"/>
        <v>73.91304347826086</v>
      </c>
      <c r="N810">
        <f t="shared" si="72"/>
        <v>34.515151515151516</v>
      </c>
      <c r="O810">
        <f t="shared" si="77"/>
        <v>0.4925373134328358</v>
      </c>
      <c r="P810" t="str">
        <f t="shared" si="73"/>
        <v>Low Stock</v>
      </c>
    </row>
    <row r="811" spans="1:16" hidden="1" x14ac:dyDescent="0.35">
      <c r="A811" s="4">
        <v>46166</v>
      </c>
      <c r="B811" t="s">
        <v>12</v>
      </c>
      <c r="C811" t="s">
        <v>13</v>
      </c>
      <c r="D811" t="s">
        <v>22</v>
      </c>
      <c r="E811" t="s">
        <v>23</v>
      </c>
      <c r="F811">
        <v>492</v>
      </c>
      <c r="G811">
        <v>35</v>
      </c>
      <c r="H811">
        <v>4</v>
      </c>
      <c r="I811">
        <f t="shared" si="74"/>
        <v>523</v>
      </c>
      <c r="J811">
        <v>8</v>
      </c>
      <c r="K811">
        <v>3</v>
      </c>
      <c r="L811" t="str">
        <f t="shared" si="75"/>
        <v>Correct</v>
      </c>
      <c r="M811">
        <f t="shared" si="76"/>
        <v>50</v>
      </c>
      <c r="N811">
        <f t="shared" si="72"/>
        <v>9.9032258064516121</v>
      </c>
      <c r="O811">
        <f t="shared" si="77"/>
        <v>52.811074918566781</v>
      </c>
      <c r="P811" t="str">
        <f t="shared" si="73"/>
        <v>Overstock</v>
      </c>
    </row>
    <row r="812" spans="1:16" hidden="1" x14ac:dyDescent="0.35">
      <c r="A812" s="4">
        <v>46166</v>
      </c>
      <c r="B812" t="s">
        <v>12</v>
      </c>
      <c r="C812" t="s">
        <v>24</v>
      </c>
      <c r="D812" t="s">
        <v>14</v>
      </c>
      <c r="E812" t="s">
        <v>15</v>
      </c>
      <c r="F812">
        <v>297</v>
      </c>
      <c r="G812">
        <v>40</v>
      </c>
      <c r="H812">
        <v>28</v>
      </c>
      <c r="I812">
        <f t="shared" si="74"/>
        <v>309</v>
      </c>
      <c r="J812">
        <v>30</v>
      </c>
      <c r="K812">
        <v>2</v>
      </c>
      <c r="L812" t="str">
        <f t="shared" si="75"/>
        <v>Correct</v>
      </c>
      <c r="M812">
        <f t="shared" si="76"/>
        <v>93.333333333333329</v>
      </c>
      <c r="N812">
        <f t="shared" si="72"/>
        <v>21.35483870967742</v>
      </c>
      <c r="O812">
        <f t="shared" si="77"/>
        <v>14.469788519637461</v>
      </c>
      <c r="P812" t="str">
        <f t="shared" si="73"/>
        <v>Low Stock</v>
      </c>
    </row>
    <row r="813" spans="1:16" hidden="1" x14ac:dyDescent="0.35">
      <c r="A813" s="4">
        <v>46166</v>
      </c>
      <c r="B813" t="s">
        <v>12</v>
      </c>
      <c r="C813" t="s">
        <v>24</v>
      </c>
      <c r="D813" t="s">
        <v>16</v>
      </c>
      <c r="E813" t="s">
        <v>17</v>
      </c>
      <c r="F813">
        <v>216</v>
      </c>
      <c r="G813">
        <v>35</v>
      </c>
      <c r="H813">
        <v>16</v>
      </c>
      <c r="I813">
        <f t="shared" si="74"/>
        <v>235</v>
      </c>
      <c r="J813">
        <v>20</v>
      </c>
      <c r="K813">
        <v>4</v>
      </c>
      <c r="L813" t="str">
        <f t="shared" si="75"/>
        <v>Correct</v>
      </c>
      <c r="M813">
        <f t="shared" si="76"/>
        <v>80</v>
      </c>
      <c r="N813">
        <f t="shared" si="72"/>
        <v>21.9</v>
      </c>
      <c r="O813">
        <f t="shared" si="77"/>
        <v>10.730593607305936</v>
      </c>
      <c r="P813" t="str">
        <f t="shared" si="73"/>
        <v>Low Stock</v>
      </c>
    </row>
    <row r="814" spans="1:16" hidden="1" x14ac:dyDescent="0.35">
      <c r="A814" s="4">
        <v>46166</v>
      </c>
      <c r="B814" t="s">
        <v>12</v>
      </c>
      <c r="C814" t="s">
        <v>24</v>
      </c>
      <c r="D814" t="s">
        <v>14</v>
      </c>
      <c r="E814" t="s">
        <v>15</v>
      </c>
      <c r="F814">
        <v>138</v>
      </c>
      <c r="G814">
        <v>47</v>
      </c>
      <c r="H814">
        <v>20</v>
      </c>
      <c r="I814">
        <f t="shared" si="74"/>
        <v>165</v>
      </c>
      <c r="J814">
        <v>35</v>
      </c>
      <c r="K814">
        <v>1</v>
      </c>
      <c r="L814" t="str">
        <f t="shared" si="75"/>
        <v>Correct</v>
      </c>
      <c r="M814">
        <f t="shared" si="76"/>
        <v>57.142857142857139</v>
      </c>
      <c r="N814">
        <f t="shared" si="72"/>
        <v>21.35483870967742</v>
      </c>
      <c r="O814">
        <f t="shared" si="77"/>
        <v>7.7265861027190335</v>
      </c>
      <c r="P814" t="str">
        <f t="shared" si="73"/>
        <v>Low Stock</v>
      </c>
    </row>
    <row r="815" spans="1:16" hidden="1" x14ac:dyDescent="0.35">
      <c r="A815" s="4">
        <v>46166</v>
      </c>
      <c r="B815" t="s">
        <v>12</v>
      </c>
      <c r="C815" t="s">
        <v>24</v>
      </c>
      <c r="D815" t="s">
        <v>20</v>
      </c>
      <c r="E815" t="s">
        <v>21</v>
      </c>
      <c r="F815">
        <v>22</v>
      </c>
      <c r="G815">
        <v>36</v>
      </c>
      <c r="H815">
        <v>47</v>
      </c>
      <c r="I815">
        <f t="shared" si="74"/>
        <v>11</v>
      </c>
      <c r="J815">
        <v>54</v>
      </c>
      <c r="K815">
        <v>1</v>
      </c>
      <c r="L815" t="str">
        <f t="shared" si="75"/>
        <v>Correct</v>
      </c>
      <c r="M815">
        <f t="shared" si="76"/>
        <v>87.037037037037038</v>
      </c>
      <c r="N815">
        <f t="shared" si="72"/>
        <v>34.200000000000003</v>
      </c>
      <c r="O815">
        <f t="shared" si="77"/>
        <v>0.32163742690058478</v>
      </c>
      <c r="P815" t="str">
        <f t="shared" si="73"/>
        <v>Low Stock</v>
      </c>
    </row>
    <row r="816" spans="1:16" hidden="1" x14ac:dyDescent="0.35">
      <c r="A816" s="4">
        <v>46166</v>
      </c>
      <c r="B816" t="s">
        <v>12</v>
      </c>
      <c r="C816" t="s">
        <v>24</v>
      </c>
      <c r="D816" t="s">
        <v>22</v>
      </c>
      <c r="E816" t="s">
        <v>23</v>
      </c>
      <c r="F816">
        <v>512</v>
      </c>
      <c r="G816">
        <v>32</v>
      </c>
      <c r="H816">
        <v>6</v>
      </c>
      <c r="I816">
        <f t="shared" si="74"/>
        <v>538</v>
      </c>
      <c r="J816">
        <v>13</v>
      </c>
      <c r="K816">
        <v>1</v>
      </c>
      <c r="L816" t="str">
        <f t="shared" si="75"/>
        <v>Correct</v>
      </c>
      <c r="M816">
        <f t="shared" si="76"/>
        <v>46.153846153846153</v>
      </c>
      <c r="N816">
        <f t="shared" si="72"/>
        <v>10.96551724137931</v>
      </c>
      <c r="O816">
        <f t="shared" si="77"/>
        <v>49.062893081761011</v>
      </c>
      <c r="P816" t="str">
        <f t="shared" si="73"/>
        <v>Overstock</v>
      </c>
    </row>
    <row r="817" spans="1:16" hidden="1" x14ac:dyDescent="0.35">
      <c r="A817" s="4">
        <v>46166</v>
      </c>
      <c r="B817" t="s">
        <v>12</v>
      </c>
      <c r="C817" t="s">
        <v>25</v>
      </c>
      <c r="D817" t="s">
        <v>14</v>
      </c>
      <c r="E817" t="s">
        <v>15</v>
      </c>
      <c r="F817">
        <v>285</v>
      </c>
      <c r="G817">
        <v>13</v>
      </c>
      <c r="H817">
        <v>10</v>
      </c>
      <c r="I817">
        <f t="shared" si="74"/>
        <v>288</v>
      </c>
      <c r="J817">
        <v>22</v>
      </c>
      <c r="K817">
        <v>4</v>
      </c>
      <c r="L817" t="str">
        <f t="shared" si="75"/>
        <v>Correct</v>
      </c>
      <c r="M817">
        <f t="shared" si="76"/>
        <v>45.454545454545453</v>
      </c>
      <c r="N817">
        <f t="shared" si="72"/>
        <v>20.7</v>
      </c>
      <c r="O817">
        <f t="shared" si="77"/>
        <v>13.913043478260869</v>
      </c>
      <c r="P817" t="str">
        <f t="shared" si="73"/>
        <v>Low Stock</v>
      </c>
    </row>
    <row r="818" spans="1:16" hidden="1" x14ac:dyDescent="0.35">
      <c r="A818" s="4">
        <v>46166</v>
      </c>
      <c r="B818" t="s">
        <v>12</v>
      </c>
      <c r="C818" t="s">
        <v>25</v>
      </c>
      <c r="D818" t="s">
        <v>16</v>
      </c>
      <c r="E818" t="s">
        <v>17</v>
      </c>
      <c r="F818">
        <v>246</v>
      </c>
      <c r="G818">
        <v>21</v>
      </c>
      <c r="H818">
        <v>30</v>
      </c>
      <c r="I818">
        <f t="shared" si="74"/>
        <v>237</v>
      </c>
      <c r="J818">
        <v>28</v>
      </c>
      <c r="K818">
        <v>3</v>
      </c>
      <c r="L818" t="str">
        <f t="shared" si="75"/>
        <v>Correct</v>
      </c>
      <c r="M818">
        <f t="shared" si="76"/>
        <v>107.14285714285714</v>
      </c>
      <c r="N818">
        <f t="shared" si="72"/>
        <v>23.758620689655171</v>
      </c>
      <c r="O818">
        <f t="shared" si="77"/>
        <v>9.9753265602322205</v>
      </c>
      <c r="P818" t="str">
        <f t="shared" si="73"/>
        <v>Low Stock</v>
      </c>
    </row>
    <row r="819" spans="1:16" x14ac:dyDescent="0.35">
      <c r="A819" s="4">
        <v>46166</v>
      </c>
      <c r="B819" t="s">
        <v>12</v>
      </c>
      <c r="C819" t="s">
        <v>25</v>
      </c>
      <c r="D819" t="s">
        <v>18</v>
      </c>
      <c r="E819" t="s">
        <v>19</v>
      </c>
      <c r="F819">
        <v>82</v>
      </c>
      <c r="G819">
        <v>33</v>
      </c>
      <c r="H819">
        <v>49</v>
      </c>
      <c r="I819">
        <f t="shared" si="74"/>
        <v>66</v>
      </c>
      <c r="J819">
        <v>57</v>
      </c>
      <c r="K819">
        <v>1</v>
      </c>
      <c r="L819" t="str">
        <f t="shared" si="75"/>
        <v>Correct</v>
      </c>
      <c r="M819">
        <f t="shared" si="76"/>
        <v>85.964912280701753</v>
      </c>
      <c r="N819">
        <f t="shared" si="72"/>
        <v>31.142857142857142</v>
      </c>
      <c r="O819">
        <f t="shared" si="77"/>
        <v>2.1192660550458715</v>
      </c>
      <c r="P819" t="str">
        <f t="shared" si="73"/>
        <v>Low Stock</v>
      </c>
    </row>
    <row r="820" spans="1:16" hidden="1" x14ac:dyDescent="0.35">
      <c r="A820" s="4">
        <v>46166</v>
      </c>
      <c r="B820" t="s">
        <v>12</v>
      </c>
      <c r="C820" t="s">
        <v>25</v>
      </c>
      <c r="D820" t="s">
        <v>20</v>
      </c>
      <c r="E820" t="s">
        <v>21</v>
      </c>
      <c r="F820">
        <v>140</v>
      </c>
      <c r="G820">
        <v>21</v>
      </c>
      <c r="H820">
        <v>17</v>
      </c>
      <c r="I820">
        <f t="shared" si="74"/>
        <v>144</v>
      </c>
      <c r="J820">
        <v>31</v>
      </c>
      <c r="K820">
        <v>5</v>
      </c>
      <c r="L820" t="str">
        <f t="shared" si="75"/>
        <v>Correct</v>
      </c>
      <c r="M820">
        <f t="shared" si="76"/>
        <v>54.838709677419352</v>
      </c>
      <c r="N820">
        <f t="shared" si="72"/>
        <v>31.137931034482758</v>
      </c>
      <c r="O820">
        <f t="shared" si="77"/>
        <v>4.6245847176079735</v>
      </c>
      <c r="P820" t="str">
        <f t="shared" si="73"/>
        <v>Low Stock</v>
      </c>
    </row>
    <row r="821" spans="1:16" hidden="1" x14ac:dyDescent="0.35">
      <c r="A821" s="4">
        <v>46166</v>
      </c>
      <c r="B821" t="s">
        <v>12</v>
      </c>
      <c r="C821" t="s">
        <v>25</v>
      </c>
      <c r="D821" t="s">
        <v>22</v>
      </c>
      <c r="E821" t="s">
        <v>23</v>
      </c>
      <c r="F821">
        <v>612</v>
      </c>
      <c r="G821">
        <v>36</v>
      </c>
      <c r="H821">
        <v>9</v>
      </c>
      <c r="I821">
        <f t="shared" si="74"/>
        <v>639</v>
      </c>
      <c r="J821">
        <v>24</v>
      </c>
      <c r="K821">
        <v>4</v>
      </c>
      <c r="L821" t="str">
        <f t="shared" si="75"/>
        <v>Correct</v>
      </c>
      <c r="M821">
        <f t="shared" si="76"/>
        <v>37.5</v>
      </c>
      <c r="N821">
        <f t="shared" si="72"/>
        <v>11.3</v>
      </c>
      <c r="O821">
        <f t="shared" si="77"/>
        <v>56.548672566371678</v>
      </c>
      <c r="P821" t="str">
        <f t="shared" si="73"/>
        <v>Overstock</v>
      </c>
    </row>
    <row r="822" spans="1:16" hidden="1" x14ac:dyDescent="0.35">
      <c r="A822" s="4">
        <v>46166</v>
      </c>
      <c r="B822" t="s">
        <v>26</v>
      </c>
      <c r="C822" t="s">
        <v>27</v>
      </c>
      <c r="D822" t="s">
        <v>14</v>
      </c>
      <c r="E822" t="s">
        <v>15</v>
      </c>
      <c r="F822">
        <v>567</v>
      </c>
      <c r="G822">
        <v>26</v>
      </c>
      <c r="H822">
        <v>21</v>
      </c>
      <c r="I822">
        <f t="shared" si="74"/>
        <v>572</v>
      </c>
      <c r="J822">
        <v>31</v>
      </c>
      <c r="K822">
        <v>4</v>
      </c>
      <c r="L822" t="str">
        <f t="shared" si="75"/>
        <v>Correct</v>
      </c>
      <c r="M822">
        <f t="shared" si="76"/>
        <v>67.741935483870961</v>
      </c>
      <c r="N822">
        <f t="shared" si="72"/>
        <v>22.258064516129032</v>
      </c>
      <c r="O822">
        <f t="shared" si="77"/>
        <v>25.698550724637681</v>
      </c>
      <c r="P822" t="str">
        <f t="shared" si="73"/>
        <v>Healthy</v>
      </c>
    </row>
    <row r="823" spans="1:16" hidden="1" x14ac:dyDescent="0.35">
      <c r="A823" s="4">
        <v>46166</v>
      </c>
      <c r="B823" t="s">
        <v>26</v>
      </c>
      <c r="C823" t="s">
        <v>27</v>
      </c>
      <c r="D823" t="s">
        <v>16</v>
      </c>
      <c r="E823" t="s">
        <v>17</v>
      </c>
      <c r="F823">
        <v>410</v>
      </c>
      <c r="G823">
        <v>20</v>
      </c>
      <c r="H823">
        <v>9</v>
      </c>
      <c r="I823">
        <f t="shared" si="74"/>
        <v>421</v>
      </c>
      <c r="J823">
        <v>18</v>
      </c>
      <c r="K823">
        <v>1</v>
      </c>
      <c r="L823" t="str">
        <f t="shared" si="75"/>
        <v>Correct</v>
      </c>
      <c r="M823">
        <f t="shared" si="76"/>
        <v>50</v>
      </c>
      <c r="N823">
        <f t="shared" si="72"/>
        <v>20.172413793103448</v>
      </c>
      <c r="O823">
        <f t="shared" si="77"/>
        <v>20.870085470085471</v>
      </c>
      <c r="P823" t="str">
        <f t="shared" si="73"/>
        <v>Healthy</v>
      </c>
    </row>
    <row r="824" spans="1:16" x14ac:dyDescent="0.35">
      <c r="A824" s="4">
        <v>46166</v>
      </c>
      <c r="B824" t="s">
        <v>26</v>
      </c>
      <c r="C824" t="s">
        <v>27</v>
      </c>
      <c r="D824" t="s">
        <v>18</v>
      </c>
      <c r="E824" t="s">
        <v>19</v>
      </c>
      <c r="F824">
        <v>81</v>
      </c>
      <c r="G824">
        <v>4</v>
      </c>
      <c r="H824">
        <v>16</v>
      </c>
      <c r="I824">
        <f t="shared" si="74"/>
        <v>69</v>
      </c>
      <c r="J824">
        <v>30</v>
      </c>
      <c r="K824">
        <v>5</v>
      </c>
      <c r="L824" t="str">
        <f t="shared" si="75"/>
        <v>Correct</v>
      </c>
      <c r="M824">
        <f t="shared" si="76"/>
        <v>53.333333333333336</v>
      </c>
      <c r="N824">
        <f t="shared" si="72"/>
        <v>29.733333333333334</v>
      </c>
      <c r="O824">
        <f t="shared" si="77"/>
        <v>2.3206278026905829</v>
      </c>
      <c r="P824" t="str">
        <f t="shared" si="73"/>
        <v>Low Stock</v>
      </c>
    </row>
    <row r="825" spans="1:16" hidden="1" x14ac:dyDescent="0.35">
      <c r="A825" s="4">
        <v>46166</v>
      </c>
      <c r="B825" t="s">
        <v>26</v>
      </c>
      <c r="C825" t="s">
        <v>27</v>
      </c>
      <c r="D825" t="s">
        <v>20</v>
      </c>
      <c r="E825" t="s">
        <v>21</v>
      </c>
      <c r="F825">
        <v>282</v>
      </c>
      <c r="G825">
        <v>6</v>
      </c>
      <c r="H825">
        <v>18</v>
      </c>
      <c r="I825">
        <f t="shared" si="74"/>
        <v>270</v>
      </c>
      <c r="J825">
        <v>19</v>
      </c>
      <c r="K825">
        <v>4</v>
      </c>
      <c r="L825" t="str">
        <f t="shared" si="75"/>
        <v>Correct</v>
      </c>
      <c r="M825">
        <f t="shared" si="76"/>
        <v>94.73684210526315</v>
      </c>
      <c r="N825">
        <f t="shared" si="72"/>
        <v>30.724137931034484</v>
      </c>
      <c r="O825">
        <f t="shared" si="77"/>
        <v>8.7878787878787872</v>
      </c>
      <c r="P825" t="str">
        <f t="shared" si="73"/>
        <v>Low Stock</v>
      </c>
    </row>
    <row r="826" spans="1:16" hidden="1" x14ac:dyDescent="0.35">
      <c r="A826" s="4">
        <v>46166</v>
      </c>
      <c r="B826" t="s">
        <v>26</v>
      </c>
      <c r="C826" t="s">
        <v>27</v>
      </c>
      <c r="D826" t="s">
        <v>22</v>
      </c>
      <c r="E826" t="s">
        <v>23</v>
      </c>
      <c r="F826">
        <v>405</v>
      </c>
      <c r="G826">
        <v>28</v>
      </c>
      <c r="H826">
        <v>4</v>
      </c>
      <c r="I826">
        <f t="shared" si="74"/>
        <v>429</v>
      </c>
      <c r="J826">
        <v>13</v>
      </c>
      <c r="K826">
        <v>3</v>
      </c>
      <c r="L826" t="str">
        <f t="shared" si="75"/>
        <v>Correct</v>
      </c>
      <c r="M826">
        <f t="shared" si="76"/>
        <v>30.76923076923077</v>
      </c>
      <c r="N826">
        <f t="shared" si="72"/>
        <v>11.566666666666666</v>
      </c>
      <c r="O826">
        <f t="shared" si="77"/>
        <v>37.089337175792508</v>
      </c>
      <c r="P826" t="str">
        <f t="shared" si="73"/>
        <v>Overstock</v>
      </c>
    </row>
    <row r="827" spans="1:16" hidden="1" x14ac:dyDescent="0.35">
      <c r="A827" s="4">
        <v>46166</v>
      </c>
      <c r="B827" t="s">
        <v>28</v>
      </c>
      <c r="C827" t="s">
        <v>29</v>
      </c>
      <c r="D827" t="s">
        <v>14</v>
      </c>
      <c r="E827" t="s">
        <v>15</v>
      </c>
      <c r="F827">
        <v>365</v>
      </c>
      <c r="G827">
        <v>52</v>
      </c>
      <c r="H827">
        <v>30</v>
      </c>
      <c r="I827">
        <f t="shared" si="74"/>
        <v>387</v>
      </c>
      <c r="J827">
        <v>31</v>
      </c>
      <c r="K827">
        <v>2</v>
      </c>
      <c r="L827" t="str">
        <f t="shared" si="75"/>
        <v>Correct</v>
      </c>
      <c r="M827">
        <f t="shared" si="76"/>
        <v>96.774193548387103</v>
      </c>
      <c r="N827">
        <f t="shared" si="72"/>
        <v>22.25</v>
      </c>
      <c r="O827">
        <f t="shared" si="77"/>
        <v>17.393258426966291</v>
      </c>
      <c r="P827" t="str">
        <f t="shared" si="73"/>
        <v>Healthy</v>
      </c>
    </row>
    <row r="828" spans="1:16" hidden="1" x14ac:dyDescent="0.35">
      <c r="A828" s="4">
        <v>46166</v>
      </c>
      <c r="B828" t="s">
        <v>28</v>
      </c>
      <c r="C828" t="s">
        <v>29</v>
      </c>
      <c r="D828" t="s">
        <v>16</v>
      </c>
      <c r="E828" t="s">
        <v>17</v>
      </c>
      <c r="F828">
        <v>457</v>
      </c>
      <c r="G828">
        <v>12</v>
      </c>
      <c r="H828">
        <v>24</v>
      </c>
      <c r="I828">
        <f t="shared" si="74"/>
        <v>445</v>
      </c>
      <c r="J828">
        <v>29</v>
      </c>
      <c r="K828">
        <v>1</v>
      </c>
      <c r="L828" t="str">
        <f t="shared" si="75"/>
        <v>Correct</v>
      </c>
      <c r="M828">
        <f t="shared" si="76"/>
        <v>82.758620689655174</v>
      </c>
      <c r="N828">
        <f t="shared" si="72"/>
        <v>19.96551724137931</v>
      </c>
      <c r="O828">
        <f t="shared" si="77"/>
        <v>22.288428324697755</v>
      </c>
      <c r="P828" t="str">
        <f t="shared" si="73"/>
        <v>Healthy</v>
      </c>
    </row>
    <row r="829" spans="1:16" x14ac:dyDescent="0.35">
      <c r="A829" s="4">
        <v>46166</v>
      </c>
      <c r="B829" t="s">
        <v>28</v>
      </c>
      <c r="C829" t="s">
        <v>29</v>
      </c>
      <c r="D829" t="s">
        <v>18</v>
      </c>
      <c r="E829" t="s">
        <v>19</v>
      </c>
      <c r="F829">
        <v>88</v>
      </c>
      <c r="G829">
        <v>5</v>
      </c>
      <c r="H829">
        <v>15</v>
      </c>
      <c r="I829">
        <f t="shared" si="74"/>
        <v>78</v>
      </c>
      <c r="J829">
        <v>28</v>
      </c>
      <c r="K829">
        <v>1</v>
      </c>
      <c r="L829" t="str">
        <f t="shared" si="75"/>
        <v>Correct</v>
      </c>
      <c r="M829">
        <f t="shared" si="76"/>
        <v>53.571428571428569</v>
      </c>
      <c r="N829">
        <f t="shared" si="72"/>
        <v>31.206896551724139</v>
      </c>
      <c r="O829">
        <f t="shared" si="77"/>
        <v>2.4994475138121546</v>
      </c>
      <c r="P829" t="str">
        <f t="shared" si="73"/>
        <v>Low Stock</v>
      </c>
    </row>
    <row r="830" spans="1:16" hidden="1" x14ac:dyDescent="0.35">
      <c r="A830" s="4">
        <v>46166</v>
      </c>
      <c r="B830" t="s">
        <v>28</v>
      </c>
      <c r="C830" t="s">
        <v>29</v>
      </c>
      <c r="D830" t="s">
        <v>20</v>
      </c>
      <c r="E830" t="s">
        <v>21</v>
      </c>
      <c r="F830">
        <v>15</v>
      </c>
      <c r="G830">
        <v>53</v>
      </c>
      <c r="H830">
        <v>46</v>
      </c>
      <c r="I830">
        <f t="shared" si="74"/>
        <v>22</v>
      </c>
      <c r="J830">
        <v>47</v>
      </c>
      <c r="K830">
        <v>5</v>
      </c>
      <c r="L830" t="str">
        <f t="shared" si="75"/>
        <v>Correct</v>
      </c>
      <c r="M830">
        <f t="shared" si="76"/>
        <v>97.872340425531917</v>
      </c>
      <c r="N830">
        <f t="shared" si="72"/>
        <v>32.620689655172413</v>
      </c>
      <c r="O830">
        <f t="shared" si="77"/>
        <v>0.67441860465116277</v>
      </c>
      <c r="P830" t="str">
        <f t="shared" si="73"/>
        <v>Low Stock</v>
      </c>
    </row>
    <row r="831" spans="1:16" hidden="1" x14ac:dyDescent="0.35">
      <c r="A831" s="4">
        <v>46166</v>
      </c>
      <c r="B831" t="s">
        <v>28</v>
      </c>
      <c r="C831" t="s">
        <v>29</v>
      </c>
      <c r="D831" t="s">
        <v>22</v>
      </c>
      <c r="E831" t="s">
        <v>23</v>
      </c>
      <c r="F831">
        <v>714</v>
      </c>
      <c r="G831">
        <v>53</v>
      </c>
      <c r="H831">
        <v>11</v>
      </c>
      <c r="I831">
        <f t="shared" si="74"/>
        <v>756</v>
      </c>
      <c r="J831">
        <v>19</v>
      </c>
      <c r="K831">
        <v>3</v>
      </c>
      <c r="L831" t="str">
        <f t="shared" si="75"/>
        <v>Correct</v>
      </c>
      <c r="M831">
        <f t="shared" si="76"/>
        <v>57.894736842105267</v>
      </c>
      <c r="N831">
        <f t="shared" si="72"/>
        <v>11.678571428571429</v>
      </c>
      <c r="O831">
        <f t="shared" si="77"/>
        <v>64.733944954128432</v>
      </c>
      <c r="P831" t="str">
        <f t="shared" si="73"/>
        <v>Overstock</v>
      </c>
    </row>
    <row r="832" spans="1:16" hidden="1" x14ac:dyDescent="0.35">
      <c r="A832" s="4">
        <v>46166</v>
      </c>
      <c r="B832" t="s">
        <v>31</v>
      </c>
      <c r="C832" t="s">
        <v>32</v>
      </c>
      <c r="D832" t="s">
        <v>14</v>
      </c>
      <c r="E832" t="s">
        <v>15</v>
      </c>
      <c r="F832">
        <v>352</v>
      </c>
      <c r="G832">
        <v>41</v>
      </c>
      <c r="H832">
        <v>19</v>
      </c>
      <c r="I832">
        <f t="shared" si="74"/>
        <v>374</v>
      </c>
      <c r="J832">
        <v>33</v>
      </c>
      <c r="K832">
        <v>2</v>
      </c>
      <c r="L832" t="str">
        <f t="shared" si="75"/>
        <v>Correct</v>
      </c>
      <c r="M832">
        <f t="shared" si="76"/>
        <v>57.575757575757578</v>
      </c>
      <c r="N832">
        <f t="shared" si="72"/>
        <v>20.84375</v>
      </c>
      <c r="O832">
        <f t="shared" si="77"/>
        <v>17.943028485757122</v>
      </c>
      <c r="P832" t="str">
        <f t="shared" si="73"/>
        <v>Healthy</v>
      </c>
    </row>
    <row r="833" spans="1:16" hidden="1" x14ac:dyDescent="0.35">
      <c r="A833" s="4">
        <v>46166</v>
      </c>
      <c r="B833" t="s">
        <v>31</v>
      </c>
      <c r="C833" t="s">
        <v>32</v>
      </c>
      <c r="D833" t="s">
        <v>16</v>
      </c>
      <c r="E833" t="s">
        <v>17</v>
      </c>
      <c r="F833">
        <v>396</v>
      </c>
      <c r="G833">
        <v>34</v>
      </c>
      <c r="H833">
        <v>26</v>
      </c>
      <c r="I833">
        <f t="shared" si="74"/>
        <v>404</v>
      </c>
      <c r="J833">
        <v>27</v>
      </c>
      <c r="K833">
        <v>1</v>
      </c>
      <c r="L833" t="str">
        <f t="shared" si="75"/>
        <v>Correct</v>
      </c>
      <c r="M833">
        <f t="shared" si="76"/>
        <v>96.296296296296291</v>
      </c>
      <c r="N833">
        <f t="shared" si="72"/>
        <v>21.46875</v>
      </c>
      <c r="O833">
        <f t="shared" si="77"/>
        <v>18.818049490538574</v>
      </c>
      <c r="P833" t="str">
        <f t="shared" si="73"/>
        <v>Healthy</v>
      </c>
    </row>
    <row r="834" spans="1:16" x14ac:dyDescent="0.35">
      <c r="A834" s="4">
        <v>46166</v>
      </c>
      <c r="B834" t="s">
        <v>31</v>
      </c>
      <c r="C834" t="s">
        <v>32</v>
      </c>
      <c r="D834" t="s">
        <v>18</v>
      </c>
      <c r="E834" t="s">
        <v>19</v>
      </c>
      <c r="F834">
        <v>181</v>
      </c>
      <c r="G834">
        <v>23</v>
      </c>
      <c r="H834">
        <v>22</v>
      </c>
      <c r="I834">
        <f t="shared" si="74"/>
        <v>182</v>
      </c>
      <c r="J834">
        <v>31</v>
      </c>
      <c r="K834">
        <v>4</v>
      </c>
      <c r="L834" t="str">
        <f t="shared" si="75"/>
        <v>Correct</v>
      </c>
      <c r="M834">
        <f t="shared" si="76"/>
        <v>70.967741935483872</v>
      </c>
      <c r="N834">
        <f t="shared" ref="N834:N897" si="78">SUMIFS($H:$H,$B:$B,B834,$C:$C,C834,$D:$D,D834)/COUNTIFS($B:$B,B834,$C:$C,C834,$D:$D,D834)</f>
        <v>30.586206896551722</v>
      </c>
      <c r="O834">
        <f t="shared" si="77"/>
        <v>5.950394588500564</v>
      </c>
      <c r="P834" t="str">
        <f t="shared" ref="P834:P897" si="79">IF(O834&lt;15,"Low Stock",IF(O834&lt;=30,"Healthy","Overstock"))</f>
        <v>Low Stock</v>
      </c>
    </row>
    <row r="835" spans="1:16" hidden="1" x14ac:dyDescent="0.35">
      <c r="A835" s="4">
        <v>46166</v>
      </c>
      <c r="B835" t="s">
        <v>31</v>
      </c>
      <c r="C835" t="s">
        <v>32</v>
      </c>
      <c r="D835" t="s">
        <v>20</v>
      </c>
      <c r="E835" t="s">
        <v>21</v>
      </c>
      <c r="F835">
        <v>73</v>
      </c>
      <c r="G835">
        <v>57</v>
      </c>
      <c r="H835">
        <v>37</v>
      </c>
      <c r="I835">
        <f t="shared" ref="I835:I898" si="80">F835+G835-H835</f>
        <v>93</v>
      </c>
      <c r="J835">
        <v>37</v>
      </c>
      <c r="K835">
        <v>5</v>
      </c>
      <c r="L835" t="str">
        <f t="shared" ref="L835:L898" si="81">IF(I835&lt;0,"Need verification","Correct")</f>
        <v>Correct</v>
      </c>
      <c r="M835">
        <f t="shared" ref="M835:M898" si="82">IF(J835=0,0,(H835/J835)*100)</f>
        <v>100</v>
      </c>
      <c r="N835">
        <f t="shared" si="78"/>
        <v>32.299999999999997</v>
      </c>
      <c r="O835">
        <f t="shared" ref="O835:O898" si="83">IFERROR(I835/N835,0)</f>
        <v>2.8792569659442728</v>
      </c>
      <c r="P835" t="str">
        <f t="shared" si="79"/>
        <v>Low Stock</v>
      </c>
    </row>
    <row r="836" spans="1:16" hidden="1" x14ac:dyDescent="0.35">
      <c r="A836" s="4">
        <v>46166</v>
      </c>
      <c r="B836" t="s">
        <v>31</v>
      </c>
      <c r="C836" t="s">
        <v>32</v>
      </c>
      <c r="D836" t="s">
        <v>22</v>
      </c>
      <c r="E836" t="s">
        <v>23</v>
      </c>
      <c r="F836">
        <v>762</v>
      </c>
      <c r="G836">
        <v>24</v>
      </c>
      <c r="H836">
        <v>11</v>
      </c>
      <c r="I836">
        <f t="shared" si="80"/>
        <v>775</v>
      </c>
      <c r="J836">
        <v>12</v>
      </c>
      <c r="K836">
        <v>1</v>
      </c>
      <c r="L836" t="str">
        <f t="shared" si="81"/>
        <v>Correct</v>
      </c>
      <c r="M836">
        <f t="shared" si="82"/>
        <v>91.666666666666657</v>
      </c>
      <c r="N836">
        <f t="shared" si="78"/>
        <v>10.413793103448276</v>
      </c>
      <c r="O836">
        <f t="shared" si="83"/>
        <v>74.420529801324506</v>
      </c>
      <c r="P836" t="str">
        <f t="shared" si="79"/>
        <v>Overstock</v>
      </c>
    </row>
    <row r="837" spans="1:16" hidden="1" x14ac:dyDescent="0.35">
      <c r="A837" s="4">
        <v>46166</v>
      </c>
      <c r="B837" t="s">
        <v>33</v>
      </c>
      <c r="C837" t="s">
        <v>34</v>
      </c>
      <c r="D837" t="s">
        <v>14</v>
      </c>
      <c r="E837" t="s">
        <v>15</v>
      </c>
      <c r="F837">
        <v>232</v>
      </c>
      <c r="G837">
        <v>28</v>
      </c>
      <c r="H837">
        <v>18</v>
      </c>
      <c r="I837">
        <f t="shared" si="80"/>
        <v>242</v>
      </c>
      <c r="J837">
        <v>32</v>
      </c>
      <c r="K837">
        <v>5</v>
      </c>
      <c r="L837" t="str">
        <f t="shared" si="81"/>
        <v>Correct</v>
      </c>
      <c r="M837">
        <f t="shared" si="82"/>
        <v>56.25</v>
      </c>
      <c r="N837">
        <f t="shared" si="78"/>
        <v>20.70967741935484</v>
      </c>
      <c r="O837">
        <f t="shared" si="83"/>
        <v>11.685358255451712</v>
      </c>
      <c r="P837" t="str">
        <f t="shared" si="79"/>
        <v>Low Stock</v>
      </c>
    </row>
    <row r="838" spans="1:16" hidden="1" x14ac:dyDescent="0.35">
      <c r="A838" s="4">
        <v>46166</v>
      </c>
      <c r="B838" t="s">
        <v>33</v>
      </c>
      <c r="C838" t="s">
        <v>34</v>
      </c>
      <c r="D838" t="s">
        <v>16</v>
      </c>
      <c r="E838" t="s">
        <v>17</v>
      </c>
      <c r="F838">
        <v>207</v>
      </c>
      <c r="G838">
        <v>40</v>
      </c>
      <c r="H838">
        <v>23</v>
      </c>
      <c r="I838">
        <f t="shared" si="80"/>
        <v>224</v>
      </c>
      <c r="J838">
        <v>33</v>
      </c>
      <c r="K838">
        <v>5</v>
      </c>
      <c r="L838" t="str">
        <f t="shared" si="81"/>
        <v>Correct</v>
      </c>
      <c r="M838">
        <f t="shared" si="82"/>
        <v>69.696969696969703</v>
      </c>
      <c r="N838">
        <f t="shared" si="78"/>
        <v>22.142857142857142</v>
      </c>
      <c r="O838">
        <f t="shared" si="83"/>
        <v>10.116129032258065</v>
      </c>
      <c r="P838" t="str">
        <f t="shared" si="79"/>
        <v>Low Stock</v>
      </c>
    </row>
    <row r="839" spans="1:16" x14ac:dyDescent="0.35">
      <c r="A839" s="4">
        <v>46166</v>
      </c>
      <c r="B839" t="s">
        <v>33</v>
      </c>
      <c r="C839" t="s">
        <v>34</v>
      </c>
      <c r="D839" t="s">
        <v>18</v>
      </c>
      <c r="E839" t="s">
        <v>19</v>
      </c>
      <c r="F839">
        <v>117</v>
      </c>
      <c r="G839">
        <v>29</v>
      </c>
      <c r="H839">
        <v>33</v>
      </c>
      <c r="I839">
        <f t="shared" si="80"/>
        <v>113</v>
      </c>
      <c r="J839">
        <v>39</v>
      </c>
      <c r="K839">
        <v>3</v>
      </c>
      <c r="L839" t="str">
        <f t="shared" si="81"/>
        <v>Correct</v>
      </c>
      <c r="M839">
        <f t="shared" si="82"/>
        <v>84.615384615384613</v>
      </c>
      <c r="N839">
        <f t="shared" si="78"/>
        <v>30.275862068965516</v>
      </c>
      <c r="O839">
        <f t="shared" si="83"/>
        <v>3.7323462414578588</v>
      </c>
      <c r="P839" t="str">
        <f t="shared" si="79"/>
        <v>Low Stock</v>
      </c>
    </row>
    <row r="840" spans="1:16" hidden="1" x14ac:dyDescent="0.35">
      <c r="A840" s="4">
        <v>46166</v>
      </c>
      <c r="B840" t="s">
        <v>33</v>
      </c>
      <c r="C840" t="s">
        <v>34</v>
      </c>
      <c r="D840" t="s">
        <v>20</v>
      </c>
      <c r="E840" t="s">
        <v>21</v>
      </c>
      <c r="F840">
        <v>296</v>
      </c>
      <c r="G840">
        <v>47</v>
      </c>
      <c r="H840">
        <v>19</v>
      </c>
      <c r="I840">
        <f t="shared" si="80"/>
        <v>324</v>
      </c>
      <c r="J840">
        <v>21</v>
      </c>
      <c r="K840">
        <v>4</v>
      </c>
      <c r="L840" t="str">
        <f t="shared" si="81"/>
        <v>Correct</v>
      </c>
      <c r="M840">
        <f t="shared" si="82"/>
        <v>90.476190476190482</v>
      </c>
      <c r="N840">
        <f t="shared" si="78"/>
        <v>30.931034482758619</v>
      </c>
      <c r="O840">
        <f t="shared" si="83"/>
        <v>10.474916387959867</v>
      </c>
      <c r="P840" t="str">
        <f t="shared" si="79"/>
        <v>Low Stock</v>
      </c>
    </row>
    <row r="841" spans="1:16" hidden="1" x14ac:dyDescent="0.35">
      <c r="A841" s="4">
        <v>46166</v>
      </c>
      <c r="B841" t="s">
        <v>33</v>
      </c>
      <c r="C841" t="s">
        <v>34</v>
      </c>
      <c r="D841" t="s">
        <v>22</v>
      </c>
      <c r="E841" t="s">
        <v>23</v>
      </c>
      <c r="F841">
        <v>526</v>
      </c>
      <c r="G841">
        <v>28</v>
      </c>
      <c r="H841">
        <v>9</v>
      </c>
      <c r="I841">
        <f t="shared" si="80"/>
        <v>545</v>
      </c>
      <c r="J841">
        <v>14</v>
      </c>
      <c r="K841">
        <v>4</v>
      </c>
      <c r="L841" t="str">
        <f t="shared" si="81"/>
        <v>Correct</v>
      </c>
      <c r="M841">
        <f t="shared" si="82"/>
        <v>64.285714285714292</v>
      </c>
      <c r="N841">
        <f t="shared" si="78"/>
        <v>10.25</v>
      </c>
      <c r="O841">
        <f t="shared" si="83"/>
        <v>53.170731707317074</v>
      </c>
      <c r="P841" t="str">
        <f t="shared" si="79"/>
        <v>Overstock</v>
      </c>
    </row>
    <row r="842" spans="1:16" hidden="1" x14ac:dyDescent="0.35">
      <c r="A842" s="4">
        <v>46167</v>
      </c>
      <c r="B842" t="s">
        <v>12</v>
      </c>
      <c r="C842" t="s">
        <v>13</v>
      </c>
      <c r="D842" t="s">
        <v>14</v>
      </c>
      <c r="E842" t="s">
        <v>15</v>
      </c>
      <c r="F842">
        <v>556</v>
      </c>
      <c r="G842">
        <v>39</v>
      </c>
      <c r="H842">
        <v>30</v>
      </c>
      <c r="I842">
        <f t="shared" si="80"/>
        <v>565</v>
      </c>
      <c r="J842">
        <v>40</v>
      </c>
      <c r="K842">
        <v>2</v>
      </c>
      <c r="L842" t="str">
        <f t="shared" si="81"/>
        <v>Correct</v>
      </c>
      <c r="M842">
        <f t="shared" si="82"/>
        <v>75</v>
      </c>
      <c r="N842">
        <f t="shared" si="78"/>
        <v>21.666666666666668</v>
      </c>
      <c r="O842">
        <f t="shared" si="83"/>
        <v>26.076923076923077</v>
      </c>
      <c r="P842" t="str">
        <f t="shared" si="79"/>
        <v>Healthy</v>
      </c>
    </row>
    <row r="843" spans="1:16" hidden="1" x14ac:dyDescent="0.35">
      <c r="A843" s="4">
        <v>46167</v>
      </c>
      <c r="B843" t="s">
        <v>12</v>
      </c>
      <c r="C843" t="s">
        <v>13</v>
      </c>
      <c r="D843" t="s">
        <v>16</v>
      </c>
      <c r="E843" t="s">
        <v>17</v>
      </c>
      <c r="F843">
        <v>310</v>
      </c>
      <c r="G843">
        <v>51</v>
      </c>
      <c r="H843">
        <v>13</v>
      </c>
      <c r="I843">
        <f t="shared" si="80"/>
        <v>348</v>
      </c>
      <c r="J843">
        <v>20</v>
      </c>
      <c r="K843">
        <v>2</v>
      </c>
      <c r="L843" t="str">
        <f t="shared" si="81"/>
        <v>Correct</v>
      </c>
      <c r="M843">
        <f t="shared" si="82"/>
        <v>65</v>
      </c>
      <c r="N843">
        <f t="shared" si="78"/>
        <v>20.030303030303031</v>
      </c>
      <c r="O843">
        <f t="shared" si="83"/>
        <v>17.373676248108925</v>
      </c>
      <c r="P843" t="str">
        <f t="shared" si="79"/>
        <v>Healthy</v>
      </c>
    </row>
    <row r="844" spans="1:16" x14ac:dyDescent="0.35">
      <c r="A844" s="4">
        <v>46167</v>
      </c>
      <c r="B844" t="s">
        <v>12</v>
      </c>
      <c r="C844" t="s">
        <v>13</v>
      </c>
      <c r="D844" t="s">
        <v>18</v>
      </c>
      <c r="E844" t="s">
        <v>19</v>
      </c>
      <c r="F844">
        <v>140</v>
      </c>
      <c r="G844">
        <v>47</v>
      </c>
      <c r="H844">
        <v>31</v>
      </c>
      <c r="I844">
        <f t="shared" si="80"/>
        <v>156</v>
      </c>
      <c r="J844">
        <v>33</v>
      </c>
      <c r="K844">
        <v>5</v>
      </c>
      <c r="L844" t="str">
        <f t="shared" si="81"/>
        <v>Correct</v>
      </c>
      <c r="M844">
        <f t="shared" si="82"/>
        <v>93.939393939393938</v>
      </c>
      <c r="N844">
        <f t="shared" si="78"/>
        <v>33.34375</v>
      </c>
      <c r="O844">
        <f t="shared" si="83"/>
        <v>4.678537956888472</v>
      </c>
      <c r="P844" t="str">
        <f t="shared" si="79"/>
        <v>Low Stock</v>
      </c>
    </row>
    <row r="845" spans="1:16" hidden="1" x14ac:dyDescent="0.35">
      <c r="A845" s="4">
        <v>46167</v>
      </c>
      <c r="B845" t="s">
        <v>12</v>
      </c>
      <c r="C845" t="s">
        <v>13</v>
      </c>
      <c r="D845" t="s">
        <v>20</v>
      </c>
      <c r="E845" t="s">
        <v>21</v>
      </c>
      <c r="F845">
        <v>17</v>
      </c>
      <c r="G845">
        <v>53</v>
      </c>
      <c r="H845">
        <v>40</v>
      </c>
      <c r="I845">
        <f t="shared" si="80"/>
        <v>30</v>
      </c>
      <c r="J845">
        <v>52</v>
      </c>
      <c r="K845">
        <v>2</v>
      </c>
      <c r="L845" t="str">
        <f t="shared" si="81"/>
        <v>Correct</v>
      </c>
      <c r="M845">
        <f t="shared" si="82"/>
        <v>76.923076923076934</v>
      </c>
      <c r="N845">
        <f t="shared" si="78"/>
        <v>34.515151515151516</v>
      </c>
      <c r="O845">
        <f t="shared" si="83"/>
        <v>0.86918349429323971</v>
      </c>
      <c r="P845" t="str">
        <f t="shared" si="79"/>
        <v>Low Stock</v>
      </c>
    </row>
    <row r="846" spans="1:16" hidden="1" x14ac:dyDescent="0.35">
      <c r="A846" s="4">
        <v>46167</v>
      </c>
      <c r="B846" t="s">
        <v>12</v>
      </c>
      <c r="C846" t="s">
        <v>13</v>
      </c>
      <c r="D846" t="s">
        <v>22</v>
      </c>
      <c r="E846" t="s">
        <v>23</v>
      </c>
      <c r="F846">
        <v>523</v>
      </c>
      <c r="G846">
        <v>47</v>
      </c>
      <c r="H846">
        <v>5</v>
      </c>
      <c r="I846">
        <f t="shared" si="80"/>
        <v>565</v>
      </c>
      <c r="J846">
        <v>8</v>
      </c>
      <c r="K846">
        <v>2</v>
      </c>
      <c r="L846" t="str">
        <f t="shared" si="81"/>
        <v>Correct</v>
      </c>
      <c r="M846">
        <f t="shared" si="82"/>
        <v>62.5</v>
      </c>
      <c r="N846">
        <f t="shared" si="78"/>
        <v>9.9032258064516121</v>
      </c>
      <c r="O846">
        <f t="shared" si="83"/>
        <v>57.052117263843655</v>
      </c>
      <c r="P846" t="str">
        <f t="shared" si="79"/>
        <v>Overstock</v>
      </c>
    </row>
    <row r="847" spans="1:16" hidden="1" x14ac:dyDescent="0.35">
      <c r="A847" s="4">
        <v>46167</v>
      </c>
      <c r="B847" t="s">
        <v>12</v>
      </c>
      <c r="C847" t="s">
        <v>24</v>
      </c>
      <c r="D847" t="s">
        <v>14</v>
      </c>
      <c r="E847" t="s">
        <v>15</v>
      </c>
      <c r="F847">
        <v>309</v>
      </c>
      <c r="G847">
        <v>53</v>
      </c>
      <c r="H847">
        <v>30</v>
      </c>
      <c r="I847">
        <f t="shared" si="80"/>
        <v>332</v>
      </c>
      <c r="J847">
        <v>32</v>
      </c>
      <c r="K847">
        <v>3</v>
      </c>
      <c r="L847" t="str">
        <f t="shared" si="81"/>
        <v>Correct</v>
      </c>
      <c r="M847">
        <f t="shared" si="82"/>
        <v>93.75</v>
      </c>
      <c r="N847">
        <f t="shared" si="78"/>
        <v>21.35483870967742</v>
      </c>
      <c r="O847">
        <f t="shared" si="83"/>
        <v>15.546827794561933</v>
      </c>
      <c r="P847" t="str">
        <f t="shared" si="79"/>
        <v>Healthy</v>
      </c>
    </row>
    <row r="848" spans="1:16" hidden="1" x14ac:dyDescent="0.35">
      <c r="A848" s="4">
        <v>46167</v>
      </c>
      <c r="B848" t="s">
        <v>12</v>
      </c>
      <c r="C848" t="s">
        <v>24</v>
      </c>
      <c r="D848" t="s">
        <v>16</v>
      </c>
      <c r="E848" t="s">
        <v>17</v>
      </c>
      <c r="F848">
        <v>235</v>
      </c>
      <c r="G848">
        <v>1</v>
      </c>
      <c r="H848">
        <v>26</v>
      </c>
      <c r="I848">
        <f t="shared" si="80"/>
        <v>210</v>
      </c>
      <c r="J848">
        <v>31</v>
      </c>
      <c r="K848">
        <v>3</v>
      </c>
      <c r="L848" t="str">
        <f t="shared" si="81"/>
        <v>Correct</v>
      </c>
      <c r="M848">
        <f t="shared" si="82"/>
        <v>83.870967741935488</v>
      </c>
      <c r="N848">
        <f t="shared" si="78"/>
        <v>21.9</v>
      </c>
      <c r="O848">
        <f t="shared" si="83"/>
        <v>9.589041095890412</v>
      </c>
      <c r="P848" t="str">
        <f t="shared" si="79"/>
        <v>Low Stock</v>
      </c>
    </row>
    <row r="849" spans="1:16" x14ac:dyDescent="0.35">
      <c r="A849" s="4">
        <v>46167</v>
      </c>
      <c r="B849" t="s">
        <v>12</v>
      </c>
      <c r="C849" t="s">
        <v>24</v>
      </c>
      <c r="D849" t="s">
        <v>18</v>
      </c>
      <c r="E849" t="s">
        <v>19</v>
      </c>
      <c r="F849">
        <v>165</v>
      </c>
      <c r="G849">
        <v>7</v>
      </c>
      <c r="H849">
        <v>23</v>
      </c>
      <c r="I849">
        <f t="shared" si="80"/>
        <v>149</v>
      </c>
      <c r="J849">
        <v>38</v>
      </c>
      <c r="K849">
        <v>3</v>
      </c>
      <c r="L849" t="str">
        <f t="shared" si="81"/>
        <v>Correct</v>
      </c>
      <c r="M849">
        <f t="shared" si="82"/>
        <v>60.526315789473685</v>
      </c>
      <c r="N849">
        <f t="shared" si="78"/>
        <v>31.586206896551722</v>
      </c>
      <c r="O849">
        <f t="shared" si="83"/>
        <v>4.7172489082969431</v>
      </c>
      <c r="P849" t="str">
        <f t="shared" si="79"/>
        <v>Low Stock</v>
      </c>
    </row>
    <row r="850" spans="1:16" hidden="1" x14ac:dyDescent="0.35">
      <c r="A850" s="4">
        <v>46167</v>
      </c>
      <c r="B850" t="s">
        <v>12</v>
      </c>
      <c r="C850" t="s">
        <v>24</v>
      </c>
      <c r="D850" t="s">
        <v>20</v>
      </c>
      <c r="E850" t="s">
        <v>21</v>
      </c>
      <c r="F850">
        <v>11</v>
      </c>
      <c r="G850">
        <v>31</v>
      </c>
      <c r="H850">
        <v>18</v>
      </c>
      <c r="I850">
        <f t="shared" si="80"/>
        <v>24</v>
      </c>
      <c r="J850">
        <v>33</v>
      </c>
      <c r="K850">
        <v>3</v>
      </c>
      <c r="L850" t="str">
        <f t="shared" si="81"/>
        <v>Correct</v>
      </c>
      <c r="M850">
        <f t="shared" si="82"/>
        <v>54.54545454545454</v>
      </c>
      <c r="N850">
        <f t="shared" si="78"/>
        <v>34.200000000000003</v>
      </c>
      <c r="O850">
        <f t="shared" si="83"/>
        <v>0.70175438596491224</v>
      </c>
      <c r="P850" t="str">
        <f t="shared" si="79"/>
        <v>Low Stock</v>
      </c>
    </row>
    <row r="851" spans="1:16" hidden="1" x14ac:dyDescent="0.35">
      <c r="A851" s="4">
        <v>46167</v>
      </c>
      <c r="B851" t="s">
        <v>12</v>
      </c>
      <c r="C851" t="s">
        <v>24</v>
      </c>
      <c r="D851" t="s">
        <v>22</v>
      </c>
      <c r="E851" t="s">
        <v>23</v>
      </c>
      <c r="F851">
        <v>538</v>
      </c>
      <c r="G851">
        <v>26</v>
      </c>
      <c r="H851">
        <v>10</v>
      </c>
      <c r="I851">
        <f t="shared" si="80"/>
        <v>554</v>
      </c>
      <c r="J851">
        <v>17</v>
      </c>
      <c r="K851">
        <v>2</v>
      </c>
      <c r="L851" t="str">
        <f t="shared" si="81"/>
        <v>Correct</v>
      </c>
      <c r="M851">
        <f t="shared" si="82"/>
        <v>58.82352941176471</v>
      </c>
      <c r="N851">
        <f t="shared" si="78"/>
        <v>10.96551724137931</v>
      </c>
      <c r="O851">
        <f t="shared" si="83"/>
        <v>50.522012578616355</v>
      </c>
      <c r="P851" t="str">
        <f t="shared" si="79"/>
        <v>Overstock</v>
      </c>
    </row>
    <row r="852" spans="1:16" hidden="1" x14ac:dyDescent="0.35">
      <c r="A852" s="4">
        <v>46167</v>
      </c>
      <c r="B852" t="s">
        <v>12</v>
      </c>
      <c r="C852" t="s">
        <v>25</v>
      </c>
      <c r="D852" t="s">
        <v>14</v>
      </c>
      <c r="E852" t="s">
        <v>15</v>
      </c>
      <c r="F852">
        <v>288</v>
      </c>
      <c r="G852">
        <v>30</v>
      </c>
      <c r="H852">
        <v>18</v>
      </c>
      <c r="I852">
        <f t="shared" si="80"/>
        <v>300</v>
      </c>
      <c r="J852">
        <v>22</v>
      </c>
      <c r="K852">
        <v>4</v>
      </c>
      <c r="L852" t="str">
        <f t="shared" si="81"/>
        <v>Correct</v>
      </c>
      <c r="M852">
        <f t="shared" si="82"/>
        <v>81.818181818181827</v>
      </c>
      <c r="N852">
        <f t="shared" si="78"/>
        <v>20.7</v>
      </c>
      <c r="O852">
        <f t="shared" si="83"/>
        <v>14.492753623188406</v>
      </c>
      <c r="P852" t="str">
        <f t="shared" si="79"/>
        <v>Low Stock</v>
      </c>
    </row>
    <row r="853" spans="1:16" hidden="1" x14ac:dyDescent="0.35">
      <c r="A853" s="4">
        <v>46167</v>
      </c>
      <c r="B853" t="s">
        <v>12</v>
      </c>
      <c r="C853" t="s">
        <v>25</v>
      </c>
      <c r="D853" t="s">
        <v>16</v>
      </c>
      <c r="E853" t="s">
        <v>17</v>
      </c>
      <c r="F853">
        <v>253</v>
      </c>
      <c r="G853">
        <v>26</v>
      </c>
      <c r="H853">
        <v>25</v>
      </c>
      <c r="I853">
        <f t="shared" si="80"/>
        <v>254</v>
      </c>
      <c r="J853">
        <v>33</v>
      </c>
      <c r="K853">
        <v>2</v>
      </c>
      <c r="L853" t="str">
        <f t="shared" si="81"/>
        <v>Correct</v>
      </c>
      <c r="M853">
        <f t="shared" si="82"/>
        <v>75.757575757575751</v>
      </c>
      <c r="N853">
        <f t="shared" si="78"/>
        <v>23.758620689655171</v>
      </c>
      <c r="O853">
        <f t="shared" si="83"/>
        <v>10.690856313497823</v>
      </c>
      <c r="P853" t="str">
        <f t="shared" si="79"/>
        <v>Low Stock</v>
      </c>
    </row>
    <row r="854" spans="1:16" x14ac:dyDescent="0.35">
      <c r="A854" s="4">
        <v>46167</v>
      </c>
      <c r="B854" t="s">
        <v>12</v>
      </c>
      <c r="C854" t="s">
        <v>25</v>
      </c>
      <c r="D854" t="s">
        <v>18</v>
      </c>
      <c r="E854" t="s">
        <v>19</v>
      </c>
      <c r="F854">
        <v>66</v>
      </c>
      <c r="G854">
        <v>52</v>
      </c>
      <c r="H854">
        <v>31</v>
      </c>
      <c r="I854">
        <f t="shared" si="80"/>
        <v>87</v>
      </c>
      <c r="J854">
        <v>43</v>
      </c>
      <c r="K854">
        <v>2</v>
      </c>
      <c r="L854" t="str">
        <f t="shared" si="81"/>
        <v>Correct</v>
      </c>
      <c r="M854">
        <f t="shared" si="82"/>
        <v>72.093023255813947</v>
      </c>
      <c r="N854">
        <f t="shared" si="78"/>
        <v>31.142857142857142</v>
      </c>
      <c r="O854">
        <f t="shared" si="83"/>
        <v>2.7935779816513762</v>
      </c>
      <c r="P854" t="str">
        <f t="shared" si="79"/>
        <v>Low Stock</v>
      </c>
    </row>
    <row r="855" spans="1:16" hidden="1" x14ac:dyDescent="0.35">
      <c r="A855" s="4">
        <v>46167</v>
      </c>
      <c r="B855" t="s">
        <v>12</v>
      </c>
      <c r="C855" t="s">
        <v>25</v>
      </c>
      <c r="D855" t="s">
        <v>20</v>
      </c>
      <c r="E855" t="s">
        <v>21</v>
      </c>
      <c r="F855">
        <v>144</v>
      </c>
      <c r="G855">
        <v>23</v>
      </c>
      <c r="H855">
        <v>31</v>
      </c>
      <c r="I855">
        <f t="shared" si="80"/>
        <v>136</v>
      </c>
      <c r="J855">
        <v>35</v>
      </c>
      <c r="K855">
        <v>3</v>
      </c>
      <c r="L855" t="str">
        <f t="shared" si="81"/>
        <v>Correct</v>
      </c>
      <c r="M855">
        <f t="shared" si="82"/>
        <v>88.571428571428569</v>
      </c>
      <c r="N855">
        <f t="shared" si="78"/>
        <v>31.137931034482758</v>
      </c>
      <c r="O855">
        <f t="shared" si="83"/>
        <v>4.3676633444075303</v>
      </c>
      <c r="P855" t="str">
        <f t="shared" si="79"/>
        <v>Low Stock</v>
      </c>
    </row>
    <row r="856" spans="1:16" hidden="1" x14ac:dyDescent="0.35">
      <c r="A856" s="4">
        <v>46167</v>
      </c>
      <c r="B856" t="s">
        <v>12</v>
      </c>
      <c r="C856" t="s">
        <v>25</v>
      </c>
      <c r="D856" t="s">
        <v>22</v>
      </c>
      <c r="E856" t="s">
        <v>23</v>
      </c>
      <c r="F856">
        <v>639</v>
      </c>
      <c r="G856">
        <v>41</v>
      </c>
      <c r="H856">
        <v>10</v>
      </c>
      <c r="I856">
        <f t="shared" si="80"/>
        <v>670</v>
      </c>
      <c r="J856">
        <v>15</v>
      </c>
      <c r="K856">
        <v>5</v>
      </c>
      <c r="L856" t="str">
        <f t="shared" si="81"/>
        <v>Correct</v>
      </c>
      <c r="M856">
        <f t="shared" si="82"/>
        <v>66.666666666666657</v>
      </c>
      <c r="N856">
        <f t="shared" si="78"/>
        <v>11.3</v>
      </c>
      <c r="O856">
        <f t="shared" si="83"/>
        <v>59.292035398230084</v>
      </c>
      <c r="P856" t="str">
        <f t="shared" si="79"/>
        <v>Overstock</v>
      </c>
    </row>
    <row r="857" spans="1:16" hidden="1" x14ac:dyDescent="0.35">
      <c r="A857" s="4">
        <v>46167</v>
      </c>
      <c r="B857" t="s">
        <v>26</v>
      </c>
      <c r="C857" t="s">
        <v>27</v>
      </c>
      <c r="D857" t="s">
        <v>14</v>
      </c>
      <c r="E857" t="s">
        <v>15</v>
      </c>
      <c r="F857">
        <v>572</v>
      </c>
      <c r="G857">
        <v>33</v>
      </c>
      <c r="H857">
        <v>20</v>
      </c>
      <c r="I857">
        <f t="shared" si="80"/>
        <v>585</v>
      </c>
      <c r="J857">
        <v>31</v>
      </c>
      <c r="K857">
        <v>4</v>
      </c>
      <c r="L857" t="str">
        <f t="shared" si="81"/>
        <v>Correct</v>
      </c>
      <c r="M857">
        <f t="shared" si="82"/>
        <v>64.516129032258064</v>
      </c>
      <c r="N857">
        <f t="shared" si="78"/>
        <v>22.258064516129032</v>
      </c>
      <c r="O857">
        <f t="shared" si="83"/>
        <v>26.282608695652176</v>
      </c>
      <c r="P857" t="str">
        <f t="shared" si="79"/>
        <v>Healthy</v>
      </c>
    </row>
    <row r="858" spans="1:16" hidden="1" x14ac:dyDescent="0.35">
      <c r="A858" s="4">
        <v>46167</v>
      </c>
      <c r="B858" t="s">
        <v>26</v>
      </c>
      <c r="C858" t="s">
        <v>27</v>
      </c>
      <c r="D858" t="s">
        <v>16</v>
      </c>
      <c r="E858" t="s">
        <v>17</v>
      </c>
      <c r="F858">
        <v>421</v>
      </c>
      <c r="G858">
        <v>11</v>
      </c>
      <c r="H858">
        <v>35</v>
      </c>
      <c r="I858">
        <f t="shared" si="80"/>
        <v>397</v>
      </c>
      <c r="J858">
        <v>46</v>
      </c>
      <c r="K858">
        <v>3</v>
      </c>
      <c r="L858" t="str">
        <f t="shared" si="81"/>
        <v>Correct</v>
      </c>
      <c r="M858">
        <f t="shared" si="82"/>
        <v>76.08695652173914</v>
      </c>
      <c r="N858">
        <f t="shared" si="78"/>
        <v>20.172413793103448</v>
      </c>
      <c r="O858">
        <f t="shared" si="83"/>
        <v>19.680341880341881</v>
      </c>
      <c r="P858" t="str">
        <f t="shared" si="79"/>
        <v>Healthy</v>
      </c>
    </row>
    <row r="859" spans="1:16" x14ac:dyDescent="0.35">
      <c r="A859" s="4">
        <v>46167</v>
      </c>
      <c r="B859" t="s">
        <v>26</v>
      </c>
      <c r="C859" t="s">
        <v>27</v>
      </c>
      <c r="D859" t="s">
        <v>18</v>
      </c>
      <c r="E859" t="s">
        <v>19</v>
      </c>
      <c r="F859">
        <v>69</v>
      </c>
      <c r="G859">
        <v>2</v>
      </c>
      <c r="H859">
        <v>35</v>
      </c>
      <c r="I859">
        <f t="shared" si="80"/>
        <v>36</v>
      </c>
      <c r="J859">
        <v>42</v>
      </c>
      <c r="K859">
        <v>2</v>
      </c>
      <c r="L859" t="str">
        <f t="shared" si="81"/>
        <v>Correct</v>
      </c>
      <c r="M859">
        <f t="shared" si="82"/>
        <v>83.333333333333343</v>
      </c>
      <c r="N859">
        <f t="shared" si="78"/>
        <v>29.733333333333334</v>
      </c>
      <c r="O859">
        <f t="shared" si="83"/>
        <v>1.210762331838565</v>
      </c>
      <c r="P859" t="str">
        <f t="shared" si="79"/>
        <v>Low Stock</v>
      </c>
    </row>
    <row r="860" spans="1:16" hidden="1" x14ac:dyDescent="0.35">
      <c r="A860" s="4">
        <v>46167</v>
      </c>
      <c r="B860" t="s">
        <v>26</v>
      </c>
      <c r="C860" t="s">
        <v>27</v>
      </c>
      <c r="D860" t="s">
        <v>20</v>
      </c>
      <c r="E860" t="s">
        <v>21</v>
      </c>
      <c r="F860">
        <v>270</v>
      </c>
      <c r="G860">
        <v>55</v>
      </c>
      <c r="H860">
        <v>49</v>
      </c>
      <c r="I860">
        <f t="shared" si="80"/>
        <v>276</v>
      </c>
      <c r="J860">
        <v>58</v>
      </c>
      <c r="K860">
        <v>1</v>
      </c>
      <c r="L860" t="str">
        <f t="shared" si="81"/>
        <v>Correct</v>
      </c>
      <c r="M860">
        <f t="shared" si="82"/>
        <v>84.482758620689651</v>
      </c>
      <c r="N860">
        <f t="shared" si="78"/>
        <v>30.724137931034484</v>
      </c>
      <c r="O860">
        <f t="shared" si="83"/>
        <v>8.9831649831649827</v>
      </c>
      <c r="P860" t="str">
        <f t="shared" si="79"/>
        <v>Low Stock</v>
      </c>
    </row>
    <row r="861" spans="1:16" hidden="1" x14ac:dyDescent="0.35">
      <c r="A861" s="4">
        <v>46167</v>
      </c>
      <c r="B861" t="s">
        <v>26</v>
      </c>
      <c r="C861" t="s">
        <v>27</v>
      </c>
      <c r="D861" t="s">
        <v>22</v>
      </c>
      <c r="E861" t="s">
        <v>23</v>
      </c>
      <c r="F861">
        <v>429</v>
      </c>
      <c r="G861">
        <v>16</v>
      </c>
      <c r="H861">
        <v>17</v>
      </c>
      <c r="I861">
        <f t="shared" si="80"/>
        <v>428</v>
      </c>
      <c r="J861">
        <v>26</v>
      </c>
      <c r="K861">
        <v>1</v>
      </c>
      <c r="L861" t="str">
        <f t="shared" si="81"/>
        <v>Correct</v>
      </c>
      <c r="M861">
        <f t="shared" si="82"/>
        <v>65.384615384615387</v>
      </c>
      <c r="N861">
        <f t="shared" si="78"/>
        <v>11.566666666666666</v>
      </c>
      <c r="O861">
        <f t="shared" si="83"/>
        <v>37.002881844380404</v>
      </c>
      <c r="P861" t="str">
        <f t="shared" si="79"/>
        <v>Overstock</v>
      </c>
    </row>
    <row r="862" spans="1:16" hidden="1" x14ac:dyDescent="0.35">
      <c r="A862" s="4">
        <v>46167</v>
      </c>
      <c r="B862" t="s">
        <v>28</v>
      </c>
      <c r="C862" t="s">
        <v>29</v>
      </c>
      <c r="D862" t="s">
        <v>14</v>
      </c>
      <c r="E862" t="s">
        <v>15</v>
      </c>
      <c r="F862">
        <v>387</v>
      </c>
      <c r="G862">
        <v>39</v>
      </c>
      <c r="H862">
        <v>29</v>
      </c>
      <c r="I862">
        <f t="shared" si="80"/>
        <v>397</v>
      </c>
      <c r="J862">
        <v>32</v>
      </c>
      <c r="K862">
        <v>3</v>
      </c>
      <c r="L862" t="str">
        <f t="shared" si="81"/>
        <v>Correct</v>
      </c>
      <c r="M862">
        <f t="shared" si="82"/>
        <v>90.625</v>
      </c>
      <c r="N862">
        <f t="shared" si="78"/>
        <v>22.25</v>
      </c>
      <c r="O862">
        <f t="shared" si="83"/>
        <v>17.842696629213481</v>
      </c>
      <c r="P862" t="str">
        <f t="shared" si="79"/>
        <v>Healthy</v>
      </c>
    </row>
    <row r="863" spans="1:16" hidden="1" x14ac:dyDescent="0.35">
      <c r="A863" s="4">
        <v>46167</v>
      </c>
      <c r="B863" t="s">
        <v>28</v>
      </c>
      <c r="C863" t="s">
        <v>29</v>
      </c>
      <c r="D863" t="s">
        <v>16</v>
      </c>
      <c r="E863" t="s">
        <v>17</v>
      </c>
      <c r="F863">
        <v>445</v>
      </c>
      <c r="G863">
        <v>8</v>
      </c>
      <c r="H863">
        <v>23</v>
      </c>
      <c r="I863">
        <f t="shared" si="80"/>
        <v>430</v>
      </c>
      <c r="J863">
        <v>35</v>
      </c>
      <c r="K863">
        <v>1</v>
      </c>
      <c r="L863" t="str">
        <f t="shared" si="81"/>
        <v>Correct</v>
      </c>
      <c r="M863">
        <f t="shared" si="82"/>
        <v>65.714285714285708</v>
      </c>
      <c r="N863">
        <f t="shared" si="78"/>
        <v>19.96551724137931</v>
      </c>
      <c r="O863">
        <f t="shared" si="83"/>
        <v>21.537132987910191</v>
      </c>
      <c r="P863" t="str">
        <f t="shared" si="79"/>
        <v>Healthy</v>
      </c>
    </row>
    <row r="864" spans="1:16" x14ac:dyDescent="0.35">
      <c r="A864" s="4">
        <v>46167</v>
      </c>
      <c r="B864" t="s">
        <v>28</v>
      </c>
      <c r="C864" t="s">
        <v>29</v>
      </c>
      <c r="D864" t="s">
        <v>18</v>
      </c>
      <c r="E864" t="s">
        <v>19</v>
      </c>
      <c r="F864">
        <v>78</v>
      </c>
      <c r="G864">
        <v>51</v>
      </c>
      <c r="H864">
        <v>17</v>
      </c>
      <c r="I864">
        <f t="shared" si="80"/>
        <v>112</v>
      </c>
      <c r="J864">
        <v>22</v>
      </c>
      <c r="K864">
        <v>2</v>
      </c>
      <c r="L864" t="str">
        <f t="shared" si="81"/>
        <v>Correct</v>
      </c>
      <c r="M864">
        <f t="shared" si="82"/>
        <v>77.272727272727266</v>
      </c>
      <c r="N864">
        <f t="shared" si="78"/>
        <v>31.206896551724139</v>
      </c>
      <c r="O864">
        <f t="shared" si="83"/>
        <v>3.5889502762430938</v>
      </c>
      <c r="P864" t="str">
        <f t="shared" si="79"/>
        <v>Low Stock</v>
      </c>
    </row>
    <row r="865" spans="1:16" hidden="1" x14ac:dyDescent="0.35">
      <c r="A865" s="4">
        <v>46167</v>
      </c>
      <c r="B865" t="s">
        <v>28</v>
      </c>
      <c r="C865" t="s">
        <v>29</v>
      </c>
      <c r="D865" t="s">
        <v>20</v>
      </c>
      <c r="E865" t="s">
        <v>21</v>
      </c>
      <c r="F865">
        <v>22</v>
      </c>
      <c r="G865">
        <v>23</v>
      </c>
      <c r="H865">
        <v>19</v>
      </c>
      <c r="I865">
        <f t="shared" si="80"/>
        <v>26</v>
      </c>
      <c r="J865">
        <v>21</v>
      </c>
      <c r="K865">
        <v>4</v>
      </c>
      <c r="L865" t="str">
        <f t="shared" si="81"/>
        <v>Correct</v>
      </c>
      <c r="M865">
        <f t="shared" si="82"/>
        <v>90.476190476190482</v>
      </c>
      <c r="N865">
        <f t="shared" si="78"/>
        <v>32.620689655172413</v>
      </c>
      <c r="O865">
        <f t="shared" si="83"/>
        <v>0.79704016913319242</v>
      </c>
      <c r="P865" t="str">
        <f t="shared" si="79"/>
        <v>Low Stock</v>
      </c>
    </row>
    <row r="866" spans="1:16" hidden="1" x14ac:dyDescent="0.35">
      <c r="A866" s="4">
        <v>46167</v>
      </c>
      <c r="B866" t="s">
        <v>28</v>
      </c>
      <c r="C866" t="s">
        <v>29</v>
      </c>
      <c r="D866" t="s">
        <v>22</v>
      </c>
      <c r="E866" t="s">
        <v>23</v>
      </c>
      <c r="F866">
        <v>756</v>
      </c>
      <c r="G866">
        <v>53</v>
      </c>
      <c r="H866">
        <v>13</v>
      </c>
      <c r="I866">
        <f t="shared" si="80"/>
        <v>796</v>
      </c>
      <c r="J866">
        <v>26</v>
      </c>
      <c r="K866">
        <v>3</v>
      </c>
      <c r="L866" t="str">
        <f t="shared" si="81"/>
        <v>Correct</v>
      </c>
      <c r="M866">
        <f t="shared" si="82"/>
        <v>50</v>
      </c>
      <c r="N866">
        <f t="shared" si="78"/>
        <v>11.678571428571429</v>
      </c>
      <c r="O866">
        <f t="shared" si="83"/>
        <v>68.159021406727831</v>
      </c>
      <c r="P866" t="str">
        <f t="shared" si="79"/>
        <v>Overstock</v>
      </c>
    </row>
    <row r="867" spans="1:16" hidden="1" x14ac:dyDescent="0.35">
      <c r="A867" s="4">
        <v>46167</v>
      </c>
      <c r="B867" t="s">
        <v>31</v>
      </c>
      <c r="C867" t="s">
        <v>32</v>
      </c>
      <c r="D867" t="s">
        <v>14</v>
      </c>
      <c r="E867" t="s">
        <v>15</v>
      </c>
      <c r="F867">
        <v>374</v>
      </c>
      <c r="G867">
        <v>57</v>
      </c>
      <c r="H867">
        <v>10</v>
      </c>
      <c r="I867">
        <f t="shared" si="80"/>
        <v>421</v>
      </c>
      <c r="J867">
        <v>15</v>
      </c>
      <c r="K867">
        <v>4</v>
      </c>
      <c r="L867" t="str">
        <f t="shared" si="81"/>
        <v>Correct</v>
      </c>
      <c r="M867">
        <f t="shared" si="82"/>
        <v>66.666666666666657</v>
      </c>
      <c r="N867">
        <f t="shared" si="78"/>
        <v>20.84375</v>
      </c>
      <c r="O867">
        <f t="shared" si="83"/>
        <v>20.197901049475263</v>
      </c>
      <c r="P867" t="str">
        <f t="shared" si="79"/>
        <v>Healthy</v>
      </c>
    </row>
    <row r="868" spans="1:16" hidden="1" x14ac:dyDescent="0.35">
      <c r="A868" s="4">
        <v>46167</v>
      </c>
      <c r="B868" t="s">
        <v>31</v>
      </c>
      <c r="C868" t="s">
        <v>32</v>
      </c>
      <c r="D868" t="s">
        <v>16</v>
      </c>
      <c r="E868" t="s">
        <v>17</v>
      </c>
      <c r="F868">
        <v>404</v>
      </c>
      <c r="G868">
        <v>25</v>
      </c>
      <c r="H868">
        <v>16</v>
      </c>
      <c r="I868">
        <f t="shared" si="80"/>
        <v>413</v>
      </c>
      <c r="J868">
        <v>22</v>
      </c>
      <c r="K868">
        <v>5</v>
      </c>
      <c r="L868" t="str">
        <f t="shared" si="81"/>
        <v>Correct</v>
      </c>
      <c r="M868">
        <f t="shared" si="82"/>
        <v>72.727272727272734</v>
      </c>
      <c r="N868">
        <f t="shared" si="78"/>
        <v>21.46875</v>
      </c>
      <c r="O868">
        <f t="shared" si="83"/>
        <v>19.237263464337701</v>
      </c>
      <c r="P868" t="str">
        <f t="shared" si="79"/>
        <v>Healthy</v>
      </c>
    </row>
    <row r="869" spans="1:16" x14ac:dyDescent="0.35">
      <c r="A869" s="4">
        <v>46167</v>
      </c>
      <c r="B869" t="s">
        <v>31</v>
      </c>
      <c r="C869" t="s">
        <v>32</v>
      </c>
      <c r="D869" t="s">
        <v>18</v>
      </c>
      <c r="E869" t="s">
        <v>19</v>
      </c>
      <c r="F869">
        <v>182</v>
      </c>
      <c r="G869">
        <v>11</v>
      </c>
      <c r="H869">
        <v>39</v>
      </c>
      <c r="I869">
        <f t="shared" si="80"/>
        <v>154</v>
      </c>
      <c r="J869">
        <v>43</v>
      </c>
      <c r="K869">
        <v>4</v>
      </c>
      <c r="L869" t="str">
        <f t="shared" si="81"/>
        <v>Correct</v>
      </c>
      <c r="M869">
        <f t="shared" si="82"/>
        <v>90.697674418604649</v>
      </c>
      <c r="N869">
        <f t="shared" si="78"/>
        <v>30.586206896551722</v>
      </c>
      <c r="O869">
        <f t="shared" si="83"/>
        <v>5.0349492671927853</v>
      </c>
      <c r="P869" t="str">
        <f t="shared" si="79"/>
        <v>Low Stock</v>
      </c>
    </row>
    <row r="870" spans="1:16" hidden="1" x14ac:dyDescent="0.35">
      <c r="A870" s="4">
        <v>46167</v>
      </c>
      <c r="B870" t="s">
        <v>31</v>
      </c>
      <c r="C870" t="s">
        <v>32</v>
      </c>
      <c r="D870" t="s">
        <v>20</v>
      </c>
      <c r="E870" t="s">
        <v>21</v>
      </c>
      <c r="F870">
        <v>93</v>
      </c>
      <c r="G870">
        <v>33</v>
      </c>
      <c r="H870">
        <v>42</v>
      </c>
      <c r="I870">
        <f t="shared" si="80"/>
        <v>84</v>
      </c>
      <c r="J870">
        <v>54</v>
      </c>
      <c r="K870">
        <v>4</v>
      </c>
      <c r="L870" t="str">
        <f t="shared" si="81"/>
        <v>Correct</v>
      </c>
      <c r="M870">
        <f t="shared" si="82"/>
        <v>77.777777777777786</v>
      </c>
      <c r="N870">
        <f t="shared" si="78"/>
        <v>32.299999999999997</v>
      </c>
      <c r="O870">
        <f t="shared" si="83"/>
        <v>2.6006191950464399</v>
      </c>
      <c r="P870" t="str">
        <f t="shared" si="79"/>
        <v>Low Stock</v>
      </c>
    </row>
    <row r="871" spans="1:16" hidden="1" x14ac:dyDescent="0.35">
      <c r="A871" s="4">
        <v>46167</v>
      </c>
      <c r="B871" t="s">
        <v>31</v>
      </c>
      <c r="C871" t="s">
        <v>32</v>
      </c>
      <c r="D871" t="s">
        <v>22</v>
      </c>
      <c r="E871" t="s">
        <v>23</v>
      </c>
      <c r="F871">
        <v>775</v>
      </c>
      <c r="G871">
        <v>4</v>
      </c>
      <c r="H871">
        <v>18</v>
      </c>
      <c r="I871">
        <f t="shared" si="80"/>
        <v>761</v>
      </c>
      <c r="J871">
        <v>32</v>
      </c>
      <c r="K871">
        <v>2</v>
      </c>
      <c r="L871" t="str">
        <f t="shared" si="81"/>
        <v>Correct</v>
      </c>
      <c r="M871">
        <f t="shared" si="82"/>
        <v>56.25</v>
      </c>
      <c r="N871">
        <f t="shared" si="78"/>
        <v>10.413793103448276</v>
      </c>
      <c r="O871">
        <f t="shared" si="83"/>
        <v>73.076158940397349</v>
      </c>
      <c r="P871" t="str">
        <f t="shared" si="79"/>
        <v>Overstock</v>
      </c>
    </row>
    <row r="872" spans="1:16" hidden="1" x14ac:dyDescent="0.35">
      <c r="A872" s="4">
        <v>46167</v>
      </c>
      <c r="B872" t="s">
        <v>33</v>
      </c>
      <c r="C872" t="s">
        <v>34</v>
      </c>
      <c r="D872" t="s">
        <v>14</v>
      </c>
      <c r="E872" t="s">
        <v>15</v>
      </c>
      <c r="F872">
        <v>242</v>
      </c>
      <c r="G872">
        <v>44</v>
      </c>
      <c r="H872">
        <v>33</v>
      </c>
      <c r="I872">
        <f t="shared" si="80"/>
        <v>253</v>
      </c>
      <c r="J872">
        <v>37</v>
      </c>
      <c r="K872">
        <v>4</v>
      </c>
      <c r="L872" t="str">
        <f t="shared" si="81"/>
        <v>Correct</v>
      </c>
      <c r="M872">
        <f t="shared" si="82"/>
        <v>89.189189189189193</v>
      </c>
      <c r="N872">
        <f t="shared" si="78"/>
        <v>20.70967741935484</v>
      </c>
      <c r="O872">
        <f t="shared" si="83"/>
        <v>12.216510903426791</v>
      </c>
      <c r="P872" t="str">
        <f t="shared" si="79"/>
        <v>Low Stock</v>
      </c>
    </row>
    <row r="873" spans="1:16" hidden="1" x14ac:dyDescent="0.35">
      <c r="A873" s="4">
        <v>46167</v>
      </c>
      <c r="B873" t="s">
        <v>33</v>
      </c>
      <c r="C873" t="s">
        <v>34</v>
      </c>
      <c r="D873" t="s">
        <v>16</v>
      </c>
      <c r="E873" t="s">
        <v>17</v>
      </c>
      <c r="F873">
        <v>224</v>
      </c>
      <c r="G873">
        <v>51</v>
      </c>
      <c r="H873">
        <v>9</v>
      </c>
      <c r="I873">
        <f t="shared" si="80"/>
        <v>266</v>
      </c>
      <c r="J873">
        <v>12</v>
      </c>
      <c r="K873">
        <v>3</v>
      </c>
      <c r="L873" t="str">
        <f t="shared" si="81"/>
        <v>Correct</v>
      </c>
      <c r="M873">
        <f t="shared" si="82"/>
        <v>75</v>
      </c>
      <c r="N873">
        <f t="shared" si="78"/>
        <v>22.142857142857142</v>
      </c>
      <c r="O873">
        <f t="shared" si="83"/>
        <v>12.012903225806452</v>
      </c>
      <c r="P873" t="str">
        <f t="shared" si="79"/>
        <v>Low Stock</v>
      </c>
    </row>
    <row r="874" spans="1:16" x14ac:dyDescent="0.35">
      <c r="A874" s="4">
        <v>46167</v>
      </c>
      <c r="B874" t="s">
        <v>33</v>
      </c>
      <c r="C874" t="s">
        <v>34</v>
      </c>
      <c r="D874" t="s">
        <v>18</v>
      </c>
      <c r="E874" t="s">
        <v>19</v>
      </c>
      <c r="F874">
        <v>113</v>
      </c>
      <c r="G874">
        <v>6</v>
      </c>
      <c r="H874">
        <v>36</v>
      </c>
      <c r="I874">
        <f t="shared" si="80"/>
        <v>83</v>
      </c>
      <c r="J874">
        <v>46</v>
      </c>
      <c r="K874">
        <v>4</v>
      </c>
      <c r="L874" t="str">
        <f t="shared" si="81"/>
        <v>Correct</v>
      </c>
      <c r="M874">
        <f t="shared" si="82"/>
        <v>78.260869565217391</v>
      </c>
      <c r="N874">
        <f t="shared" si="78"/>
        <v>30.275862068965516</v>
      </c>
      <c r="O874">
        <f t="shared" si="83"/>
        <v>2.7414578587699316</v>
      </c>
      <c r="P874" t="str">
        <f t="shared" si="79"/>
        <v>Low Stock</v>
      </c>
    </row>
    <row r="875" spans="1:16" hidden="1" x14ac:dyDescent="0.35">
      <c r="A875" s="4">
        <v>46167</v>
      </c>
      <c r="B875" t="s">
        <v>33</v>
      </c>
      <c r="C875" t="s">
        <v>34</v>
      </c>
      <c r="D875" t="s">
        <v>20</v>
      </c>
      <c r="E875" t="s">
        <v>21</v>
      </c>
      <c r="F875">
        <v>324</v>
      </c>
      <c r="G875">
        <v>45</v>
      </c>
      <c r="H875">
        <v>32</v>
      </c>
      <c r="I875">
        <f t="shared" si="80"/>
        <v>337</v>
      </c>
      <c r="J875">
        <v>35</v>
      </c>
      <c r="K875">
        <v>2</v>
      </c>
      <c r="L875" t="str">
        <f t="shared" si="81"/>
        <v>Correct</v>
      </c>
      <c r="M875">
        <f t="shared" si="82"/>
        <v>91.428571428571431</v>
      </c>
      <c r="N875">
        <f t="shared" si="78"/>
        <v>30.931034482758619</v>
      </c>
      <c r="O875">
        <f t="shared" si="83"/>
        <v>10.89520624303233</v>
      </c>
      <c r="P875" t="str">
        <f t="shared" si="79"/>
        <v>Low Stock</v>
      </c>
    </row>
    <row r="876" spans="1:16" hidden="1" x14ac:dyDescent="0.35">
      <c r="A876" s="4">
        <v>46167</v>
      </c>
      <c r="B876" t="s">
        <v>33</v>
      </c>
      <c r="C876" t="s">
        <v>34</v>
      </c>
      <c r="D876" t="s">
        <v>22</v>
      </c>
      <c r="E876" t="s">
        <v>23</v>
      </c>
      <c r="F876">
        <v>545</v>
      </c>
      <c r="G876">
        <v>52</v>
      </c>
      <c r="H876">
        <v>6</v>
      </c>
      <c r="I876">
        <f t="shared" si="80"/>
        <v>591</v>
      </c>
      <c r="J876">
        <v>13</v>
      </c>
      <c r="K876">
        <v>3</v>
      </c>
      <c r="L876" t="str">
        <f t="shared" si="81"/>
        <v>Correct</v>
      </c>
      <c r="M876">
        <f t="shared" si="82"/>
        <v>46.153846153846153</v>
      </c>
      <c r="N876">
        <f t="shared" si="78"/>
        <v>10.25</v>
      </c>
      <c r="O876">
        <f t="shared" si="83"/>
        <v>57.658536585365852</v>
      </c>
      <c r="P876" t="str">
        <f t="shared" si="79"/>
        <v>Overstock</v>
      </c>
    </row>
    <row r="877" spans="1:16" hidden="1" x14ac:dyDescent="0.35">
      <c r="A877" s="4">
        <v>46168</v>
      </c>
      <c r="B877" t="s">
        <v>12</v>
      </c>
      <c r="C877" t="s">
        <v>13</v>
      </c>
      <c r="D877" t="s">
        <v>14</v>
      </c>
      <c r="E877" t="s">
        <v>15</v>
      </c>
      <c r="F877">
        <v>565</v>
      </c>
      <c r="G877">
        <v>3</v>
      </c>
      <c r="H877">
        <v>18</v>
      </c>
      <c r="I877">
        <f t="shared" si="80"/>
        <v>550</v>
      </c>
      <c r="J877">
        <v>27</v>
      </c>
      <c r="K877">
        <v>3</v>
      </c>
      <c r="L877" t="str">
        <f t="shared" si="81"/>
        <v>Correct</v>
      </c>
      <c r="M877">
        <f t="shared" si="82"/>
        <v>66.666666666666657</v>
      </c>
      <c r="N877">
        <f t="shared" si="78"/>
        <v>21.666666666666668</v>
      </c>
      <c r="O877">
        <f t="shared" si="83"/>
        <v>25.384615384615383</v>
      </c>
      <c r="P877" t="str">
        <f t="shared" si="79"/>
        <v>Healthy</v>
      </c>
    </row>
    <row r="878" spans="1:16" hidden="1" x14ac:dyDescent="0.35">
      <c r="A878" s="4">
        <v>46168</v>
      </c>
      <c r="B878" t="s">
        <v>12</v>
      </c>
      <c r="C878" t="s">
        <v>13</v>
      </c>
      <c r="D878" t="s">
        <v>16</v>
      </c>
      <c r="E878" t="s">
        <v>17</v>
      </c>
      <c r="F878">
        <v>348</v>
      </c>
      <c r="G878">
        <v>3</v>
      </c>
      <c r="H878">
        <v>10</v>
      </c>
      <c r="I878">
        <f t="shared" si="80"/>
        <v>341</v>
      </c>
      <c r="J878">
        <v>24</v>
      </c>
      <c r="K878">
        <v>4</v>
      </c>
      <c r="L878" t="str">
        <f t="shared" si="81"/>
        <v>Correct</v>
      </c>
      <c r="M878">
        <f t="shared" si="82"/>
        <v>41.666666666666671</v>
      </c>
      <c r="N878">
        <f t="shared" si="78"/>
        <v>20.030303030303031</v>
      </c>
      <c r="O878">
        <f t="shared" si="83"/>
        <v>17.024205748865356</v>
      </c>
      <c r="P878" t="str">
        <f t="shared" si="79"/>
        <v>Healthy</v>
      </c>
    </row>
    <row r="879" spans="1:16" x14ac:dyDescent="0.35">
      <c r="A879" s="4">
        <v>46168</v>
      </c>
      <c r="B879" t="s">
        <v>12</v>
      </c>
      <c r="C879" t="s">
        <v>13</v>
      </c>
      <c r="D879" t="s">
        <v>18</v>
      </c>
      <c r="E879" t="s">
        <v>19</v>
      </c>
      <c r="F879">
        <v>156</v>
      </c>
      <c r="G879">
        <v>48</v>
      </c>
      <c r="H879">
        <v>23</v>
      </c>
      <c r="I879">
        <f t="shared" si="80"/>
        <v>181</v>
      </c>
      <c r="J879">
        <v>24</v>
      </c>
      <c r="K879">
        <v>4</v>
      </c>
      <c r="L879" t="str">
        <f t="shared" si="81"/>
        <v>Correct</v>
      </c>
      <c r="M879">
        <f t="shared" si="82"/>
        <v>95.833333333333343</v>
      </c>
      <c r="N879">
        <f t="shared" si="78"/>
        <v>33.34375</v>
      </c>
      <c r="O879">
        <f t="shared" si="83"/>
        <v>5.4283036551077792</v>
      </c>
      <c r="P879" t="str">
        <f t="shared" si="79"/>
        <v>Low Stock</v>
      </c>
    </row>
    <row r="880" spans="1:16" hidden="1" x14ac:dyDescent="0.35">
      <c r="A880" s="4">
        <v>46168</v>
      </c>
      <c r="B880" t="s">
        <v>12</v>
      </c>
      <c r="C880" t="s">
        <v>13</v>
      </c>
      <c r="D880" t="s">
        <v>20</v>
      </c>
      <c r="E880" t="s">
        <v>21</v>
      </c>
      <c r="F880">
        <v>30</v>
      </c>
      <c r="G880">
        <v>25</v>
      </c>
      <c r="H880">
        <v>22</v>
      </c>
      <c r="I880">
        <f t="shared" si="80"/>
        <v>33</v>
      </c>
      <c r="J880">
        <v>34</v>
      </c>
      <c r="K880">
        <v>5</v>
      </c>
      <c r="L880" t="str">
        <f t="shared" si="81"/>
        <v>Correct</v>
      </c>
      <c r="M880">
        <f t="shared" si="82"/>
        <v>64.705882352941174</v>
      </c>
      <c r="N880">
        <f t="shared" si="78"/>
        <v>34.515151515151516</v>
      </c>
      <c r="O880">
        <f t="shared" si="83"/>
        <v>0.95610184372256368</v>
      </c>
      <c r="P880" t="str">
        <f t="shared" si="79"/>
        <v>Low Stock</v>
      </c>
    </row>
    <row r="881" spans="1:16" hidden="1" x14ac:dyDescent="0.35">
      <c r="A881" s="4">
        <v>46168</v>
      </c>
      <c r="B881" t="s">
        <v>12</v>
      </c>
      <c r="C881" t="s">
        <v>13</v>
      </c>
      <c r="D881" t="s">
        <v>22</v>
      </c>
      <c r="E881" t="s">
        <v>23</v>
      </c>
      <c r="F881">
        <v>565</v>
      </c>
      <c r="G881">
        <v>18</v>
      </c>
      <c r="H881">
        <v>9</v>
      </c>
      <c r="I881">
        <f t="shared" si="80"/>
        <v>574</v>
      </c>
      <c r="J881">
        <v>12</v>
      </c>
      <c r="K881">
        <v>3</v>
      </c>
      <c r="L881" t="str">
        <f t="shared" si="81"/>
        <v>Correct</v>
      </c>
      <c r="M881">
        <f t="shared" si="82"/>
        <v>75</v>
      </c>
      <c r="N881">
        <f t="shared" si="78"/>
        <v>9.9032258064516121</v>
      </c>
      <c r="O881">
        <f t="shared" si="83"/>
        <v>57.960912052117266</v>
      </c>
      <c r="P881" t="str">
        <f t="shared" si="79"/>
        <v>Overstock</v>
      </c>
    </row>
    <row r="882" spans="1:16" hidden="1" x14ac:dyDescent="0.35">
      <c r="A882" s="4">
        <v>46168</v>
      </c>
      <c r="B882" t="s">
        <v>12</v>
      </c>
      <c r="C882" t="s">
        <v>24</v>
      </c>
      <c r="D882" t="s">
        <v>14</v>
      </c>
      <c r="E882" t="s">
        <v>15</v>
      </c>
      <c r="F882">
        <v>332</v>
      </c>
      <c r="G882">
        <v>45</v>
      </c>
      <c r="H882">
        <v>9</v>
      </c>
      <c r="I882">
        <f t="shared" si="80"/>
        <v>368</v>
      </c>
      <c r="J882">
        <v>17</v>
      </c>
      <c r="K882">
        <v>5</v>
      </c>
      <c r="L882" t="str">
        <f t="shared" si="81"/>
        <v>Correct</v>
      </c>
      <c r="M882">
        <f t="shared" si="82"/>
        <v>52.941176470588239</v>
      </c>
      <c r="N882">
        <f t="shared" si="78"/>
        <v>21.35483870967742</v>
      </c>
      <c r="O882">
        <f t="shared" si="83"/>
        <v>17.23262839879154</v>
      </c>
      <c r="P882" t="str">
        <f t="shared" si="79"/>
        <v>Healthy</v>
      </c>
    </row>
    <row r="883" spans="1:16" hidden="1" x14ac:dyDescent="0.35">
      <c r="A883" s="4">
        <v>46168</v>
      </c>
      <c r="B883" t="s">
        <v>12</v>
      </c>
      <c r="C883" t="s">
        <v>24</v>
      </c>
      <c r="D883" t="s">
        <v>16</v>
      </c>
      <c r="E883" t="s">
        <v>17</v>
      </c>
      <c r="F883">
        <v>210</v>
      </c>
      <c r="G883">
        <v>42</v>
      </c>
      <c r="H883">
        <v>9</v>
      </c>
      <c r="I883">
        <f t="shared" si="80"/>
        <v>243</v>
      </c>
      <c r="J883">
        <v>14</v>
      </c>
      <c r="K883">
        <v>5</v>
      </c>
      <c r="L883" t="str">
        <f t="shared" si="81"/>
        <v>Correct</v>
      </c>
      <c r="M883">
        <f t="shared" si="82"/>
        <v>64.285714285714292</v>
      </c>
      <c r="N883">
        <f t="shared" si="78"/>
        <v>21.9</v>
      </c>
      <c r="O883">
        <f t="shared" si="83"/>
        <v>11.095890410958905</v>
      </c>
      <c r="P883" t="str">
        <f t="shared" si="79"/>
        <v>Low Stock</v>
      </c>
    </row>
    <row r="884" spans="1:16" x14ac:dyDescent="0.35">
      <c r="A884" s="4">
        <v>46168</v>
      </c>
      <c r="B884" t="s">
        <v>12</v>
      </c>
      <c r="C884" t="s">
        <v>24</v>
      </c>
      <c r="D884" t="s">
        <v>18</v>
      </c>
      <c r="E884" t="s">
        <v>19</v>
      </c>
      <c r="F884">
        <v>149</v>
      </c>
      <c r="G884">
        <v>9</v>
      </c>
      <c r="H884">
        <v>33</v>
      </c>
      <c r="I884">
        <f t="shared" si="80"/>
        <v>125</v>
      </c>
      <c r="J884">
        <v>42</v>
      </c>
      <c r="K884">
        <v>5</v>
      </c>
      <c r="L884" t="str">
        <f t="shared" si="81"/>
        <v>Correct</v>
      </c>
      <c r="M884">
        <f t="shared" si="82"/>
        <v>78.571428571428569</v>
      </c>
      <c r="N884">
        <f t="shared" si="78"/>
        <v>31.586206896551722</v>
      </c>
      <c r="O884">
        <f t="shared" si="83"/>
        <v>3.9574235807860263</v>
      </c>
      <c r="P884" t="str">
        <f t="shared" si="79"/>
        <v>Low Stock</v>
      </c>
    </row>
    <row r="885" spans="1:16" hidden="1" x14ac:dyDescent="0.35">
      <c r="A885" s="4">
        <v>46168</v>
      </c>
      <c r="B885" t="s">
        <v>12</v>
      </c>
      <c r="C885" t="s">
        <v>24</v>
      </c>
      <c r="D885" t="s">
        <v>20</v>
      </c>
      <c r="E885" t="s">
        <v>21</v>
      </c>
      <c r="F885">
        <v>24</v>
      </c>
      <c r="G885">
        <v>20</v>
      </c>
      <c r="H885">
        <v>25</v>
      </c>
      <c r="I885">
        <f t="shared" si="80"/>
        <v>19</v>
      </c>
      <c r="J885">
        <v>31</v>
      </c>
      <c r="K885">
        <v>3</v>
      </c>
      <c r="L885" t="str">
        <f t="shared" si="81"/>
        <v>Correct</v>
      </c>
      <c r="M885">
        <f t="shared" si="82"/>
        <v>80.645161290322577</v>
      </c>
      <c r="N885">
        <f t="shared" si="78"/>
        <v>34.200000000000003</v>
      </c>
      <c r="O885">
        <f t="shared" si="83"/>
        <v>0.55555555555555547</v>
      </c>
      <c r="P885" t="str">
        <f t="shared" si="79"/>
        <v>Low Stock</v>
      </c>
    </row>
    <row r="886" spans="1:16" hidden="1" x14ac:dyDescent="0.35">
      <c r="A886" s="4">
        <v>46168</v>
      </c>
      <c r="B886" t="s">
        <v>12</v>
      </c>
      <c r="C886" t="s">
        <v>24</v>
      </c>
      <c r="D886" t="s">
        <v>22</v>
      </c>
      <c r="E886" t="s">
        <v>23</v>
      </c>
      <c r="F886">
        <v>554</v>
      </c>
      <c r="G886">
        <v>54</v>
      </c>
      <c r="H886">
        <v>8</v>
      </c>
      <c r="I886">
        <f t="shared" si="80"/>
        <v>600</v>
      </c>
      <c r="J886">
        <v>14</v>
      </c>
      <c r="K886">
        <v>1</v>
      </c>
      <c r="L886" t="str">
        <f t="shared" si="81"/>
        <v>Correct</v>
      </c>
      <c r="M886">
        <f t="shared" si="82"/>
        <v>57.142857142857139</v>
      </c>
      <c r="N886">
        <f t="shared" si="78"/>
        <v>10.96551724137931</v>
      </c>
      <c r="O886">
        <f t="shared" si="83"/>
        <v>54.716981132075475</v>
      </c>
      <c r="P886" t="str">
        <f t="shared" si="79"/>
        <v>Overstock</v>
      </c>
    </row>
    <row r="887" spans="1:16" hidden="1" x14ac:dyDescent="0.35">
      <c r="A887" s="4">
        <v>46168</v>
      </c>
      <c r="B887" t="s">
        <v>12</v>
      </c>
      <c r="C887" t="s">
        <v>25</v>
      </c>
      <c r="D887" t="s">
        <v>14</v>
      </c>
      <c r="E887" t="s">
        <v>15</v>
      </c>
      <c r="F887">
        <v>300</v>
      </c>
      <c r="G887">
        <v>37</v>
      </c>
      <c r="H887">
        <v>10</v>
      </c>
      <c r="I887">
        <f t="shared" si="80"/>
        <v>327</v>
      </c>
      <c r="J887">
        <v>24</v>
      </c>
      <c r="K887">
        <v>3</v>
      </c>
      <c r="L887" t="str">
        <f t="shared" si="81"/>
        <v>Correct</v>
      </c>
      <c r="M887">
        <f t="shared" si="82"/>
        <v>41.666666666666671</v>
      </c>
      <c r="N887">
        <f t="shared" si="78"/>
        <v>20.7</v>
      </c>
      <c r="O887">
        <f t="shared" si="83"/>
        <v>15.797101449275363</v>
      </c>
      <c r="P887" t="str">
        <f t="shared" si="79"/>
        <v>Healthy</v>
      </c>
    </row>
    <row r="888" spans="1:16" hidden="1" x14ac:dyDescent="0.35">
      <c r="A888" s="4">
        <v>46168</v>
      </c>
      <c r="B888" t="s">
        <v>12</v>
      </c>
      <c r="C888" t="s">
        <v>25</v>
      </c>
      <c r="D888" t="s">
        <v>16</v>
      </c>
      <c r="E888" t="s">
        <v>17</v>
      </c>
      <c r="F888">
        <v>254</v>
      </c>
      <c r="G888">
        <v>20</v>
      </c>
      <c r="H888">
        <v>11</v>
      </c>
      <c r="I888">
        <f t="shared" si="80"/>
        <v>263</v>
      </c>
      <c r="J888">
        <v>11</v>
      </c>
      <c r="K888">
        <v>3</v>
      </c>
      <c r="L888" t="str">
        <f t="shared" si="81"/>
        <v>Correct</v>
      </c>
      <c r="M888">
        <f t="shared" si="82"/>
        <v>100</v>
      </c>
      <c r="N888">
        <f t="shared" si="78"/>
        <v>23.758620689655171</v>
      </c>
      <c r="O888">
        <f t="shared" si="83"/>
        <v>11.06966618287373</v>
      </c>
      <c r="P888" t="str">
        <f t="shared" si="79"/>
        <v>Low Stock</v>
      </c>
    </row>
    <row r="889" spans="1:16" x14ac:dyDescent="0.35">
      <c r="A889" s="4">
        <v>46168</v>
      </c>
      <c r="B889" t="s">
        <v>12</v>
      </c>
      <c r="C889" t="s">
        <v>25</v>
      </c>
      <c r="D889" t="s">
        <v>18</v>
      </c>
      <c r="E889" t="s">
        <v>19</v>
      </c>
      <c r="F889">
        <v>87</v>
      </c>
      <c r="G889">
        <v>11</v>
      </c>
      <c r="H889">
        <v>21</v>
      </c>
      <c r="I889">
        <f t="shared" si="80"/>
        <v>77</v>
      </c>
      <c r="J889">
        <v>36</v>
      </c>
      <c r="K889">
        <v>1</v>
      </c>
      <c r="L889" t="str">
        <f t="shared" si="81"/>
        <v>Correct</v>
      </c>
      <c r="M889">
        <f t="shared" si="82"/>
        <v>58.333333333333336</v>
      </c>
      <c r="N889">
        <f t="shared" si="78"/>
        <v>31.142857142857142</v>
      </c>
      <c r="O889">
        <f t="shared" si="83"/>
        <v>2.4724770642201834</v>
      </c>
      <c r="P889" t="str">
        <f t="shared" si="79"/>
        <v>Low Stock</v>
      </c>
    </row>
    <row r="890" spans="1:16" hidden="1" x14ac:dyDescent="0.35">
      <c r="A890" s="4">
        <v>46168</v>
      </c>
      <c r="B890" t="s">
        <v>12</v>
      </c>
      <c r="C890" t="s">
        <v>25</v>
      </c>
      <c r="D890" t="s">
        <v>20</v>
      </c>
      <c r="E890" t="s">
        <v>21</v>
      </c>
      <c r="F890">
        <v>136</v>
      </c>
      <c r="G890">
        <v>45</v>
      </c>
      <c r="H890">
        <v>46</v>
      </c>
      <c r="I890">
        <f t="shared" si="80"/>
        <v>135</v>
      </c>
      <c r="J890">
        <v>48</v>
      </c>
      <c r="K890">
        <v>3</v>
      </c>
      <c r="L890" t="str">
        <f t="shared" si="81"/>
        <v>Correct</v>
      </c>
      <c r="M890">
        <f t="shared" si="82"/>
        <v>95.833333333333343</v>
      </c>
      <c r="N890">
        <f t="shared" si="78"/>
        <v>31.137931034482758</v>
      </c>
      <c r="O890">
        <f t="shared" si="83"/>
        <v>4.3355481727574752</v>
      </c>
      <c r="P890" t="str">
        <f t="shared" si="79"/>
        <v>Low Stock</v>
      </c>
    </row>
    <row r="891" spans="1:16" hidden="1" x14ac:dyDescent="0.35">
      <c r="A891" s="4">
        <v>46168</v>
      </c>
      <c r="B891" t="s">
        <v>12</v>
      </c>
      <c r="C891" t="s">
        <v>25</v>
      </c>
      <c r="D891" t="s">
        <v>22</v>
      </c>
      <c r="E891" t="s">
        <v>23</v>
      </c>
      <c r="F891">
        <v>670</v>
      </c>
      <c r="G891">
        <v>27</v>
      </c>
      <c r="H891">
        <v>9</v>
      </c>
      <c r="I891">
        <f t="shared" si="80"/>
        <v>688</v>
      </c>
      <c r="J891">
        <v>21</v>
      </c>
      <c r="K891">
        <v>2</v>
      </c>
      <c r="L891" t="str">
        <f t="shared" si="81"/>
        <v>Correct</v>
      </c>
      <c r="M891">
        <f t="shared" si="82"/>
        <v>42.857142857142854</v>
      </c>
      <c r="N891">
        <f t="shared" si="78"/>
        <v>11.3</v>
      </c>
      <c r="O891">
        <f t="shared" si="83"/>
        <v>60.884955752212385</v>
      </c>
      <c r="P891" t="str">
        <f t="shared" si="79"/>
        <v>Overstock</v>
      </c>
    </row>
    <row r="892" spans="1:16" hidden="1" x14ac:dyDescent="0.35">
      <c r="A892" s="4">
        <v>46168</v>
      </c>
      <c r="B892" t="s">
        <v>26</v>
      </c>
      <c r="C892" t="s">
        <v>27</v>
      </c>
      <c r="D892" t="s">
        <v>14</v>
      </c>
      <c r="E892" t="s">
        <v>15</v>
      </c>
      <c r="F892">
        <v>585</v>
      </c>
      <c r="G892">
        <v>18</v>
      </c>
      <c r="H892">
        <v>19</v>
      </c>
      <c r="I892">
        <f t="shared" si="80"/>
        <v>584</v>
      </c>
      <c r="J892">
        <v>27</v>
      </c>
      <c r="K892">
        <v>1</v>
      </c>
      <c r="L892" t="str">
        <f t="shared" si="81"/>
        <v>Correct</v>
      </c>
      <c r="M892">
        <f t="shared" si="82"/>
        <v>70.370370370370367</v>
      </c>
      <c r="N892">
        <f t="shared" si="78"/>
        <v>22.258064516129032</v>
      </c>
      <c r="O892">
        <f t="shared" si="83"/>
        <v>26.237681159420291</v>
      </c>
      <c r="P892" t="str">
        <f t="shared" si="79"/>
        <v>Healthy</v>
      </c>
    </row>
    <row r="893" spans="1:16" hidden="1" x14ac:dyDescent="0.35">
      <c r="A893" s="4">
        <v>46168</v>
      </c>
      <c r="B893" t="s">
        <v>26</v>
      </c>
      <c r="C893" t="s">
        <v>27</v>
      </c>
      <c r="D893" t="s">
        <v>16</v>
      </c>
      <c r="E893" t="s">
        <v>17</v>
      </c>
      <c r="F893">
        <v>397</v>
      </c>
      <c r="G893">
        <v>30</v>
      </c>
      <c r="H893">
        <v>16</v>
      </c>
      <c r="I893">
        <f t="shared" si="80"/>
        <v>411</v>
      </c>
      <c r="J893">
        <v>30</v>
      </c>
      <c r="K893">
        <v>3</v>
      </c>
      <c r="L893" t="str">
        <f t="shared" si="81"/>
        <v>Correct</v>
      </c>
      <c r="M893">
        <f t="shared" si="82"/>
        <v>53.333333333333336</v>
      </c>
      <c r="N893">
        <f t="shared" si="78"/>
        <v>20.172413793103448</v>
      </c>
      <c r="O893">
        <f t="shared" si="83"/>
        <v>20.374358974358973</v>
      </c>
      <c r="P893" t="str">
        <f t="shared" si="79"/>
        <v>Healthy</v>
      </c>
    </row>
    <row r="894" spans="1:16" x14ac:dyDescent="0.35">
      <c r="A894" s="4">
        <v>46168</v>
      </c>
      <c r="B894" t="s">
        <v>26</v>
      </c>
      <c r="C894" t="s">
        <v>27</v>
      </c>
      <c r="D894" t="s">
        <v>18</v>
      </c>
      <c r="E894" t="s">
        <v>19</v>
      </c>
      <c r="F894">
        <v>36</v>
      </c>
      <c r="G894">
        <v>35</v>
      </c>
      <c r="H894">
        <v>34</v>
      </c>
      <c r="I894">
        <f t="shared" si="80"/>
        <v>37</v>
      </c>
      <c r="J894">
        <v>36</v>
      </c>
      <c r="K894">
        <v>3</v>
      </c>
      <c r="L894" t="str">
        <f t="shared" si="81"/>
        <v>Correct</v>
      </c>
      <c r="M894">
        <f t="shared" si="82"/>
        <v>94.444444444444443</v>
      </c>
      <c r="N894">
        <f t="shared" si="78"/>
        <v>29.733333333333334</v>
      </c>
      <c r="O894">
        <f t="shared" si="83"/>
        <v>1.2443946188340806</v>
      </c>
      <c r="P894" t="str">
        <f t="shared" si="79"/>
        <v>Low Stock</v>
      </c>
    </row>
    <row r="895" spans="1:16" hidden="1" x14ac:dyDescent="0.35">
      <c r="A895" s="4">
        <v>46168</v>
      </c>
      <c r="B895" t="s">
        <v>26</v>
      </c>
      <c r="C895" t="s">
        <v>27</v>
      </c>
      <c r="D895" t="s">
        <v>20</v>
      </c>
      <c r="E895" t="s">
        <v>21</v>
      </c>
      <c r="F895">
        <v>276</v>
      </c>
      <c r="G895">
        <v>28</v>
      </c>
      <c r="H895">
        <v>22</v>
      </c>
      <c r="I895">
        <f t="shared" si="80"/>
        <v>282</v>
      </c>
      <c r="J895">
        <v>36</v>
      </c>
      <c r="K895">
        <v>4</v>
      </c>
      <c r="L895" t="str">
        <f t="shared" si="81"/>
        <v>Correct</v>
      </c>
      <c r="M895">
        <f t="shared" si="82"/>
        <v>61.111111111111114</v>
      </c>
      <c r="N895">
        <f t="shared" si="78"/>
        <v>30.724137931034484</v>
      </c>
      <c r="O895">
        <f t="shared" si="83"/>
        <v>9.1784511784511782</v>
      </c>
      <c r="P895" t="str">
        <f t="shared" si="79"/>
        <v>Low Stock</v>
      </c>
    </row>
    <row r="896" spans="1:16" hidden="1" x14ac:dyDescent="0.35">
      <c r="A896" s="4">
        <v>46168</v>
      </c>
      <c r="B896" t="s">
        <v>26</v>
      </c>
      <c r="C896" t="s">
        <v>27</v>
      </c>
      <c r="D896" t="s">
        <v>22</v>
      </c>
      <c r="E896" t="s">
        <v>23</v>
      </c>
      <c r="F896">
        <v>428</v>
      </c>
      <c r="G896">
        <v>41</v>
      </c>
      <c r="H896">
        <v>4</v>
      </c>
      <c r="I896">
        <f t="shared" si="80"/>
        <v>465</v>
      </c>
      <c r="J896">
        <v>17</v>
      </c>
      <c r="K896">
        <v>4</v>
      </c>
      <c r="L896" t="str">
        <f t="shared" si="81"/>
        <v>Correct</v>
      </c>
      <c r="M896">
        <f t="shared" si="82"/>
        <v>23.52941176470588</v>
      </c>
      <c r="N896">
        <f t="shared" si="78"/>
        <v>11.566666666666666</v>
      </c>
      <c r="O896">
        <f t="shared" si="83"/>
        <v>40.201729106628243</v>
      </c>
      <c r="P896" t="str">
        <f t="shared" si="79"/>
        <v>Overstock</v>
      </c>
    </row>
    <row r="897" spans="1:16" hidden="1" x14ac:dyDescent="0.35">
      <c r="A897" s="4">
        <v>46168</v>
      </c>
      <c r="B897" t="s">
        <v>28</v>
      </c>
      <c r="C897" t="s">
        <v>29</v>
      </c>
      <c r="D897" t="s">
        <v>14</v>
      </c>
      <c r="E897" t="s">
        <v>15</v>
      </c>
      <c r="F897">
        <v>397</v>
      </c>
      <c r="G897">
        <v>45</v>
      </c>
      <c r="H897">
        <v>13</v>
      </c>
      <c r="I897">
        <f t="shared" si="80"/>
        <v>429</v>
      </c>
      <c r="J897">
        <v>27</v>
      </c>
      <c r="K897">
        <v>5</v>
      </c>
      <c r="L897" t="str">
        <f t="shared" si="81"/>
        <v>Correct</v>
      </c>
      <c r="M897">
        <f t="shared" si="82"/>
        <v>48.148148148148145</v>
      </c>
      <c r="N897">
        <f t="shared" si="78"/>
        <v>22.25</v>
      </c>
      <c r="O897">
        <f t="shared" si="83"/>
        <v>19.280898876404493</v>
      </c>
      <c r="P897" t="str">
        <f t="shared" si="79"/>
        <v>Healthy</v>
      </c>
    </row>
    <row r="898" spans="1:16" hidden="1" x14ac:dyDescent="0.35">
      <c r="A898" s="4">
        <v>46168</v>
      </c>
      <c r="B898" t="s">
        <v>28</v>
      </c>
      <c r="C898" t="s">
        <v>29</v>
      </c>
      <c r="D898" t="s">
        <v>16</v>
      </c>
      <c r="E898" t="s">
        <v>17</v>
      </c>
      <c r="F898">
        <v>430</v>
      </c>
      <c r="G898">
        <v>32</v>
      </c>
      <c r="H898">
        <v>33</v>
      </c>
      <c r="I898">
        <f t="shared" si="80"/>
        <v>429</v>
      </c>
      <c r="J898">
        <v>42</v>
      </c>
      <c r="K898">
        <v>4</v>
      </c>
      <c r="L898" t="str">
        <f t="shared" si="81"/>
        <v>Correct</v>
      </c>
      <c r="M898">
        <f t="shared" si="82"/>
        <v>78.571428571428569</v>
      </c>
      <c r="N898">
        <f t="shared" ref="N898:N961" si="84">SUMIFS($H:$H,$B:$B,B898,$C:$C,C898,$D:$D,D898)/COUNTIFS($B:$B,B898,$C:$C,C898,$D:$D,D898)</f>
        <v>19.96551724137931</v>
      </c>
      <c r="O898">
        <f t="shared" si="83"/>
        <v>21.487046632124354</v>
      </c>
      <c r="P898" t="str">
        <f t="shared" ref="P898:P961" si="85">IF(O898&lt;15,"Low Stock",IF(O898&lt;=30,"Healthy","Overstock"))</f>
        <v>Healthy</v>
      </c>
    </row>
    <row r="899" spans="1:16" x14ac:dyDescent="0.35">
      <c r="A899" s="4">
        <v>46168</v>
      </c>
      <c r="B899" t="s">
        <v>28</v>
      </c>
      <c r="C899" t="s">
        <v>29</v>
      </c>
      <c r="D899" t="s">
        <v>18</v>
      </c>
      <c r="E899" t="s">
        <v>19</v>
      </c>
      <c r="F899">
        <v>112</v>
      </c>
      <c r="G899">
        <v>39</v>
      </c>
      <c r="H899">
        <v>27</v>
      </c>
      <c r="I899">
        <f t="shared" ref="I899:I962" si="86">F899+G899-H899</f>
        <v>124</v>
      </c>
      <c r="J899">
        <v>40</v>
      </c>
      <c r="K899">
        <v>2</v>
      </c>
      <c r="L899" t="str">
        <f t="shared" ref="L899:L962" si="87">IF(I899&lt;0,"Need verification","Correct")</f>
        <v>Correct</v>
      </c>
      <c r="M899">
        <f t="shared" ref="M899:M962" si="88">IF(J899=0,0,(H899/J899)*100)</f>
        <v>67.5</v>
      </c>
      <c r="N899">
        <f t="shared" si="84"/>
        <v>31.206896551724139</v>
      </c>
      <c r="O899">
        <f t="shared" ref="O899:O962" si="89">IFERROR(I899/N899,0)</f>
        <v>3.9734806629834254</v>
      </c>
      <c r="P899" t="str">
        <f t="shared" si="85"/>
        <v>Low Stock</v>
      </c>
    </row>
    <row r="900" spans="1:16" hidden="1" x14ac:dyDescent="0.35">
      <c r="A900" s="4">
        <v>46168</v>
      </c>
      <c r="B900" t="s">
        <v>28</v>
      </c>
      <c r="C900" t="s">
        <v>29</v>
      </c>
      <c r="D900" t="s">
        <v>20</v>
      </c>
      <c r="E900" t="s">
        <v>21</v>
      </c>
      <c r="F900">
        <v>26</v>
      </c>
      <c r="G900">
        <v>46</v>
      </c>
      <c r="H900">
        <v>18</v>
      </c>
      <c r="I900">
        <f t="shared" si="86"/>
        <v>54</v>
      </c>
      <c r="J900">
        <v>18</v>
      </c>
      <c r="K900">
        <v>1</v>
      </c>
      <c r="L900" t="str">
        <f t="shared" si="87"/>
        <v>Correct</v>
      </c>
      <c r="M900">
        <f t="shared" si="88"/>
        <v>100</v>
      </c>
      <c r="N900">
        <f t="shared" si="84"/>
        <v>32.620689655172413</v>
      </c>
      <c r="O900">
        <f t="shared" si="89"/>
        <v>1.6553911205073997</v>
      </c>
      <c r="P900" t="str">
        <f t="shared" si="85"/>
        <v>Low Stock</v>
      </c>
    </row>
    <row r="901" spans="1:16" hidden="1" x14ac:dyDescent="0.35">
      <c r="A901" s="4">
        <v>46168</v>
      </c>
      <c r="B901" t="s">
        <v>28</v>
      </c>
      <c r="C901" t="s">
        <v>29</v>
      </c>
      <c r="D901" t="s">
        <v>22</v>
      </c>
      <c r="E901" t="s">
        <v>23</v>
      </c>
      <c r="F901">
        <v>796</v>
      </c>
      <c r="G901">
        <v>1</v>
      </c>
      <c r="H901">
        <v>15</v>
      </c>
      <c r="I901">
        <f t="shared" si="86"/>
        <v>782</v>
      </c>
      <c r="J901">
        <v>25</v>
      </c>
      <c r="K901">
        <v>4</v>
      </c>
      <c r="L901" t="str">
        <f t="shared" si="87"/>
        <v>Correct</v>
      </c>
      <c r="M901">
        <f t="shared" si="88"/>
        <v>60</v>
      </c>
      <c r="N901">
        <f t="shared" si="84"/>
        <v>11.678571428571429</v>
      </c>
      <c r="O901">
        <f t="shared" si="89"/>
        <v>66.960244648318039</v>
      </c>
      <c r="P901" t="str">
        <f t="shared" si="85"/>
        <v>Overstock</v>
      </c>
    </row>
    <row r="902" spans="1:16" hidden="1" x14ac:dyDescent="0.35">
      <c r="A902" s="4">
        <v>46168</v>
      </c>
      <c r="B902" t="s">
        <v>31</v>
      </c>
      <c r="C902" t="s">
        <v>32</v>
      </c>
      <c r="D902" t="s">
        <v>14</v>
      </c>
      <c r="E902" t="s">
        <v>15</v>
      </c>
      <c r="F902">
        <v>421</v>
      </c>
      <c r="G902">
        <v>3</v>
      </c>
      <c r="H902">
        <v>15</v>
      </c>
      <c r="I902">
        <f t="shared" si="86"/>
        <v>409</v>
      </c>
      <c r="J902">
        <v>26</v>
      </c>
      <c r="K902">
        <v>2</v>
      </c>
      <c r="L902" t="str">
        <f t="shared" si="87"/>
        <v>Correct</v>
      </c>
      <c r="M902">
        <f t="shared" si="88"/>
        <v>57.692307692307686</v>
      </c>
      <c r="N902">
        <f t="shared" si="84"/>
        <v>20.84375</v>
      </c>
      <c r="O902">
        <f t="shared" si="89"/>
        <v>19.622188905547226</v>
      </c>
      <c r="P902" t="str">
        <f t="shared" si="85"/>
        <v>Healthy</v>
      </c>
    </row>
    <row r="903" spans="1:16" hidden="1" x14ac:dyDescent="0.35">
      <c r="A903" s="4">
        <v>46168</v>
      </c>
      <c r="B903" t="s">
        <v>31</v>
      </c>
      <c r="C903" t="s">
        <v>32</v>
      </c>
      <c r="D903" t="s">
        <v>16</v>
      </c>
      <c r="E903" t="s">
        <v>17</v>
      </c>
      <c r="F903">
        <v>413</v>
      </c>
      <c r="G903">
        <v>17</v>
      </c>
      <c r="H903">
        <v>30</v>
      </c>
      <c r="I903">
        <f t="shared" si="86"/>
        <v>400</v>
      </c>
      <c r="J903">
        <v>34</v>
      </c>
      <c r="K903">
        <v>3</v>
      </c>
      <c r="L903" t="str">
        <f t="shared" si="87"/>
        <v>Correct</v>
      </c>
      <c r="M903">
        <f t="shared" si="88"/>
        <v>88.235294117647058</v>
      </c>
      <c r="N903">
        <f t="shared" si="84"/>
        <v>21.46875</v>
      </c>
      <c r="O903">
        <f t="shared" si="89"/>
        <v>18.631732168850071</v>
      </c>
      <c r="P903" t="str">
        <f t="shared" si="85"/>
        <v>Healthy</v>
      </c>
    </row>
    <row r="904" spans="1:16" x14ac:dyDescent="0.35">
      <c r="A904" s="4">
        <v>46168</v>
      </c>
      <c r="B904" t="s">
        <v>31</v>
      </c>
      <c r="C904" t="s">
        <v>32</v>
      </c>
      <c r="D904" t="s">
        <v>18</v>
      </c>
      <c r="E904" t="s">
        <v>19</v>
      </c>
      <c r="F904">
        <v>154</v>
      </c>
      <c r="G904">
        <v>51</v>
      </c>
      <c r="H904">
        <v>38</v>
      </c>
      <c r="I904">
        <f t="shared" si="86"/>
        <v>167</v>
      </c>
      <c r="J904">
        <v>49</v>
      </c>
      <c r="K904">
        <v>5</v>
      </c>
      <c r="L904" t="str">
        <f t="shared" si="87"/>
        <v>Correct</v>
      </c>
      <c r="M904">
        <f t="shared" si="88"/>
        <v>77.551020408163268</v>
      </c>
      <c r="N904">
        <f t="shared" si="84"/>
        <v>30.586206896551722</v>
      </c>
      <c r="O904">
        <f t="shared" si="89"/>
        <v>5.4599774520856821</v>
      </c>
      <c r="P904" t="str">
        <f t="shared" si="85"/>
        <v>Low Stock</v>
      </c>
    </row>
    <row r="905" spans="1:16" hidden="1" x14ac:dyDescent="0.35">
      <c r="A905" s="4">
        <v>46168</v>
      </c>
      <c r="B905" t="s">
        <v>31</v>
      </c>
      <c r="C905" t="s">
        <v>32</v>
      </c>
      <c r="D905" t="s">
        <v>20</v>
      </c>
      <c r="E905" t="s">
        <v>21</v>
      </c>
      <c r="F905">
        <v>84</v>
      </c>
      <c r="G905">
        <v>6</v>
      </c>
      <c r="H905">
        <v>47</v>
      </c>
      <c r="I905">
        <f t="shared" si="86"/>
        <v>43</v>
      </c>
      <c r="J905">
        <v>50</v>
      </c>
      <c r="K905">
        <v>4</v>
      </c>
      <c r="L905" t="str">
        <f t="shared" si="87"/>
        <v>Correct</v>
      </c>
      <c r="M905">
        <f t="shared" si="88"/>
        <v>94</v>
      </c>
      <c r="N905">
        <f t="shared" si="84"/>
        <v>32.299999999999997</v>
      </c>
      <c r="O905">
        <f t="shared" si="89"/>
        <v>1.3312693498452013</v>
      </c>
      <c r="P905" t="str">
        <f t="shared" si="85"/>
        <v>Low Stock</v>
      </c>
    </row>
    <row r="906" spans="1:16" hidden="1" x14ac:dyDescent="0.35">
      <c r="A906" s="4">
        <v>46168</v>
      </c>
      <c r="B906" t="s">
        <v>31</v>
      </c>
      <c r="C906" t="s">
        <v>32</v>
      </c>
      <c r="D906" t="s">
        <v>22</v>
      </c>
      <c r="E906" t="s">
        <v>23</v>
      </c>
      <c r="F906">
        <v>761</v>
      </c>
      <c r="G906">
        <v>49</v>
      </c>
      <c r="H906">
        <v>7</v>
      </c>
      <c r="I906">
        <f t="shared" si="86"/>
        <v>803</v>
      </c>
      <c r="J906">
        <v>15</v>
      </c>
      <c r="K906">
        <v>4</v>
      </c>
      <c r="L906" t="str">
        <f t="shared" si="87"/>
        <v>Correct</v>
      </c>
      <c r="M906">
        <f t="shared" si="88"/>
        <v>46.666666666666664</v>
      </c>
      <c r="N906">
        <f t="shared" si="84"/>
        <v>10.413793103448276</v>
      </c>
      <c r="O906">
        <f t="shared" si="89"/>
        <v>77.109271523178805</v>
      </c>
      <c r="P906" t="str">
        <f t="shared" si="85"/>
        <v>Overstock</v>
      </c>
    </row>
    <row r="907" spans="1:16" hidden="1" x14ac:dyDescent="0.35">
      <c r="A907" s="4">
        <v>46168</v>
      </c>
      <c r="B907" t="s">
        <v>33</v>
      </c>
      <c r="C907" t="s">
        <v>34</v>
      </c>
      <c r="D907" t="s">
        <v>14</v>
      </c>
      <c r="E907" t="s">
        <v>15</v>
      </c>
      <c r="F907">
        <v>253</v>
      </c>
      <c r="G907">
        <v>8</v>
      </c>
      <c r="H907">
        <v>23</v>
      </c>
      <c r="I907">
        <f t="shared" si="86"/>
        <v>238</v>
      </c>
      <c r="J907">
        <v>25</v>
      </c>
      <c r="K907">
        <v>5</v>
      </c>
      <c r="L907" t="str">
        <f t="shared" si="87"/>
        <v>Correct</v>
      </c>
      <c r="M907">
        <f t="shared" si="88"/>
        <v>92</v>
      </c>
      <c r="N907">
        <f t="shared" si="84"/>
        <v>20.70967741935484</v>
      </c>
      <c r="O907">
        <f t="shared" si="89"/>
        <v>11.492211838006229</v>
      </c>
      <c r="P907" t="str">
        <f t="shared" si="85"/>
        <v>Low Stock</v>
      </c>
    </row>
    <row r="908" spans="1:16" hidden="1" x14ac:dyDescent="0.35">
      <c r="A908" s="4">
        <v>46168</v>
      </c>
      <c r="B908" t="s">
        <v>33</v>
      </c>
      <c r="C908" t="s">
        <v>34</v>
      </c>
      <c r="D908" t="s">
        <v>16</v>
      </c>
      <c r="E908" t="s">
        <v>17</v>
      </c>
      <c r="F908">
        <v>266</v>
      </c>
      <c r="G908">
        <v>19</v>
      </c>
      <c r="H908">
        <v>8</v>
      </c>
      <c r="I908">
        <f t="shared" si="86"/>
        <v>277</v>
      </c>
      <c r="J908">
        <v>23</v>
      </c>
      <c r="K908">
        <v>2</v>
      </c>
      <c r="L908" t="str">
        <f t="shared" si="87"/>
        <v>Correct</v>
      </c>
      <c r="M908">
        <f t="shared" si="88"/>
        <v>34.782608695652172</v>
      </c>
      <c r="N908">
        <f t="shared" si="84"/>
        <v>22.142857142857142</v>
      </c>
      <c r="O908">
        <f t="shared" si="89"/>
        <v>12.509677419354839</v>
      </c>
      <c r="P908" t="str">
        <f t="shared" si="85"/>
        <v>Low Stock</v>
      </c>
    </row>
    <row r="909" spans="1:16" x14ac:dyDescent="0.35">
      <c r="A909" s="4">
        <v>46168</v>
      </c>
      <c r="B909" t="s">
        <v>33</v>
      </c>
      <c r="C909" t="s">
        <v>34</v>
      </c>
      <c r="D909" t="s">
        <v>18</v>
      </c>
      <c r="E909" t="s">
        <v>19</v>
      </c>
      <c r="F909">
        <v>83</v>
      </c>
      <c r="G909">
        <v>42</v>
      </c>
      <c r="H909">
        <v>20</v>
      </c>
      <c r="I909">
        <f t="shared" si="86"/>
        <v>105</v>
      </c>
      <c r="J909">
        <v>23</v>
      </c>
      <c r="K909">
        <v>2</v>
      </c>
      <c r="L909" t="str">
        <f t="shared" si="87"/>
        <v>Correct</v>
      </c>
      <c r="M909">
        <f t="shared" si="88"/>
        <v>86.956521739130437</v>
      </c>
      <c r="N909">
        <f t="shared" si="84"/>
        <v>30.275862068965516</v>
      </c>
      <c r="O909">
        <f t="shared" si="89"/>
        <v>3.4681093394077451</v>
      </c>
      <c r="P909" t="str">
        <f t="shared" si="85"/>
        <v>Low Stock</v>
      </c>
    </row>
    <row r="910" spans="1:16" hidden="1" x14ac:dyDescent="0.35">
      <c r="A910" s="4">
        <v>46168</v>
      </c>
      <c r="B910" t="s">
        <v>33</v>
      </c>
      <c r="C910" t="s">
        <v>34</v>
      </c>
      <c r="D910" t="s">
        <v>20</v>
      </c>
      <c r="E910" t="s">
        <v>21</v>
      </c>
      <c r="F910">
        <v>337</v>
      </c>
      <c r="G910">
        <v>36</v>
      </c>
      <c r="H910">
        <v>34</v>
      </c>
      <c r="I910">
        <f t="shared" si="86"/>
        <v>339</v>
      </c>
      <c r="J910">
        <v>36</v>
      </c>
      <c r="K910">
        <v>1</v>
      </c>
      <c r="L910" t="str">
        <f t="shared" si="87"/>
        <v>Correct</v>
      </c>
      <c r="M910">
        <f t="shared" si="88"/>
        <v>94.444444444444443</v>
      </c>
      <c r="N910">
        <f t="shared" si="84"/>
        <v>30.931034482758619</v>
      </c>
      <c r="O910">
        <f t="shared" si="89"/>
        <v>10.959866220735787</v>
      </c>
      <c r="P910" t="str">
        <f t="shared" si="85"/>
        <v>Low Stock</v>
      </c>
    </row>
    <row r="911" spans="1:16" hidden="1" x14ac:dyDescent="0.35">
      <c r="A911" s="4">
        <v>46168</v>
      </c>
      <c r="B911" t="s">
        <v>33</v>
      </c>
      <c r="C911" t="s">
        <v>34</v>
      </c>
      <c r="D911" t="s">
        <v>22</v>
      </c>
      <c r="E911" t="s">
        <v>23</v>
      </c>
      <c r="F911">
        <v>591</v>
      </c>
      <c r="G911">
        <v>30</v>
      </c>
      <c r="H911">
        <v>14</v>
      </c>
      <c r="I911">
        <f t="shared" si="86"/>
        <v>607</v>
      </c>
      <c r="J911">
        <v>25</v>
      </c>
      <c r="K911">
        <v>1</v>
      </c>
      <c r="L911" t="str">
        <f t="shared" si="87"/>
        <v>Correct</v>
      </c>
      <c r="M911">
        <f t="shared" si="88"/>
        <v>56.000000000000007</v>
      </c>
      <c r="N911">
        <f t="shared" si="84"/>
        <v>10.25</v>
      </c>
      <c r="O911">
        <f t="shared" si="89"/>
        <v>59.219512195121951</v>
      </c>
      <c r="P911" t="str">
        <f t="shared" si="85"/>
        <v>Overstock</v>
      </c>
    </row>
    <row r="912" spans="1:16" hidden="1" x14ac:dyDescent="0.35">
      <c r="A912" s="4">
        <v>46169</v>
      </c>
      <c r="B912" t="s">
        <v>12</v>
      </c>
      <c r="C912" t="s">
        <v>13</v>
      </c>
      <c r="D912" t="s">
        <v>14</v>
      </c>
      <c r="E912" t="s">
        <v>15</v>
      </c>
      <c r="F912">
        <v>550</v>
      </c>
      <c r="G912">
        <v>23</v>
      </c>
      <c r="H912">
        <v>13</v>
      </c>
      <c r="I912">
        <f t="shared" si="86"/>
        <v>560</v>
      </c>
      <c r="J912">
        <v>28</v>
      </c>
      <c r="K912">
        <v>5</v>
      </c>
      <c r="L912" t="str">
        <f t="shared" si="87"/>
        <v>Correct</v>
      </c>
      <c r="M912">
        <f t="shared" si="88"/>
        <v>46.428571428571431</v>
      </c>
      <c r="N912">
        <f t="shared" si="84"/>
        <v>21.666666666666668</v>
      </c>
      <c r="O912">
        <f t="shared" si="89"/>
        <v>25.846153846153843</v>
      </c>
      <c r="P912" t="str">
        <f t="shared" si="85"/>
        <v>Healthy</v>
      </c>
    </row>
    <row r="913" spans="1:16" hidden="1" x14ac:dyDescent="0.35">
      <c r="A913" s="4">
        <v>46169</v>
      </c>
      <c r="B913" t="s">
        <v>12</v>
      </c>
      <c r="C913" t="s">
        <v>13</v>
      </c>
      <c r="D913" t="s">
        <v>16</v>
      </c>
      <c r="E913" t="s">
        <v>17</v>
      </c>
      <c r="F913">
        <v>341</v>
      </c>
      <c r="G913">
        <v>12</v>
      </c>
      <c r="H913">
        <v>15</v>
      </c>
      <c r="I913">
        <f t="shared" si="86"/>
        <v>338</v>
      </c>
      <c r="J913">
        <v>17</v>
      </c>
      <c r="K913">
        <v>5</v>
      </c>
      <c r="L913" t="str">
        <f t="shared" si="87"/>
        <v>Correct</v>
      </c>
      <c r="M913">
        <f t="shared" si="88"/>
        <v>88.235294117647058</v>
      </c>
      <c r="N913">
        <f t="shared" si="84"/>
        <v>20.030303030303031</v>
      </c>
      <c r="O913">
        <f t="shared" si="89"/>
        <v>16.874432677760968</v>
      </c>
      <c r="P913" t="str">
        <f t="shared" si="85"/>
        <v>Healthy</v>
      </c>
    </row>
    <row r="914" spans="1:16" x14ac:dyDescent="0.35">
      <c r="A914" s="4">
        <v>46169</v>
      </c>
      <c r="B914" t="s">
        <v>12</v>
      </c>
      <c r="C914" t="s">
        <v>13</v>
      </c>
      <c r="D914" t="s">
        <v>18</v>
      </c>
      <c r="E914" t="s">
        <v>19</v>
      </c>
      <c r="F914">
        <v>181</v>
      </c>
      <c r="G914">
        <v>10</v>
      </c>
      <c r="H914">
        <v>48</v>
      </c>
      <c r="I914">
        <f t="shared" si="86"/>
        <v>143</v>
      </c>
      <c r="J914">
        <v>53</v>
      </c>
      <c r="K914">
        <v>4</v>
      </c>
      <c r="L914" t="str">
        <f t="shared" si="87"/>
        <v>Correct</v>
      </c>
      <c r="M914">
        <f t="shared" si="88"/>
        <v>90.566037735849065</v>
      </c>
      <c r="N914">
        <f t="shared" si="84"/>
        <v>33.34375</v>
      </c>
      <c r="O914">
        <f t="shared" si="89"/>
        <v>4.2886597938144329</v>
      </c>
      <c r="P914" t="str">
        <f t="shared" si="85"/>
        <v>Low Stock</v>
      </c>
    </row>
    <row r="915" spans="1:16" hidden="1" x14ac:dyDescent="0.35">
      <c r="A915" s="4">
        <v>46169</v>
      </c>
      <c r="B915" t="s">
        <v>12</v>
      </c>
      <c r="C915" t="s">
        <v>13</v>
      </c>
      <c r="D915" t="s">
        <v>20</v>
      </c>
      <c r="E915" t="s">
        <v>21</v>
      </c>
      <c r="F915">
        <v>33</v>
      </c>
      <c r="G915">
        <v>8</v>
      </c>
      <c r="H915">
        <v>46</v>
      </c>
      <c r="I915">
        <f t="shared" si="86"/>
        <v>-5</v>
      </c>
      <c r="J915">
        <v>46</v>
      </c>
      <c r="K915">
        <v>1</v>
      </c>
      <c r="L915" t="str">
        <f t="shared" si="87"/>
        <v>Need verification</v>
      </c>
      <c r="M915">
        <f t="shared" si="88"/>
        <v>100</v>
      </c>
      <c r="N915">
        <f t="shared" si="84"/>
        <v>34.515151515151516</v>
      </c>
      <c r="O915">
        <f t="shared" si="89"/>
        <v>-0.14486391571553994</v>
      </c>
      <c r="P915" t="str">
        <f t="shared" si="85"/>
        <v>Low Stock</v>
      </c>
    </row>
    <row r="916" spans="1:16" hidden="1" x14ac:dyDescent="0.35">
      <c r="A916" s="4">
        <v>46169</v>
      </c>
      <c r="B916" t="s">
        <v>12</v>
      </c>
      <c r="C916" t="s">
        <v>13</v>
      </c>
      <c r="D916" t="s">
        <v>22</v>
      </c>
      <c r="E916" t="s">
        <v>23</v>
      </c>
      <c r="F916">
        <v>574</v>
      </c>
      <c r="G916">
        <v>10</v>
      </c>
      <c r="H916">
        <v>7</v>
      </c>
      <c r="I916">
        <f t="shared" si="86"/>
        <v>577</v>
      </c>
      <c r="J916">
        <v>19</v>
      </c>
      <c r="K916">
        <v>4</v>
      </c>
      <c r="L916" t="str">
        <f t="shared" si="87"/>
        <v>Correct</v>
      </c>
      <c r="M916">
        <f t="shared" si="88"/>
        <v>36.84210526315789</v>
      </c>
      <c r="N916">
        <f t="shared" si="84"/>
        <v>9.9032258064516121</v>
      </c>
      <c r="O916">
        <f t="shared" si="89"/>
        <v>58.263843648208471</v>
      </c>
      <c r="P916" t="str">
        <f t="shared" si="85"/>
        <v>Overstock</v>
      </c>
    </row>
    <row r="917" spans="1:16" hidden="1" x14ac:dyDescent="0.35">
      <c r="A917" s="4">
        <v>46169</v>
      </c>
      <c r="B917" t="s">
        <v>12</v>
      </c>
      <c r="C917" t="s">
        <v>24</v>
      </c>
      <c r="D917" t="s">
        <v>14</v>
      </c>
      <c r="E917" t="s">
        <v>15</v>
      </c>
      <c r="F917">
        <v>368</v>
      </c>
      <c r="G917">
        <v>25</v>
      </c>
      <c r="H917">
        <v>24</v>
      </c>
      <c r="I917">
        <f t="shared" si="86"/>
        <v>369</v>
      </c>
      <c r="J917">
        <v>24</v>
      </c>
      <c r="K917">
        <v>1</v>
      </c>
      <c r="L917" t="str">
        <f t="shared" si="87"/>
        <v>Correct</v>
      </c>
      <c r="M917">
        <f t="shared" si="88"/>
        <v>100</v>
      </c>
      <c r="N917">
        <f t="shared" si="84"/>
        <v>21.35483870967742</v>
      </c>
      <c r="O917">
        <f t="shared" si="89"/>
        <v>17.279456193353475</v>
      </c>
      <c r="P917" t="str">
        <f t="shared" si="85"/>
        <v>Healthy</v>
      </c>
    </row>
    <row r="918" spans="1:16" hidden="1" x14ac:dyDescent="0.35">
      <c r="A918" s="4">
        <v>46169</v>
      </c>
      <c r="B918" t="s">
        <v>12</v>
      </c>
      <c r="C918" t="s">
        <v>24</v>
      </c>
      <c r="D918" t="s">
        <v>16</v>
      </c>
      <c r="E918" t="s">
        <v>17</v>
      </c>
      <c r="F918">
        <v>243</v>
      </c>
      <c r="G918">
        <v>33</v>
      </c>
      <c r="H918">
        <v>26</v>
      </c>
      <c r="I918">
        <f t="shared" si="86"/>
        <v>250</v>
      </c>
      <c r="J918">
        <v>31</v>
      </c>
      <c r="K918">
        <v>5</v>
      </c>
      <c r="L918" t="str">
        <f t="shared" si="87"/>
        <v>Correct</v>
      </c>
      <c r="M918">
        <f t="shared" si="88"/>
        <v>83.870967741935488</v>
      </c>
      <c r="N918">
        <f t="shared" si="84"/>
        <v>21.9</v>
      </c>
      <c r="O918">
        <f t="shared" si="89"/>
        <v>11.415525114155251</v>
      </c>
      <c r="P918" t="str">
        <f t="shared" si="85"/>
        <v>Low Stock</v>
      </c>
    </row>
    <row r="919" spans="1:16" x14ac:dyDescent="0.35">
      <c r="A919" s="4">
        <v>46169</v>
      </c>
      <c r="B919" t="s">
        <v>12</v>
      </c>
      <c r="C919" t="s">
        <v>24</v>
      </c>
      <c r="D919" t="s">
        <v>18</v>
      </c>
      <c r="E919" t="s">
        <v>19</v>
      </c>
      <c r="F919">
        <v>125</v>
      </c>
      <c r="G919">
        <v>41</v>
      </c>
      <c r="H919">
        <v>22</v>
      </c>
      <c r="I919">
        <f t="shared" si="86"/>
        <v>144</v>
      </c>
      <c r="J919">
        <v>24</v>
      </c>
      <c r="K919">
        <v>5</v>
      </c>
      <c r="L919" t="str">
        <f t="shared" si="87"/>
        <v>Correct</v>
      </c>
      <c r="M919">
        <f t="shared" si="88"/>
        <v>91.666666666666657</v>
      </c>
      <c r="N919">
        <f t="shared" si="84"/>
        <v>31.586206896551722</v>
      </c>
      <c r="O919">
        <f t="shared" si="89"/>
        <v>4.5589519650655026</v>
      </c>
      <c r="P919" t="str">
        <f t="shared" si="85"/>
        <v>Low Stock</v>
      </c>
    </row>
    <row r="920" spans="1:16" hidden="1" x14ac:dyDescent="0.35">
      <c r="A920" s="4">
        <v>46169</v>
      </c>
      <c r="B920" t="s">
        <v>12</v>
      </c>
      <c r="C920" t="s">
        <v>24</v>
      </c>
      <c r="D920" t="s">
        <v>20</v>
      </c>
      <c r="E920" t="s">
        <v>21</v>
      </c>
      <c r="F920">
        <v>19</v>
      </c>
      <c r="G920">
        <v>23</v>
      </c>
      <c r="H920">
        <v>34</v>
      </c>
      <c r="I920">
        <f t="shared" si="86"/>
        <v>8</v>
      </c>
      <c r="J920">
        <v>46</v>
      </c>
      <c r="K920">
        <v>2</v>
      </c>
      <c r="L920" t="str">
        <f t="shared" si="87"/>
        <v>Correct</v>
      </c>
      <c r="M920">
        <f t="shared" si="88"/>
        <v>73.91304347826086</v>
      </c>
      <c r="N920">
        <f t="shared" si="84"/>
        <v>34.200000000000003</v>
      </c>
      <c r="O920">
        <f t="shared" si="89"/>
        <v>0.23391812865497075</v>
      </c>
      <c r="P920" t="str">
        <f t="shared" si="85"/>
        <v>Low Stock</v>
      </c>
    </row>
    <row r="921" spans="1:16" hidden="1" x14ac:dyDescent="0.35">
      <c r="A921" s="4">
        <v>46169</v>
      </c>
      <c r="B921" t="s">
        <v>12</v>
      </c>
      <c r="C921" t="s">
        <v>24</v>
      </c>
      <c r="D921" t="s">
        <v>22</v>
      </c>
      <c r="E921" t="s">
        <v>23</v>
      </c>
      <c r="F921">
        <v>600</v>
      </c>
      <c r="G921">
        <v>24</v>
      </c>
      <c r="H921">
        <v>16</v>
      </c>
      <c r="I921">
        <f t="shared" si="86"/>
        <v>608</v>
      </c>
      <c r="J921">
        <v>24</v>
      </c>
      <c r="K921">
        <v>2</v>
      </c>
      <c r="L921" t="str">
        <f t="shared" si="87"/>
        <v>Correct</v>
      </c>
      <c r="M921">
        <f t="shared" si="88"/>
        <v>66.666666666666657</v>
      </c>
      <c r="N921">
        <f t="shared" si="84"/>
        <v>10.96551724137931</v>
      </c>
      <c r="O921">
        <f t="shared" si="89"/>
        <v>55.44654088050315</v>
      </c>
      <c r="P921" t="str">
        <f t="shared" si="85"/>
        <v>Overstock</v>
      </c>
    </row>
    <row r="922" spans="1:16" hidden="1" x14ac:dyDescent="0.35">
      <c r="A922" s="4">
        <v>46169</v>
      </c>
      <c r="B922" t="s">
        <v>12</v>
      </c>
      <c r="C922" t="s">
        <v>25</v>
      </c>
      <c r="D922" t="s">
        <v>14</v>
      </c>
      <c r="E922" t="s">
        <v>15</v>
      </c>
      <c r="F922">
        <v>327</v>
      </c>
      <c r="G922">
        <v>7</v>
      </c>
      <c r="H922">
        <v>33</v>
      </c>
      <c r="I922">
        <f t="shared" si="86"/>
        <v>301</v>
      </c>
      <c r="J922">
        <v>46</v>
      </c>
      <c r="K922">
        <v>3</v>
      </c>
      <c r="L922" t="str">
        <f t="shared" si="87"/>
        <v>Correct</v>
      </c>
      <c r="M922">
        <f t="shared" si="88"/>
        <v>71.739130434782609</v>
      </c>
      <c r="N922">
        <f t="shared" si="84"/>
        <v>20.7</v>
      </c>
      <c r="O922">
        <f t="shared" si="89"/>
        <v>14.541062801932368</v>
      </c>
      <c r="P922" t="str">
        <f t="shared" si="85"/>
        <v>Low Stock</v>
      </c>
    </row>
    <row r="923" spans="1:16" hidden="1" x14ac:dyDescent="0.35">
      <c r="A923" s="4">
        <v>46169</v>
      </c>
      <c r="B923" t="s">
        <v>12</v>
      </c>
      <c r="C923" t="s">
        <v>25</v>
      </c>
      <c r="D923" t="s">
        <v>16</v>
      </c>
      <c r="E923" t="s">
        <v>17</v>
      </c>
      <c r="F923">
        <v>263</v>
      </c>
      <c r="G923">
        <v>14</v>
      </c>
      <c r="H923">
        <v>34</v>
      </c>
      <c r="I923">
        <f t="shared" si="86"/>
        <v>243</v>
      </c>
      <c r="J923">
        <v>36</v>
      </c>
      <c r="K923">
        <v>1</v>
      </c>
      <c r="L923" t="str">
        <f t="shared" si="87"/>
        <v>Correct</v>
      </c>
      <c r="M923">
        <f t="shared" si="88"/>
        <v>94.444444444444443</v>
      </c>
      <c r="N923">
        <f t="shared" si="84"/>
        <v>23.758620689655171</v>
      </c>
      <c r="O923">
        <f t="shared" si="89"/>
        <v>10.227866473149493</v>
      </c>
      <c r="P923" t="str">
        <f t="shared" si="85"/>
        <v>Low Stock</v>
      </c>
    </row>
    <row r="924" spans="1:16" x14ac:dyDescent="0.35">
      <c r="A924" s="4">
        <v>46169</v>
      </c>
      <c r="B924" t="s">
        <v>12</v>
      </c>
      <c r="C924" t="s">
        <v>25</v>
      </c>
      <c r="D924" t="s">
        <v>18</v>
      </c>
      <c r="E924" t="s">
        <v>19</v>
      </c>
      <c r="F924">
        <v>77</v>
      </c>
      <c r="G924">
        <v>21</v>
      </c>
      <c r="H924">
        <v>36</v>
      </c>
      <c r="I924">
        <f t="shared" si="86"/>
        <v>62</v>
      </c>
      <c r="J924">
        <v>36</v>
      </c>
      <c r="K924">
        <v>4</v>
      </c>
      <c r="L924" t="str">
        <f t="shared" si="87"/>
        <v>Correct</v>
      </c>
      <c r="M924">
        <f t="shared" si="88"/>
        <v>100</v>
      </c>
      <c r="N924">
        <f t="shared" si="84"/>
        <v>31.142857142857142</v>
      </c>
      <c r="O924">
        <f t="shared" si="89"/>
        <v>1.9908256880733946</v>
      </c>
      <c r="P924" t="str">
        <f t="shared" si="85"/>
        <v>Low Stock</v>
      </c>
    </row>
    <row r="925" spans="1:16" hidden="1" x14ac:dyDescent="0.35">
      <c r="A925" s="4">
        <v>46169</v>
      </c>
      <c r="B925" t="s">
        <v>12</v>
      </c>
      <c r="C925" t="s">
        <v>13</v>
      </c>
      <c r="D925" t="s">
        <v>20</v>
      </c>
      <c r="E925" t="s">
        <v>21</v>
      </c>
      <c r="F925">
        <v>135</v>
      </c>
      <c r="G925">
        <v>53</v>
      </c>
      <c r="H925">
        <v>40</v>
      </c>
      <c r="I925">
        <f t="shared" si="86"/>
        <v>148</v>
      </c>
      <c r="J925">
        <v>50</v>
      </c>
      <c r="K925">
        <v>3</v>
      </c>
      <c r="L925" t="str">
        <f t="shared" si="87"/>
        <v>Correct</v>
      </c>
      <c r="M925">
        <f t="shared" si="88"/>
        <v>80</v>
      </c>
      <c r="N925">
        <f t="shared" si="84"/>
        <v>34.515151515151516</v>
      </c>
      <c r="O925">
        <f t="shared" si="89"/>
        <v>4.2879719051799823</v>
      </c>
      <c r="P925" t="str">
        <f t="shared" si="85"/>
        <v>Low Stock</v>
      </c>
    </row>
    <row r="926" spans="1:16" hidden="1" x14ac:dyDescent="0.35">
      <c r="A926" s="4">
        <v>46169</v>
      </c>
      <c r="B926" t="s">
        <v>12</v>
      </c>
      <c r="C926" t="s">
        <v>25</v>
      </c>
      <c r="D926" t="s">
        <v>22</v>
      </c>
      <c r="E926" t="s">
        <v>23</v>
      </c>
      <c r="F926">
        <v>688</v>
      </c>
      <c r="G926">
        <v>53</v>
      </c>
      <c r="H926">
        <v>8</v>
      </c>
      <c r="I926">
        <f t="shared" si="86"/>
        <v>733</v>
      </c>
      <c r="J926">
        <v>19</v>
      </c>
      <c r="K926">
        <v>1</v>
      </c>
      <c r="L926" t="str">
        <f t="shared" si="87"/>
        <v>Correct</v>
      </c>
      <c r="M926">
        <f t="shared" si="88"/>
        <v>42.105263157894733</v>
      </c>
      <c r="N926">
        <f t="shared" si="84"/>
        <v>11.3</v>
      </c>
      <c r="O926">
        <f t="shared" si="89"/>
        <v>64.86725663716814</v>
      </c>
      <c r="P926" t="str">
        <f t="shared" si="85"/>
        <v>Overstock</v>
      </c>
    </row>
    <row r="927" spans="1:16" hidden="1" x14ac:dyDescent="0.35">
      <c r="A927" s="4">
        <v>46169</v>
      </c>
      <c r="B927" t="s">
        <v>26</v>
      </c>
      <c r="C927" t="s">
        <v>27</v>
      </c>
      <c r="D927" t="s">
        <v>14</v>
      </c>
      <c r="E927" t="s">
        <v>15</v>
      </c>
      <c r="F927">
        <v>584</v>
      </c>
      <c r="G927">
        <v>30</v>
      </c>
      <c r="H927">
        <v>16</v>
      </c>
      <c r="I927">
        <f t="shared" si="86"/>
        <v>598</v>
      </c>
      <c r="J927">
        <v>16</v>
      </c>
      <c r="K927">
        <v>4</v>
      </c>
      <c r="L927" t="str">
        <f t="shared" si="87"/>
        <v>Correct</v>
      </c>
      <c r="M927">
        <f t="shared" si="88"/>
        <v>100</v>
      </c>
      <c r="N927">
        <f t="shared" si="84"/>
        <v>22.258064516129032</v>
      </c>
      <c r="O927">
        <f t="shared" si="89"/>
        <v>26.866666666666667</v>
      </c>
      <c r="P927" t="str">
        <f t="shared" si="85"/>
        <v>Healthy</v>
      </c>
    </row>
    <row r="928" spans="1:16" hidden="1" x14ac:dyDescent="0.35">
      <c r="A928" s="4">
        <v>46169</v>
      </c>
      <c r="B928" t="s">
        <v>26</v>
      </c>
      <c r="C928" t="s">
        <v>27</v>
      </c>
      <c r="D928" t="s">
        <v>16</v>
      </c>
      <c r="E928" t="s">
        <v>17</v>
      </c>
      <c r="F928">
        <v>411</v>
      </c>
      <c r="G928">
        <v>33</v>
      </c>
      <c r="H928">
        <v>33</v>
      </c>
      <c r="I928">
        <f t="shared" si="86"/>
        <v>411</v>
      </c>
      <c r="J928">
        <v>41</v>
      </c>
      <c r="K928">
        <v>1</v>
      </c>
      <c r="L928" t="str">
        <f t="shared" si="87"/>
        <v>Correct</v>
      </c>
      <c r="M928">
        <f t="shared" si="88"/>
        <v>80.487804878048792</v>
      </c>
      <c r="N928">
        <f t="shared" si="84"/>
        <v>20.172413793103448</v>
      </c>
      <c r="O928">
        <f t="shared" si="89"/>
        <v>20.374358974358973</v>
      </c>
      <c r="P928" t="str">
        <f t="shared" si="85"/>
        <v>Healthy</v>
      </c>
    </row>
    <row r="929" spans="1:16" x14ac:dyDescent="0.35">
      <c r="A929" s="4">
        <v>46169</v>
      </c>
      <c r="B929" t="s">
        <v>26</v>
      </c>
      <c r="C929" t="s">
        <v>27</v>
      </c>
      <c r="D929" t="s">
        <v>18</v>
      </c>
      <c r="E929" t="s">
        <v>19</v>
      </c>
      <c r="F929">
        <v>37</v>
      </c>
      <c r="G929">
        <v>43</v>
      </c>
      <c r="H929">
        <v>23</v>
      </c>
      <c r="I929">
        <f t="shared" si="86"/>
        <v>57</v>
      </c>
      <c r="J929">
        <v>32</v>
      </c>
      <c r="K929">
        <v>1</v>
      </c>
      <c r="L929" t="str">
        <f t="shared" si="87"/>
        <v>Correct</v>
      </c>
      <c r="M929">
        <f t="shared" si="88"/>
        <v>71.875</v>
      </c>
      <c r="N929">
        <f t="shared" si="84"/>
        <v>29.733333333333334</v>
      </c>
      <c r="O929">
        <f t="shared" si="89"/>
        <v>1.9170403587443945</v>
      </c>
      <c r="P929" t="str">
        <f t="shared" si="85"/>
        <v>Low Stock</v>
      </c>
    </row>
    <row r="930" spans="1:16" hidden="1" x14ac:dyDescent="0.35">
      <c r="A930" s="4">
        <v>46169</v>
      </c>
      <c r="B930" t="s">
        <v>26</v>
      </c>
      <c r="C930" t="s">
        <v>27</v>
      </c>
      <c r="D930" t="s">
        <v>20</v>
      </c>
      <c r="E930" t="s">
        <v>21</v>
      </c>
      <c r="F930">
        <v>282</v>
      </c>
      <c r="G930">
        <v>50</v>
      </c>
      <c r="H930">
        <v>43</v>
      </c>
      <c r="I930">
        <f t="shared" si="86"/>
        <v>289</v>
      </c>
      <c r="J930">
        <v>44</v>
      </c>
      <c r="K930">
        <v>4</v>
      </c>
      <c r="L930" t="str">
        <f t="shared" si="87"/>
        <v>Correct</v>
      </c>
      <c r="M930">
        <f t="shared" si="88"/>
        <v>97.727272727272734</v>
      </c>
      <c r="N930">
        <f t="shared" si="84"/>
        <v>30.724137931034484</v>
      </c>
      <c r="O930">
        <f t="shared" si="89"/>
        <v>9.4062850729517393</v>
      </c>
      <c r="P930" t="str">
        <f t="shared" si="85"/>
        <v>Low Stock</v>
      </c>
    </row>
    <row r="931" spans="1:16" hidden="1" x14ac:dyDescent="0.35">
      <c r="A931" s="4">
        <v>46169</v>
      </c>
      <c r="B931" t="s">
        <v>26</v>
      </c>
      <c r="C931" t="s">
        <v>27</v>
      </c>
      <c r="D931" t="s">
        <v>22</v>
      </c>
      <c r="E931" t="s">
        <v>23</v>
      </c>
      <c r="F931">
        <v>465</v>
      </c>
      <c r="G931">
        <v>21</v>
      </c>
      <c r="H931">
        <v>9</v>
      </c>
      <c r="I931">
        <f t="shared" si="86"/>
        <v>477</v>
      </c>
      <c r="J931">
        <v>9</v>
      </c>
      <c r="K931">
        <v>2</v>
      </c>
      <c r="L931" t="str">
        <f t="shared" si="87"/>
        <v>Correct</v>
      </c>
      <c r="M931">
        <f t="shared" si="88"/>
        <v>100</v>
      </c>
      <c r="N931">
        <f t="shared" si="84"/>
        <v>11.566666666666666</v>
      </c>
      <c r="O931">
        <f t="shared" si="89"/>
        <v>41.23919308357349</v>
      </c>
      <c r="P931" t="str">
        <f t="shared" si="85"/>
        <v>Overstock</v>
      </c>
    </row>
    <row r="932" spans="1:16" hidden="1" x14ac:dyDescent="0.35">
      <c r="A932" s="4">
        <v>46169</v>
      </c>
      <c r="B932" t="s">
        <v>28</v>
      </c>
      <c r="C932" t="s">
        <v>29</v>
      </c>
      <c r="D932" t="s">
        <v>14</v>
      </c>
      <c r="E932" t="s">
        <v>15</v>
      </c>
      <c r="F932">
        <v>429</v>
      </c>
      <c r="G932">
        <v>23</v>
      </c>
      <c r="H932">
        <v>25</v>
      </c>
      <c r="I932">
        <f t="shared" si="86"/>
        <v>427</v>
      </c>
      <c r="J932">
        <v>26</v>
      </c>
      <c r="K932">
        <v>4</v>
      </c>
      <c r="L932" t="str">
        <f t="shared" si="87"/>
        <v>Correct</v>
      </c>
      <c r="M932">
        <f t="shared" si="88"/>
        <v>96.15384615384616</v>
      </c>
      <c r="N932">
        <f t="shared" si="84"/>
        <v>22.25</v>
      </c>
      <c r="O932">
        <f t="shared" si="89"/>
        <v>19.191011235955056</v>
      </c>
      <c r="P932" t="str">
        <f t="shared" si="85"/>
        <v>Healthy</v>
      </c>
    </row>
    <row r="933" spans="1:16" hidden="1" x14ac:dyDescent="0.35">
      <c r="A933" s="4">
        <v>46169</v>
      </c>
      <c r="B933" t="s">
        <v>28</v>
      </c>
      <c r="C933" t="s">
        <v>29</v>
      </c>
      <c r="D933" t="s">
        <v>16</v>
      </c>
      <c r="E933" t="s">
        <v>17</v>
      </c>
      <c r="F933">
        <v>429</v>
      </c>
      <c r="G933">
        <v>31</v>
      </c>
      <c r="H933">
        <v>28</v>
      </c>
      <c r="I933">
        <f t="shared" si="86"/>
        <v>432</v>
      </c>
      <c r="J933">
        <v>37</v>
      </c>
      <c r="K933">
        <v>3</v>
      </c>
      <c r="L933" t="str">
        <f t="shared" si="87"/>
        <v>Correct</v>
      </c>
      <c r="M933">
        <f t="shared" si="88"/>
        <v>75.675675675675677</v>
      </c>
      <c r="N933">
        <f t="shared" si="84"/>
        <v>19.96551724137931</v>
      </c>
      <c r="O933">
        <f t="shared" si="89"/>
        <v>21.637305699481868</v>
      </c>
      <c r="P933" t="str">
        <f t="shared" si="85"/>
        <v>Healthy</v>
      </c>
    </row>
    <row r="934" spans="1:16" x14ac:dyDescent="0.35">
      <c r="A934" s="4">
        <v>46169</v>
      </c>
      <c r="B934" t="s">
        <v>28</v>
      </c>
      <c r="C934" t="s">
        <v>29</v>
      </c>
      <c r="D934" t="s">
        <v>18</v>
      </c>
      <c r="E934" t="s">
        <v>19</v>
      </c>
      <c r="F934">
        <v>124</v>
      </c>
      <c r="G934">
        <v>28</v>
      </c>
      <c r="H934">
        <v>32</v>
      </c>
      <c r="I934">
        <f t="shared" si="86"/>
        <v>120</v>
      </c>
      <c r="J934">
        <v>42</v>
      </c>
      <c r="K934">
        <v>3</v>
      </c>
      <c r="L934" t="str">
        <f t="shared" si="87"/>
        <v>Correct</v>
      </c>
      <c r="M934">
        <f t="shared" si="88"/>
        <v>76.19047619047619</v>
      </c>
      <c r="N934">
        <f t="shared" si="84"/>
        <v>31.206896551724139</v>
      </c>
      <c r="O934">
        <f t="shared" si="89"/>
        <v>3.8453038674033149</v>
      </c>
      <c r="P934" t="str">
        <f t="shared" si="85"/>
        <v>Low Stock</v>
      </c>
    </row>
    <row r="935" spans="1:16" hidden="1" x14ac:dyDescent="0.35">
      <c r="A935" s="4">
        <v>46169</v>
      </c>
      <c r="B935" t="s">
        <v>28</v>
      </c>
      <c r="C935" t="s">
        <v>29</v>
      </c>
      <c r="D935" t="s">
        <v>20</v>
      </c>
      <c r="E935" t="s">
        <v>21</v>
      </c>
      <c r="F935">
        <v>54</v>
      </c>
      <c r="G935">
        <v>21</v>
      </c>
      <c r="H935">
        <v>44</v>
      </c>
      <c r="I935">
        <f t="shared" si="86"/>
        <v>31</v>
      </c>
      <c r="J935">
        <v>52</v>
      </c>
      <c r="K935">
        <v>4</v>
      </c>
      <c r="L935" t="str">
        <f t="shared" si="87"/>
        <v>Correct</v>
      </c>
      <c r="M935">
        <f t="shared" si="88"/>
        <v>84.615384615384613</v>
      </c>
      <c r="N935">
        <f t="shared" si="84"/>
        <v>32.620689655172413</v>
      </c>
      <c r="O935">
        <f t="shared" si="89"/>
        <v>0.95031712473572938</v>
      </c>
      <c r="P935" t="str">
        <f t="shared" si="85"/>
        <v>Low Stock</v>
      </c>
    </row>
    <row r="936" spans="1:16" hidden="1" x14ac:dyDescent="0.35">
      <c r="A936" s="4">
        <v>46169</v>
      </c>
      <c r="B936" t="s">
        <v>28</v>
      </c>
      <c r="C936" t="s">
        <v>29</v>
      </c>
      <c r="D936" t="s">
        <v>22</v>
      </c>
      <c r="E936" t="s">
        <v>23</v>
      </c>
      <c r="F936">
        <v>782</v>
      </c>
      <c r="G936">
        <v>45</v>
      </c>
      <c r="H936">
        <v>16</v>
      </c>
      <c r="I936">
        <f t="shared" si="86"/>
        <v>811</v>
      </c>
      <c r="J936">
        <v>25</v>
      </c>
      <c r="K936">
        <v>2</v>
      </c>
      <c r="L936" t="str">
        <f t="shared" si="87"/>
        <v>Correct</v>
      </c>
      <c r="M936">
        <f t="shared" si="88"/>
        <v>64</v>
      </c>
      <c r="N936">
        <f t="shared" si="84"/>
        <v>11.678571428571429</v>
      </c>
      <c r="O936">
        <f t="shared" si="89"/>
        <v>69.443425076452598</v>
      </c>
      <c r="P936" t="str">
        <f t="shared" si="85"/>
        <v>Overstock</v>
      </c>
    </row>
    <row r="937" spans="1:16" hidden="1" x14ac:dyDescent="0.35">
      <c r="A937" s="4">
        <v>46169</v>
      </c>
      <c r="B937" t="s">
        <v>31</v>
      </c>
      <c r="C937" t="s">
        <v>32</v>
      </c>
      <c r="D937" t="s">
        <v>14</v>
      </c>
      <c r="E937" t="s">
        <v>15</v>
      </c>
      <c r="F937">
        <v>409</v>
      </c>
      <c r="G937">
        <v>39</v>
      </c>
      <c r="H937">
        <v>10</v>
      </c>
      <c r="I937">
        <f t="shared" si="86"/>
        <v>438</v>
      </c>
      <c r="J937">
        <v>22</v>
      </c>
      <c r="K937">
        <v>3</v>
      </c>
      <c r="L937" t="str">
        <f t="shared" si="87"/>
        <v>Correct</v>
      </c>
      <c r="M937">
        <f t="shared" si="88"/>
        <v>45.454545454545453</v>
      </c>
      <c r="N937">
        <f t="shared" si="84"/>
        <v>20.84375</v>
      </c>
      <c r="O937">
        <f t="shared" si="89"/>
        <v>21.013493253373312</v>
      </c>
      <c r="P937" t="str">
        <f t="shared" si="85"/>
        <v>Healthy</v>
      </c>
    </row>
    <row r="938" spans="1:16" hidden="1" x14ac:dyDescent="0.35">
      <c r="A938" s="4">
        <v>46169</v>
      </c>
      <c r="B938" t="s">
        <v>31</v>
      </c>
      <c r="C938" t="s">
        <v>32</v>
      </c>
      <c r="D938" t="s">
        <v>16</v>
      </c>
      <c r="E938" t="s">
        <v>17</v>
      </c>
      <c r="F938">
        <v>400</v>
      </c>
      <c r="G938">
        <v>26</v>
      </c>
      <c r="H938">
        <v>10</v>
      </c>
      <c r="I938">
        <f t="shared" si="86"/>
        <v>416</v>
      </c>
      <c r="J938">
        <v>18</v>
      </c>
      <c r="K938">
        <v>2</v>
      </c>
      <c r="L938" t="str">
        <f t="shared" si="87"/>
        <v>Correct</v>
      </c>
      <c r="M938">
        <f t="shared" si="88"/>
        <v>55.555555555555557</v>
      </c>
      <c r="N938">
        <f t="shared" si="84"/>
        <v>21.46875</v>
      </c>
      <c r="O938">
        <f t="shared" si="89"/>
        <v>19.377001455604077</v>
      </c>
      <c r="P938" t="str">
        <f t="shared" si="85"/>
        <v>Healthy</v>
      </c>
    </row>
    <row r="939" spans="1:16" x14ac:dyDescent="0.35">
      <c r="A939" s="4">
        <v>46159</v>
      </c>
      <c r="B939" t="s">
        <v>31</v>
      </c>
      <c r="C939" t="s">
        <v>32</v>
      </c>
      <c r="D939" t="s">
        <v>18</v>
      </c>
      <c r="E939" t="s">
        <v>19</v>
      </c>
      <c r="F939">
        <v>167</v>
      </c>
      <c r="G939">
        <v>8</v>
      </c>
      <c r="H939">
        <v>35</v>
      </c>
      <c r="I939">
        <f t="shared" si="86"/>
        <v>140</v>
      </c>
      <c r="J939">
        <v>39</v>
      </c>
      <c r="K939">
        <v>4</v>
      </c>
      <c r="L939" t="str">
        <f t="shared" si="87"/>
        <v>Correct</v>
      </c>
      <c r="M939">
        <f t="shared" si="88"/>
        <v>89.743589743589752</v>
      </c>
      <c r="N939">
        <f t="shared" si="84"/>
        <v>30.586206896551722</v>
      </c>
      <c r="O939">
        <f t="shared" si="89"/>
        <v>4.5772266065388951</v>
      </c>
      <c r="P939" t="str">
        <f t="shared" si="85"/>
        <v>Low Stock</v>
      </c>
    </row>
    <row r="940" spans="1:16" hidden="1" x14ac:dyDescent="0.35">
      <c r="A940" s="4">
        <v>46169</v>
      </c>
      <c r="B940" t="s">
        <v>31</v>
      </c>
      <c r="C940" t="s">
        <v>32</v>
      </c>
      <c r="D940" t="s">
        <v>20</v>
      </c>
      <c r="E940" t="s">
        <v>21</v>
      </c>
      <c r="F940">
        <v>43</v>
      </c>
      <c r="G940">
        <v>37</v>
      </c>
      <c r="H940">
        <v>32</v>
      </c>
      <c r="I940">
        <f t="shared" si="86"/>
        <v>48</v>
      </c>
      <c r="J940">
        <v>32</v>
      </c>
      <c r="K940">
        <v>4</v>
      </c>
      <c r="L940" t="str">
        <f t="shared" si="87"/>
        <v>Correct</v>
      </c>
      <c r="M940">
        <f t="shared" si="88"/>
        <v>100</v>
      </c>
      <c r="N940">
        <f t="shared" si="84"/>
        <v>32.299999999999997</v>
      </c>
      <c r="O940">
        <f t="shared" si="89"/>
        <v>1.4860681114551084</v>
      </c>
      <c r="P940" t="str">
        <f t="shared" si="85"/>
        <v>Low Stock</v>
      </c>
    </row>
    <row r="941" spans="1:16" hidden="1" x14ac:dyDescent="0.35">
      <c r="A941" s="4">
        <v>46169</v>
      </c>
      <c r="B941" t="s">
        <v>31</v>
      </c>
      <c r="C941" t="s">
        <v>32</v>
      </c>
      <c r="D941" t="s">
        <v>22</v>
      </c>
      <c r="E941" t="s">
        <v>23</v>
      </c>
      <c r="F941">
        <v>803</v>
      </c>
      <c r="G941">
        <v>11</v>
      </c>
      <c r="H941">
        <v>14</v>
      </c>
      <c r="I941">
        <f t="shared" si="86"/>
        <v>800</v>
      </c>
      <c r="J941">
        <v>15</v>
      </c>
      <c r="K941">
        <v>3</v>
      </c>
      <c r="L941" t="str">
        <f t="shared" si="87"/>
        <v>Correct</v>
      </c>
      <c r="M941">
        <f t="shared" si="88"/>
        <v>93.333333333333329</v>
      </c>
      <c r="N941">
        <f t="shared" si="84"/>
        <v>10.413793103448276</v>
      </c>
      <c r="O941">
        <f t="shared" si="89"/>
        <v>76.821192052980138</v>
      </c>
      <c r="P941" t="str">
        <f t="shared" si="85"/>
        <v>Overstock</v>
      </c>
    </row>
    <row r="942" spans="1:16" hidden="1" x14ac:dyDescent="0.35">
      <c r="A942" s="4">
        <v>46169</v>
      </c>
      <c r="B942" t="s">
        <v>33</v>
      </c>
      <c r="C942" t="s">
        <v>34</v>
      </c>
      <c r="D942" t="s">
        <v>14</v>
      </c>
      <c r="E942" t="s">
        <v>15</v>
      </c>
      <c r="F942">
        <v>238</v>
      </c>
      <c r="G942">
        <v>14</v>
      </c>
      <c r="H942">
        <v>26</v>
      </c>
      <c r="I942">
        <f t="shared" si="86"/>
        <v>226</v>
      </c>
      <c r="J942">
        <v>39</v>
      </c>
      <c r="K942">
        <v>5</v>
      </c>
      <c r="L942" t="str">
        <f t="shared" si="87"/>
        <v>Correct</v>
      </c>
      <c r="M942">
        <f t="shared" si="88"/>
        <v>66.666666666666657</v>
      </c>
      <c r="N942">
        <f t="shared" si="84"/>
        <v>20.70967741935484</v>
      </c>
      <c r="O942">
        <f t="shared" si="89"/>
        <v>10.912772585669781</v>
      </c>
      <c r="P942" t="str">
        <f t="shared" si="85"/>
        <v>Low Stock</v>
      </c>
    </row>
    <row r="943" spans="1:16" hidden="1" x14ac:dyDescent="0.35">
      <c r="A943" s="4">
        <v>46169</v>
      </c>
      <c r="B943" t="s">
        <v>33</v>
      </c>
      <c r="C943" t="s">
        <v>34</v>
      </c>
      <c r="D943" t="s">
        <v>16</v>
      </c>
      <c r="E943" t="s">
        <v>17</v>
      </c>
      <c r="F943">
        <v>277</v>
      </c>
      <c r="G943">
        <v>37</v>
      </c>
      <c r="H943">
        <v>34</v>
      </c>
      <c r="I943">
        <f t="shared" si="86"/>
        <v>280</v>
      </c>
      <c r="J943">
        <v>44</v>
      </c>
      <c r="K943">
        <v>5</v>
      </c>
      <c r="L943" t="str">
        <f t="shared" si="87"/>
        <v>Correct</v>
      </c>
      <c r="M943">
        <f t="shared" si="88"/>
        <v>77.272727272727266</v>
      </c>
      <c r="N943">
        <f t="shared" si="84"/>
        <v>22.142857142857142</v>
      </c>
      <c r="O943">
        <f t="shared" si="89"/>
        <v>12.64516129032258</v>
      </c>
      <c r="P943" t="str">
        <f t="shared" si="85"/>
        <v>Low Stock</v>
      </c>
    </row>
    <row r="944" spans="1:16" x14ac:dyDescent="0.35">
      <c r="A944" s="4">
        <v>46169</v>
      </c>
      <c r="B944" t="s">
        <v>33</v>
      </c>
      <c r="C944" t="s">
        <v>34</v>
      </c>
      <c r="D944" t="s">
        <v>18</v>
      </c>
      <c r="E944" t="s">
        <v>19</v>
      </c>
      <c r="F944">
        <v>105</v>
      </c>
      <c r="G944">
        <v>30</v>
      </c>
      <c r="H944">
        <v>48</v>
      </c>
      <c r="I944">
        <f t="shared" si="86"/>
        <v>87</v>
      </c>
      <c r="J944">
        <v>51</v>
      </c>
      <c r="K944">
        <v>1</v>
      </c>
      <c r="L944" t="str">
        <f t="shared" si="87"/>
        <v>Correct</v>
      </c>
      <c r="M944">
        <f t="shared" si="88"/>
        <v>94.117647058823522</v>
      </c>
      <c r="N944">
        <f t="shared" si="84"/>
        <v>30.275862068965516</v>
      </c>
      <c r="O944">
        <f t="shared" si="89"/>
        <v>2.8735763097949887</v>
      </c>
      <c r="P944" t="str">
        <f t="shared" si="85"/>
        <v>Low Stock</v>
      </c>
    </row>
    <row r="945" spans="1:16" hidden="1" x14ac:dyDescent="0.35">
      <c r="A945" s="4">
        <v>46169</v>
      </c>
      <c r="B945" t="s">
        <v>33</v>
      </c>
      <c r="C945" t="s">
        <v>34</v>
      </c>
      <c r="D945" t="s">
        <v>20</v>
      </c>
      <c r="E945" t="s">
        <v>21</v>
      </c>
      <c r="F945">
        <v>339</v>
      </c>
      <c r="G945">
        <v>59</v>
      </c>
      <c r="H945">
        <v>32</v>
      </c>
      <c r="I945">
        <f t="shared" si="86"/>
        <v>366</v>
      </c>
      <c r="J945">
        <v>39</v>
      </c>
      <c r="K945">
        <v>1</v>
      </c>
      <c r="L945" t="str">
        <f t="shared" si="87"/>
        <v>Correct</v>
      </c>
      <c r="M945">
        <f t="shared" si="88"/>
        <v>82.051282051282044</v>
      </c>
      <c r="N945">
        <f t="shared" si="84"/>
        <v>30.931034482758619</v>
      </c>
      <c r="O945">
        <f t="shared" si="89"/>
        <v>11.832775919732443</v>
      </c>
      <c r="P945" t="str">
        <f t="shared" si="85"/>
        <v>Low Stock</v>
      </c>
    </row>
    <row r="946" spans="1:16" hidden="1" x14ac:dyDescent="0.35">
      <c r="A946" s="4">
        <v>46169</v>
      </c>
      <c r="B946" t="s">
        <v>33</v>
      </c>
      <c r="C946" t="s">
        <v>34</v>
      </c>
      <c r="D946" t="s">
        <v>22</v>
      </c>
      <c r="E946" t="s">
        <v>23</v>
      </c>
      <c r="F946">
        <v>607</v>
      </c>
      <c r="G946">
        <v>44</v>
      </c>
      <c r="H946">
        <v>11</v>
      </c>
      <c r="I946">
        <f t="shared" si="86"/>
        <v>640</v>
      </c>
      <c r="J946">
        <v>14</v>
      </c>
      <c r="K946">
        <v>4</v>
      </c>
      <c r="L946" t="str">
        <f t="shared" si="87"/>
        <v>Correct</v>
      </c>
      <c r="M946">
        <f t="shared" si="88"/>
        <v>78.571428571428569</v>
      </c>
      <c r="N946">
        <f t="shared" si="84"/>
        <v>10.25</v>
      </c>
      <c r="O946">
        <f t="shared" si="89"/>
        <v>62.439024390243901</v>
      </c>
      <c r="P946" t="str">
        <f t="shared" si="85"/>
        <v>Overstock</v>
      </c>
    </row>
    <row r="947" spans="1:16" hidden="1" x14ac:dyDescent="0.35">
      <c r="A947" s="4">
        <v>46170</v>
      </c>
      <c r="B947" t="s">
        <v>12</v>
      </c>
      <c r="C947" t="s">
        <v>13</v>
      </c>
      <c r="D947" t="s">
        <v>14</v>
      </c>
      <c r="E947" t="s">
        <v>15</v>
      </c>
      <c r="F947">
        <v>560</v>
      </c>
      <c r="G947">
        <v>44</v>
      </c>
      <c r="H947">
        <v>16</v>
      </c>
      <c r="I947">
        <f t="shared" si="86"/>
        <v>588</v>
      </c>
      <c r="J947">
        <v>20</v>
      </c>
      <c r="K947">
        <v>5</v>
      </c>
      <c r="L947" t="str">
        <f t="shared" si="87"/>
        <v>Correct</v>
      </c>
      <c r="M947">
        <f t="shared" si="88"/>
        <v>80</v>
      </c>
      <c r="N947">
        <f t="shared" si="84"/>
        <v>21.666666666666668</v>
      </c>
      <c r="O947">
        <f t="shared" si="89"/>
        <v>27.138461538461538</v>
      </c>
      <c r="P947" t="str">
        <f t="shared" si="85"/>
        <v>Healthy</v>
      </c>
    </row>
    <row r="948" spans="1:16" hidden="1" x14ac:dyDescent="0.35">
      <c r="A948" s="4">
        <v>46170</v>
      </c>
      <c r="B948" t="s">
        <v>12</v>
      </c>
      <c r="C948" t="s">
        <v>13</v>
      </c>
      <c r="D948" t="s">
        <v>16</v>
      </c>
      <c r="E948" t="s">
        <v>17</v>
      </c>
      <c r="F948">
        <v>338</v>
      </c>
      <c r="G948">
        <v>22</v>
      </c>
      <c r="H948">
        <v>17</v>
      </c>
      <c r="I948">
        <f t="shared" si="86"/>
        <v>343</v>
      </c>
      <c r="J948">
        <v>26</v>
      </c>
      <c r="K948">
        <v>4</v>
      </c>
      <c r="L948" t="str">
        <f t="shared" si="87"/>
        <v>Correct</v>
      </c>
      <c r="M948">
        <f t="shared" si="88"/>
        <v>65.384615384615387</v>
      </c>
      <c r="N948">
        <f t="shared" si="84"/>
        <v>20.030303030303031</v>
      </c>
      <c r="O948">
        <f t="shared" si="89"/>
        <v>17.124054462934946</v>
      </c>
      <c r="P948" t="str">
        <f t="shared" si="85"/>
        <v>Healthy</v>
      </c>
    </row>
    <row r="949" spans="1:16" x14ac:dyDescent="0.35">
      <c r="A949" s="4">
        <v>46170</v>
      </c>
      <c r="B949" t="s">
        <v>12</v>
      </c>
      <c r="C949" t="s">
        <v>13</v>
      </c>
      <c r="D949" t="s">
        <v>18</v>
      </c>
      <c r="E949" t="s">
        <v>19</v>
      </c>
      <c r="F949">
        <v>143</v>
      </c>
      <c r="G949">
        <v>44</v>
      </c>
      <c r="H949">
        <v>27</v>
      </c>
      <c r="I949">
        <f t="shared" si="86"/>
        <v>160</v>
      </c>
      <c r="J949">
        <v>29</v>
      </c>
      <c r="K949">
        <v>2</v>
      </c>
      <c r="L949" t="str">
        <f t="shared" si="87"/>
        <v>Correct</v>
      </c>
      <c r="M949">
        <f t="shared" si="88"/>
        <v>93.103448275862064</v>
      </c>
      <c r="N949">
        <f t="shared" si="84"/>
        <v>33.34375</v>
      </c>
      <c r="O949">
        <f t="shared" si="89"/>
        <v>4.7985004686035611</v>
      </c>
      <c r="P949" t="str">
        <f t="shared" si="85"/>
        <v>Low Stock</v>
      </c>
    </row>
    <row r="950" spans="1:16" hidden="1" x14ac:dyDescent="0.35">
      <c r="A950" s="4">
        <v>46170</v>
      </c>
      <c r="B950" t="s">
        <v>12</v>
      </c>
      <c r="C950" t="s">
        <v>13</v>
      </c>
      <c r="D950" t="s">
        <v>20</v>
      </c>
      <c r="E950" t="s">
        <v>21</v>
      </c>
      <c r="F950">
        <v>16</v>
      </c>
      <c r="G950">
        <v>12</v>
      </c>
      <c r="H950">
        <v>37</v>
      </c>
      <c r="I950">
        <f t="shared" si="86"/>
        <v>-9</v>
      </c>
      <c r="J950">
        <v>46</v>
      </c>
      <c r="K950">
        <v>2</v>
      </c>
      <c r="L950" t="str">
        <f t="shared" si="87"/>
        <v>Need verification</v>
      </c>
      <c r="M950">
        <f t="shared" si="88"/>
        <v>80.434782608695656</v>
      </c>
      <c r="N950">
        <f t="shared" si="84"/>
        <v>34.515151515151516</v>
      </c>
      <c r="O950">
        <f t="shared" si="89"/>
        <v>-0.26075504828797191</v>
      </c>
      <c r="P950" t="str">
        <f t="shared" si="85"/>
        <v>Low Stock</v>
      </c>
    </row>
    <row r="951" spans="1:16" hidden="1" x14ac:dyDescent="0.35">
      <c r="A951" s="4">
        <v>46170</v>
      </c>
      <c r="B951" t="s">
        <v>12</v>
      </c>
      <c r="C951" t="s">
        <v>13</v>
      </c>
      <c r="D951" t="s">
        <v>22</v>
      </c>
      <c r="E951" t="s">
        <v>23</v>
      </c>
      <c r="F951">
        <v>577</v>
      </c>
      <c r="G951">
        <v>54</v>
      </c>
      <c r="H951">
        <v>8</v>
      </c>
      <c r="I951">
        <f t="shared" si="86"/>
        <v>623</v>
      </c>
      <c r="J951">
        <v>8</v>
      </c>
      <c r="K951">
        <v>5</v>
      </c>
      <c r="L951" t="str">
        <f t="shared" si="87"/>
        <v>Correct</v>
      </c>
      <c r="M951">
        <f t="shared" si="88"/>
        <v>100</v>
      </c>
      <c r="N951">
        <f t="shared" si="84"/>
        <v>9.9032258064516121</v>
      </c>
      <c r="O951">
        <f t="shared" si="89"/>
        <v>62.908794788273617</v>
      </c>
      <c r="P951" t="str">
        <f t="shared" si="85"/>
        <v>Overstock</v>
      </c>
    </row>
    <row r="952" spans="1:16" hidden="1" x14ac:dyDescent="0.35">
      <c r="A952" s="4">
        <v>46170</v>
      </c>
      <c r="B952" t="s">
        <v>12</v>
      </c>
      <c r="C952" t="s">
        <v>24</v>
      </c>
      <c r="D952" t="s">
        <v>14</v>
      </c>
      <c r="E952" t="s">
        <v>15</v>
      </c>
      <c r="F952">
        <v>369</v>
      </c>
      <c r="G952">
        <v>10</v>
      </c>
      <c r="H952">
        <v>9</v>
      </c>
      <c r="I952">
        <f t="shared" si="86"/>
        <v>370</v>
      </c>
      <c r="J952">
        <v>13</v>
      </c>
      <c r="K952">
        <v>4</v>
      </c>
      <c r="L952" t="str">
        <f t="shared" si="87"/>
        <v>Correct</v>
      </c>
      <c r="M952">
        <f t="shared" si="88"/>
        <v>69.230769230769226</v>
      </c>
      <c r="N952">
        <f t="shared" si="84"/>
        <v>21.35483870967742</v>
      </c>
      <c r="O952">
        <f t="shared" si="89"/>
        <v>17.326283987915406</v>
      </c>
      <c r="P952" t="str">
        <f t="shared" si="85"/>
        <v>Healthy</v>
      </c>
    </row>
    <row r="953" spans="1:16" hidden="1" x14ac:dyDescent="0.35">
      <c r="A953" s="4">
        <v>46170</v>
      </c>
      <c r="B953" t="s">
        <v>12</v>
      </c>
      <c r="C953" t="s">
        <v>24</v>
      </c>
      <c r="D953" t="s">
        <v>16</v>
      </c>
      <c r="E953" t="s">
        <v>17</v>
      </c>
      <c r="F953">
        <v>250</v>
      </c>
      <c r="G953">
        <v>3</v>
      </c>
      <c r="H953">
        <v>23</v>
      </c>
      <c r="I953">
        <f t="shared" si="86"/>
        <v>230</v>
      </c>
      <c r="J953">
        <v>28</v>
      </c>
      <c r="K953">
        <v>4</v>
      </c>
      <c r="L953" t="str">
        <f t="shared" si="87"/>
        <v>Correct</v>
      </c>
      <c r="M953">
        <f t="shared" si="88"/>
        <v>82.142857142857139</v>
      </c>
      <c r="N953">
        <f t="shared" si="84"/>
        <v>21.9</v>
      </c>
      <c r="O953">
        <f t="shared" si="89"/>
        <v>10.502283105022832</v>
      </c>
      <c r="P953" t="str">
        <f t="shared" si="85"/>
        <v>Low Stock</v>
      </c>
    </row>
    <row r="954" spans="1:16" x14ac:dyDescent="0.35">
      <c r="A954" s="4">
        <v>46170</v>
      </c>
      <c r="B954" t="s">
        <v>12</v>
      </c>
      <c r="C954" t="s">
        <v>24</v>
      </c>
      <c r="D954" t="s">
        <v>18</v>
      </c>
      <c r="E954" t="s">
        <v>19</v>
      </c>
      <c r="F954">
        <v>144</v>
      </c>
      <c r="G954">
        <v>10</v>
      </c>
      <c r="H954">
        <v>16</v>
      </c>
      <c r="I954">
        <f t="shared" si="86"/>
        <v>138</v>
      </c>
      <c r="J954">
        <v>19</v>
      </c>
      <c r="K954">
        <v>3</v>
      </c>
      <c r="L954" t="str">
        <f t="shared" si="87"/>
        <v>Correct</v>
      </c>
      <c r="M954">
        <f t="shared" si="88"/>
        <v>84.210526315789465</v>
      </c>
      <c r="N954">
        <f t="shared" si="84"/>
        <v>31.586206896551722</v>
      </c>
      <c r="O954">
        <f t="shared" si="89"/>
        <v>4.3689956331877733</v>
      </c>
      <c r="P954" t="str">
        <f t="shared" si="85"/>
        <v>Low Stock</v>
      </c>
    </row>
    <row r="955" spans="1:16" hidden="1" x14ac:dyDescent="0.35">
      <c r="A955" s="4">
        <v>46170</v>
      </c>
      <c r="B955" t="s">
        <v>12</v>
      </c>
      <c r="C955" t="s">
        <v>24</v>
      </c>
      <c r="D955" t="s">
        <v>20</v>
      </c>
      <c r="E955" t="s">
        <v>21</v>
      </c>
      <c r="F955">
        <v>8</v>
      </c>
      <c r="G955">
        <v>2</v>
      </c>
      <c r="H955">
        <v>19</v>
      </c>
      <c r="I955">
        <f t="shared" si="86"/>
        <v>-9</v>
      </c>
      <c r="J955">
        <v>32</v>
      </c>
      <c r="K955">
        <v>4</v>
      </c>
      <c r="L955" t="str">
        <f t="shared" si="87"/>
        <v>Need verification</v>
      </c>
      <c r="M955">
        <f t="shared" si="88"/>
        <v>59.375</v>
      </c>
      <c r="N955">
        <f t="shared" si="84"/>
        <v>34.200000000000003</v>
      </c>
      <c r="O955">
        <f t="shared" si="89"/>
        <v>-0.26315789473684209</v>
      </c>
      <c r="P955" t="str">
        <f t="shared" si="85"/>
        <v>Low Stock</v>
      </c>
    </row>
    <row r="956" spans="1:16" hidden="1" x14ac:dyDescent="0.35">
      <c r="A956" s="4">
        <v>46170</v>
      </c>
      <c r="B956" t="s">
        <v>12</v>
      </c>
      <c r="C956" t="s">
        <v>24</v>
      </c>
      <c r="D956" t="s">
        <v>22</v>
      </c>
      <c r="E956" t="s">
        <v>23</v>
      </c>
      <c r="F956">
        <v>608</v>
      </c>
      <c r="G956">
        <v>30</v>
      </c>
      <c r="H956">
        <v>14</v>
      </c>
      <c r="I956">
        <f t="shared" si="86"/>
        <v>624</v>
      </c>
      <c r="J956">
        <v>28</v>
      </c>
      <c r="K956">
        <v>2</v>
      </c>
      <c r="L956" t="str">
        <f t="shared" si="87"/>
        <v>Correct</v>
      </c>
      <c r="M956">
        <f t="shared" si="88"/>
        <v>50</v>
      </c>
      <c r="N956">
        <f t="shared" si="84"/>
        <v>10.96551724137931</v>
      </c>
      <c r="O956">
        <f t="shared" si="89"/>
        <v>56.905660377358494</v>
      </c>
      <c r="P956" t="str">
        <f t="shared" si="85"/>
        <v>Overstock</v>
      </c>
    </row>
    <row r="957" spans="1:16" hidden="1" x14ac:dyDescent="0.35">
      <c r="A957" s="4">
        <v>46170</v>
      </c>
      <c r="B957" t="s">
        <v>12</v>
      </c>
      <c r="C957" t="s">
        <v>25</v>
      </c>
      <c r="D957" t="s">
        <v>14</v>
      </c>
      <c r="E957" t="s">
        <v>15</v>
      </c>
      <c r="F957">
        <v>301</v>
      </c>
      <c r="G957">
        <v>51</v>
      </c>
      <c r="H957">
        <v>23</v>
      </c>
      <c r="I957">
        <f t="shared" si="86"/>
        <v>329</v>
      </c>
      <c r="J957">
        <v>25</v>
      </c>
      <c r="K957">
        <v>5</v>
      </c>
      <c r="L957" t="str">
        <f t="shared" si="87"/>
        <v>Correct</v>
      </c>
      <c r="M957">
        <f t="shared" si="88"/>
        <v>92</v>
      </c>
      <c r="N957">
        <f t="shared" si="84"/>
        <v>20.7</v>
      </c>
      <c r="O957">
        <f t="shared" si="89"/>
        <v>15.893719806763286</v>
      </c>
      <c r="P957" t="str">
        <f t="shared" si="85"/>
        <v>Healthy</v>
      </c>
    </row>
    <row r="958" spans="1:16" hidden="1" x14ac:dyDescent="0.35">
      <c r="A958" s="4">
        <v>46170</v>
      </c>
      <c r="B958" t="s">
        <v>12</v>
      </c>
      <c r="C958" t="s">
        <v>25</v>
      </c>
      <c r="D958" t="s">
        <v>16</v>
      </c>
      <c r="E958" t="s">
        <v>17</v>
      </c>
      <c r="F958">
        <v>243</v>
      </c>
      <c r="G958">
        <v>40</v>
      </c>
      <c r="H958">
        <v>32</v>
      </c>
      <c r="I958">
        <f t="shared" si="86"/>
        <v>251</v>
      </c>
      <c r="J958">
        <v>39</v>
      </c>
      <c r="K958">
        <v>4</v>
      </c>
      <c r="L958" t="str">
        <f t="shared" si="87"/>
        <v>Correct</v>
      </c>
      <c r="M958">
        <f t="shared" si="88"/>
        <v>82.051282051282044</v>
      </c>
      <c r="N958">
        <f t="shared" si="84"/>
        <v>23.758620689655171</v>
      </c>
      <c r="O958">
        <f t="shared" si="89"/>
        <v>10.564586357039188</v>
      </c>
      <c r="P958" t="str">
        <f t="shared" si="85"/>
        <v>Low Stock</v>
      </c>
    </row>
    <row r="959" spans="1:16" x14ac:dyDescent="0.35">
      <c r="A959" s="4">
        <v>46170</v>
      </c>
      <c r="B959" t="s">
        <v>12</v>
      </c>
      <c r="C959" t="s">
        <v>25</v>
      </c>
      <c r="D959" t="s">
        <v>18</v>
      </c>
      <c r="E959" t="s">
        <v>19</v>
      </c>
      <c r="F959">
        <v>62</v>
      </c>
      <c r="G959">
        <v>31</v>
      </c>
      <c r="H959">
        <v>36</v>
      </c>
      <c r="I959">
        <f t="shared" si="86"/>
        <v>57</v>
      </c>
      <c r="J959">
        <v>38</v>
      </c>
      <c r="K959">
        <v>3</v>
      </c>
      <c r="L959" t="str">
        <f t="shared" si="87"/>
        <v>Correct</v>
      </c>
      <c r="M959">
        <f t="shared" si="88"/>
        <v>94.73684210526315</v>
      </c>
      <c r="N959">
        <f t="shared" si="84"/>
        <v>31.142857142857142</v>
      </c>
      <c r="O959">
        <f t="shared" si="89"/>
        <v>1.8302752293577982</v>
      </c>
      <c r="P959" t="str">
        <f t="shared" si="85"/>
        <v>Low Stock</v>
      </c>
    </row>
    <row r="960" spans="1:16" hidden="1" x14ac:dyDescent="0.35">
      <c r="A960" s="4">
        <v>46170</v>
      </c>
      <c r="B960" t="s">
        <v>12</v>
      </c>
      <c r="C960" t="s">
        <v>25</v>
      </c>
      <c r="D960" t="s">
        <v>20</v>
      </c>
      <c r="E960" t="s">
        <v>21</v>
      </c>
      <c r="F960">
        <v>148</v>
      </c>
      <c r="G960">
        <v>22</v>
      </c>
      <c r="H960">
        <v>33</v>
      </c>
      <c r="I960">
        <f t="shared" si="86"/>
        <v>137</v>
      </c>
      <c r="J960">
        <v>45</v>
      </c>
      <c r="K960">
        <v>4</v>
      </c>
      <c r="L960" t="str">
        <f t="shared" si="87"/>
        <v>Correct</v>
      </c>
      <c r="M960">
        <f t="shared" si="88"/>
        <v>73.333333333333329</v>
      </c>
      <c r="N960">
        <f t="shared" si="84"/>
        <v>31.137931034482758</v>
      </c>
      <c r="O960">
        <f t="shared" si="89"/>
        <v>4.3997785160575855</v>
      </c>
      <c r="P960" t="str">
        <f t="shared" si="85"/>
        <v>Low Stock</v>
      </c>
    </row>
    <row r="961" spans="1:16" hidden="1" x14ac:dyDescent="0.35">
      <c r="A961" s="4">
        <v>46170</v>
      </c>
      <c r="B961" t="s">
        <v>12</v>
      </c>
      <c r="C961" t="s">
        <v>25</v>
      </c>
      <c r="D961" t="s">
        <v>22</v>
      </c>
      <c r="E961" t="s">
        <v>23</v>
      </c>
      <c r="F961">
        <v>733</v>
      </c>
      <c r="G961">
        <v>35</v>
      </c>
      <c r="H961">
        <v>15</v>
      </c>
      <c r="I961">
        <f t="shared" si="86"/>
        <v>753</v>
      </c>
      <c r="J961">
        <v>25</v>
      </c>
      <c r="K961">
        <v>4</v>
      </c>
      <c r="L961" t="str">
        <f t="shared" si="87"/>
        <v>Correct</v>
      </c>
      <c r="M961">
        <f t="shared" si="88"/>
        <v>60</v>
      </c>
      <c r="N961">
        <f t="shared" si="84"/>
        <v>11.3</v>
      </c>
      <c r="O961">
        <f t="shared" si="89"/>
        <v>66.637168141592923</v>
      </c>
      <c r="P961" t="str">
        <f t="shared" si="85"/>
        <v>Overstock</v>
      </c>
    </row>
    <row r="962" spans="1:16" hidden="1" x14ac:dyDescent="0.35">
      <c r="A962" s="4">
        <v>46170</v>
      </c>
      <c r="B962" t="s">
        <v>26</v>
      </c>
      <c r="C962" t="s">
        <v>27</v>
      </c>
      <c r="D962" t="s">
        <v>14</v>
      </c>
      <c r="E962" t="s">
        <v>15</v>
      </c>
      <c r="F962">
        <v>598</v>
      </c>
      <c r="G962">
        <v>41</v>
      </c>
      <c r="H962">
        <v>13</v>
      </c>
      <c r="I962">
        <f t="shared" si="86"/>
        <v>626</v>
      </c>
      <c r="J962">
        <v>22</v>
      </c>
      <c r="K962">
        <v>3</v>
      </c>
      <c r="L962" t="str">
        <f t="shared" si="87"/>
        <v>Correct</v>
      </c>
      <c r="M962">
        <f t="shared" si="88"/>
        <v>59.090909090909093</v>
      </c>
      <c r="N962">
        <f t="shared" ref="N962:N1025" si="90">SUMIFS($H:$H,$B:$B,B962,$C:$C,C962,$D:$D,D962)/COUNTIFS($B:$B,B962,$C:$C,C962,$D:$D,D962)</f>
        <v>22.258064516129032</v>
      </c>
      <c r="O962">
        <f t="shared" si="89"/>
        <v>28.12463768115942</v>
      </c>
      <c r="P962" t="str">
        <f t="shared" ref="P962:P1025" si="91">IF(O962&lt;15,"Low Stock",IF(O962&lt;=30,"Healthy","Overstock"))</f>
        <v>Healthy</v>
      </c>
    </row>
    <row r="963" spans="1:16" hidden="1" x14ac:dyDescent="0.35">
      <c r="A963" s="4">
        <v>46170</v>
      </c>
      <c r="B963" t="s">
        <v>26</v>
      </c>
      <c r="C963" t="s">
        <v>27</v>
      </c>
      <c r="D963" t="s">
        <v>16</v>
      </c>
      <c r="E963" t="s">
        <v>17</v>
      </c>
      <c r="F963">
        <v>411</v>
      </c>
      <c r="G963">
        <v>47</v>
      </c>
      <c r="H963">
        <v>8</v>
      </c>
      <c r="I963">
        <f t="shared" ref="I963:I1026" si="92">F963+G963-H963</f>
        <v>450</v>
      </c>
      <c r="J963">
        <v>16</v>
      </c>
      <c r="K963">
        <v>2</v>
      </c>
      <c r="L963" t="str">
        <f t="shared" ref="L963:L1026" si="93">IF(I963&lt;0,"Need verification","Correct")</f>
        <v>Correct</v>
      </c>
      <c r="M963">
        <f t="shared" ref="M963:M1026" si="94">IF(J963=0,0,(H963/J963)*100)</f>
        <v>50</v>
      </c>
      <c r="N963">
        <f t="shared" si="90"/>
        <v>20.172413793103448</v>
      </c>
      <c r="O963">
        <f t="shared" ref="O963:O1026" si="95">IFERROR(I963/N963,0)</f>
        <v>22.307692307692307</v>
      </c>
      <c r="P963" t="str">
        <f t="shared" si="91"/>
        <v>Healthy</v>
      </c>
    </row>
    <row r="964" spans="1:16" x14ac:dyDescent="0.35">
      <c r="A964" s="4">
        <v>46170</v>
      </c>
      <c r="B964" t="s">
        <v>26</v>
      </c>
      <c r="C964" t="s">
        <v>27</v>
      </c>
      <c r="D964" t="s">
        <v>18</v>
      </c>
      <c r="E964" t="s">
        <v>19</v>
      </c>
      <c r="F964">
        <v>57</v>
      </c>
      <c r="G964">
        <v>22</v>
      </c>
      <c r="H964">
        <v>16</v>
      </c>
      <c r="I964">
        <f t="shared" si="92"/>
        <v>63</v>
      </c>
      <c r="J964">
        <v>24</v>
      </c>
      <c r="K964">
        <v>2</v>
      </c>
      <c r="L964" t="str">
        <f t="shared" si="93"/>
        <v>Correct</v>
      </c>
      <c r="M964">
        <f t="shared" si="94"/>
        <v>66.666666666666657</v>
      </c>
      <c r="N964">
        <f t="shared" si="90"/>
        <v>29.733333333333334</v>
      </c>
      <c r="O964">
        <f t="shared" si="95"/>
        <v>2.1188340807174888</v>
      </c>
      <c r="P964" t="str">
        <f t="shared" si="91"/>
        <v>Low Stock</v>
      </c>
    </row>
    <row r="965" spans="1:16" hidden="1" x14ac:dyDescent="0.35">
      <c r="A965" s="4">
        <v>46170</v>
      </c>
      <c r="B965" t="s">
        <v>26</v>
      </c>
      <c r="C965" t="s">
        <v>27</v>
      </c>
      <c r="D965" t="s">
        <v>20</v>
      </c>
      <c r="E965" t="s">
        <v>21</v>
      </c>
      <c r="F965">
        <v>289</v>
      </c>
      <c r="G965">
        <v>60</v>
      </c>
      <c r="H965">
        <v>48</v>
      </c>
      <c r="I965">
        <f t="shared" si="92"/>
        <v>301</v>
      </c>
      <c r="J965">
        <v>52</v>
      </c>
      <c r="K965">
        <v>2</v>
      </c>
      <c r="L965" t="str">
        <f t="shared" si="93"/>
        <v>Correct</v>
      </c>
      <c r="M965">
        <f t="shared" si="94"/>
        <v>92.307692307692307</v>
      </c>
      <c r="N965">
        <f t="shared" si="90"/>
        <v>30.724137931034484</v>
      </c>
      <c r="O965">
        <f t="shared" si="95"/>
        <v>9.7968574635241303</v>
      </c>
      <c r="P965" t="str">
        <f t="shared" si="91"/>
        <v>Low Stock</v>
      </c>
    </row>
    <row r="966" spans="1:16" hidden="1" x14ac:dyDescent="0.35">
      <c r="A966" s="4">
        <v>46170</v>
      </c>
      <c r="B966" t="s">
        <v>26</v>
      </c>
      <c r="C966" t="s">
        <v>27</v>
      </c>
      <c r="D966" t="s">
        <v>22</v>
      </c>
      <c r="E966" t="s">
        <v>23</v>
      </c>
      <c r="F966">
        <v>477</v>
      </c>
      <c r="G966">
        <v>56</v>
      </c>
      <c r="H966">
        <v>12</v>
      </c>
      <c r="I966">
        <f t="shared" si="92"/>
        <v>521</v>
      </c>
      <c r="J966">
        <v>19</v>
      </c>
      <c r="K966">
        <v>1</v>
      </c>
      <c r="L966" t="str">
        <f t="shared" si="93"/>
        <v>Correct</v>
      </c>
      <c r="M966">
        <f t="shared" si="94"/>
        <v>63.157894736842103</v>
      </c>
      <c r="N966">
        <f t="shared" si="90"/>
        <v>11.566666666666666</v>
      </c>
      <c r="O966">
        <f t="shared" si="95"/>
        <v>45.043227665706056</v>
      </c>
      <c r="P966" t="str">
        <f t="shared" si="91"/>
        <v>Overstock</v>
      </c>
    </row>
    <row r="967" spans="1:16" hidden="1" x14ac:dyDescent="0.35">
      <c r="A967" s="4">
        <v>46170</v>
      </c>
      <c r="B967" t="s">
        <v>28</v>
      </c>
      <c r="C967" t="s">
        <v>29</v>
      </c>
      <c r="D967" t="s">
        <v>14</v>
      </c>
      <c r="E967" t="s">
        <v>15</v>
      </c>
      <c r="F967">
        <v>427</v>
      </c>
      <c r="G967">
        <v>22</v>
      </c>
      <c r="H967">
        <v>35</v>
      </c>
      <c r="I967">
        <f t="shared" si="92"/>
        <v>414</v>
      </c>
      <c r="J967">
        <v>36</v>
      </c>
      <c r="K967">
        <v>5</v>
      </c>
      <c r="L967" t="str">
        <f t="shared" si="93"/>
        <v>Correct</v>
      </c>
      <c r="M967">
        <f t="shared" si="94"/>
        <v>97.222222222222214</v>
      </c>
      <c r="N967">
        <f t="shared" si="90"/>
        <v>22.25</v>
      </c>
      <c r="O967">
        <f t="shared" si="95"/>
        <v>18.606741573033709</v>
      </c>
      <c r="P967" t="str">
        <f t="shared" si="91"/>
        <v>Healthy</v>
      </c>
    </row>
    <row r="968" spans="1:16" hidden="1" x14ac:dyDescent="0.35">
      <c r="A968" s="4">
        <v>46170</v>
      </c>
      <c r="B968" t="s">
        <v>28</v>
      </c>
      <c r="C968" t="s">
        <v>29</v>
      </c>
      <c r="D968" t="s">
        <v>16</v>
      </c>
      <c r="E968" t="s">
        <v>17</v>
      </c>
      <c r="F968">
        <v>432</v>
      </c>
      <c r="G968">
        <v>47</v>
      </c>
      <c r="H968">
        <v>13</v>
      </c>
      <c r="I968">
        <f t="shared" si="92"/>
        <v>466</v>
      </c>
      <c r="J968">
        <v>14</v>
      </c>
      <c r="K968">
        <v>4</v>
      </c>
      <c r="L968" t="str">
        <f t="shared" si="93"/>
        <v>Correct</v>
      </c>
      <c r="M968">
        <f t="shared" si="94"/>
        <v>92.857142857142861</v>
      </c>
      <c r="N968">
        <f t="shared" si="90"/>
        <v>19.96551724137931</v>
      </c>
      <c r="O968">
        <f t="shared" si="95"/>
        <v>23.340241796200345</v>
      </c>
      <c r="P968" t="str">
        <f t="shared" si="91"/>
        <v>Healthy</v>
      </c>
    </row>
    <row r="969" spans="1:16" x14ac:dyDescent="0.35">
      <c r="A969" s="4">
        <v>46170</v>
      </c>
      <c r="B969" t="s">
        <v>28</v>
      </c>
      <c r="C969" t="s">
        <v>29</v>
      </c>
      <c r="D969" t="s">
        <v>18</v>
      </c>
      <c r="E969" t="s">
        <v>19</v>
      </c>
      <c r="F969">
        <v>120</v>
      </c>
      <c r="G969">
        <v>24</v>
      </c>
      <c r="H969">
        <v>33</v>
      </c>
      <c r="I969">
        <f t="shared" si="92"/>
        <v>111</v>
      </c>
      <c r="J969">
        <v>47</v>
      </c>
      <c r="K969">
        <v>2</v>
      </c>
      <c r="L969" t="str">
        <f t="shared" si="93"/>
        <v>Correct</v>
      </c>
      <c r="M969">
        <f t="shared" si="94"/>
        <v>70.212765957446805</v>
      </c>
      <c r="N969">
        <f t="shared" si="90"/>
        <v>31.206896551724139</v>
      </c>
      <c r="O969">
        <f t="shared" si="95"/>
        <v>3.5569060773480663</v>
      </c>
      <c r="P969" t="str">
        <f t="shared" si="91"/>
        <v>Low Stock</v>
      </c>
    </row>
    <row r="970" spans="1:16" hidden="1" x14ac:dyDescent="0.35">
      <c r="A970" s="4">
        <v>46170</v>
      </c>
      <c r="B970" t="s">
        <v>28</v>
      </c>
      <c r="C970" t="s">
        <v>29</v>
      </c>
      <c r="D970" t="s">
        <v>20</v>
      </c>
      <c r="E970" t="s">
        <v>21</v>
      </c>
      <c r="F970">
        <v>31</v>
      </c>
      <c r="G970">
        <v>0</v>
      </c>
      <c r="H970">
        <v>16</v>
      </c>
      <c r="I970">
        <f t="shared" si="92"/>
        <v>15</v>
      </c>
      <c r="J970">
        <v>26</v>
      </c>
      <c r="K970">
        <v>5</v>
      </c>
      <c r="L970" t="str">
        <f t="shared" si="93"/>
        <v>Correct</v>
      </c>
      <c r="M970">
        <f t="shared" si="94"/>
        <v>61.53846153846154</v>
      </c>
      <c r="N970">
        <f t="shared" si="90"/>
        <v>32.620689655172413</v>
      </c>
      <c r="O970">
        <f t="shared" si="95"/>
        <v>0.45983086680761098</v>
      </c>
      <c r="P970" t="str">
        <f t="shared" si="91"/>
        <v>Low Stock</v>
      </c>
    </row>
    <row r="971" spans="1:16" hidden="1" x14ac:dyDescent="0.35">
      <c r="A971" s="4">
        <v>46170</v>
      </c>
      <c r="B971" t="s">
        <v>28</v>
      </c>
      <c r="C971" t="s">
        <v>29</v>
      </c>
      <c r="D971" t="s">
        <v>22</v>
      </c>
      <c r="E971" t="s">
        <v>23</v>
      </c>
      <c r="F971">
        <v>811</v>
      </c>
      <c r="G971">
        <v>36</v>
      </c>
      <c r="H971">
        <v>8</v>
      </c>
      <c r="I971">
        <f t="shared" si="92"/>
        <v>839</v>
      </c>
      <c r="J971">
        <v>17</v>
      </c>
      <c r="K971">
        <v>5</v>
      </c>
      <c r="L971" t="str">
        <f t="shared" si="93"/>
        <v>Correct</v>
      </c>
      <c r="M971">
        <f t="shared" si="94"/>
        <v>47.058823529411761</v>
      </c>
      <c r="N971">
        <f t="shared" si="90"/>
        <v>11.678571428571429</v>
      </c>
      <c r="O971">
        <f t="shared" si="95"/>
        <v>71.840978593272169</v>
      </c>
      <c r="P971" t="str">
        <f t="shared" si="91"/>
        <v>Overstock</v>
      </c>
    </row>
    <row r="972" spans="1:16" hidden="1" x14ac:dyDescent="0.35">
      <c r="A972" s="4">
        <v>46170</v>
      </c>
      <c r="B972" t="s">
        <v>31</v>
      </c>
      <c r="C972" t="s">
        <v>32</v>
      </c>
      <c r="D972" t="s">
        <v>14</v>
      </c>
      <c r="E972" t="s">
        <v>15</v>
      </c>
      <c r="F972">
        <v>438</v>
      </c>
      <c r="G972">
        <v>20</v>
      </c>
      <c r="H972">
        <v>8</v>
      </c>
      <c r="I972">
        <f t="shared" si="92"/>
        <v>450</v>
      </c>
      <c r="J972">
        <v>12</v>
      </c>
      <c r="K972">
        <v>5</v>
      </c>
      <c r="L972" t="str">
        <f t="shared" si="93"/>
        <v>Correct</v>
      </c>
      <c r="M972">
        <f t="shared" si="94"/>
        <v>66.666666666666657</v>
      </c>
      <c r="N972">
        <f t="shared" si="90"/>
        <v>20.84375</v>
      </c>
      <c r="O972">
        <f t="shared" si="95"/>
        <v>21.589205397301349</v>
      </c>
      <c r="P972" t="str">
        <f t="shared" si="91"/>
        <v>Healthy</v>
      </c>
    </row>
    <row r="973" spans="1:16" hidden="1" x14ac:dyDescent="0.35">
      <c r="A973" s="4">
        <v>46170</v>
      </c>
      <c r="B973" t="s">
        <v>31</v>
      </c>
      <c r="C973" t="s">
        <v>32</v>
      </c>
      <c r="D973" t="s">
        <v>16</v>
      </c>
      <c r="E973" t="s">
        <v>17</v>
      </c>
      <c r="F973">
        <v>416</v>
      </c>
      <c r="G973">
        <v>21</v>
      </c>
      <c r="H973">
        <v>24</v>
      </c>
      <c r="I973">
        <f t="shared" si="92"/>
        <v>413</v>
      </c>
      <c r="J973">
        <v>31</v>
      </c>
      <c r="K973">
        <v>1</v>
      </c>
      <c r="L973" t="str">
        <f t="shared" si="93"/>
        <v>Correct</v>
      </c>
      <c r="M973">
        <f t="shared" si="94"/>
        <v>77.41935483870968</v>
      </c>
      <c r="N973">
        <f t="shared" si="90"/>
        <v>21.46875</v>
      </c>
      <c r="O973">
        <f t="shared" si="95"/>
        <v>19.237263464337701</v>
      </c>
      <c r="P973" t="str">
        <f t="shared" si="91"/>
        <v>Healthy</v>
      </c>
    </row>
    <row r="974" spans="1:16" x14ac:dyDescent="0.35">
      <c r="A974" s="4">
        <v>46170</v>
      </c>
      <c r="B974" t="s">
        <v>31</v>
      </c>
      <c r="C974" t="s">
        <v>32</v>
      </c>
      <c r="D974" t="s">
        <v>18</v>
      </c>
      <c r="E974" t="s">
        <v>19</v>
      </c>
      <c r="F974">
        <v>140</v>
      </c>
      <c r="G974">
        <v>11</v>
      </c>
      <c r="H974">
        <v>35</v>
      </c>
      <c r="I974">
        <f t="shared" si="92"/>
        <v>116</v>
      </c>
      <c r="J974">
        <v>41</v>
      </c>
      <c r="K974">
        <v>4</v>
      </c>
      <c r="L974" t="str">
        <f t="shared" si="93"/>
        <v>Correct</v>
      </c>
      <c r="M974">
        <f t="shared" si="94"/>
        <v>85.365853658536579</v>
      </c>
      <c r="N974">
        <f t="shared" si="90"/>
        <v>30.586206896551722</v>
      </c>
      <c r="O974">
        <f t="shared" si="95"/>
        <v>3.7925591882750846</v>
      </c>
      <c r="P974" t="str">
        <f t="shared" si="91"/>
        <v>Low Stock</v>
      </c>
    </row>
    <row r="975" spans="1:16" hidden="1" x14ac:dyDescent="0.35">
      <c r="A975" s="4">
        <v>46170</v>
      </c>
      <c r="B975" t="s">
        <v>31</v>
      </c>
      <c r="C975" t="s">
        <v>32</v>
      </c>
      <c r="D975" t="s">
        <v>20</v>
      </c>
      <c r="E975" t="s">
        <v>21</v>
      </c>
      <c r="F975">
        <v>48</v>
      </c>
      <c r="G975">
        <v>31</v>
      </c>
      <c r="H975">
        <v>20</v>
      </c>
      <c r="I975">
        <f t="shared" si="92"/>
        <v>59</v>
      </c>
      <c r="J975">
        <v>21</v>
      </c>
      <c r="K975">
        <v>1</v>
      </c>
      <c r="L975" t="str">
        <f t="shared" si="93"/>
        <v>Correct</v>
      </c>
      <c r="M975">
        <f t="shared" si="94"/>
        <v>95.238095238095227</v>
      </c>
      <c r="N975">
        <f t="shared" si="90"/>
        <v>32.299999999999997</v>
      </c>
      <c r="O975">
        <f t="shared" si="95"/>
        <v>1.8266253869969042</v>
      </c>
      <c r="P975" t="str">
        <f t="shared" si="91"/>
        <v>Low Stock</v>
      </c>
    </row>
    <row r="976" spans="1:16" hidden="1" x14ac:dyDescent="0.35">
      <c r="A976" s="4">
        <v>46170</v>
      </c>
      <c r="B976" t="s">
        <v>31</v>
      </c>
      <c r="C976" t="s">
        <v>32</v>
      </c>
      <c r="D976" t="s">
        <v>22</v>
      </c>
      <c r="E976" t="s">
        <v>23</v>
      </c>
      <c r="F976">
        <v>800</v>
      </c>
      <c r="G976">
        <v>30</v>
      </c>
      <c r="H976">
        <v>3</v>
      </c>
      <c r="I976">
        <f t="shared" si="92"/>
        <v>827</v>
      </c>
      <c r="J976">
        <v>11</v>
      </c>
      <c r="K976">
        <v>4</v>
      </c>
      <c r="L976" t="str">
        <f t="shared" si="93"/>
        <v>Correct</v>
      </c>
      <c r="M976">
        <f t="shared" si="94"/>
        <v>27.27272727272727</v>
      </c>
      <c r="N976">
        <f t="shared" si="90"/>
        <v>10.413793103448276</v>
      </c>
      <c r="O976">
        <f t="shared" si="95"/>
        <v>79.413907284768214</v>
      </c>
      <c r="P976" t="str">
        <f t="shared" si="91"/>
        <v>Overstock</v>
      </c>
    </row>
    <row r="977" spans="1:16" hidden="1" x14ac:dyDescent="0.35">
      <c r="A977" s="4">
        <v>46170</v>
      </c>
      <c r="B977" t="s">
        <v>33</v>
      </c>
      <c r="C977" t="s">
        <v>34</v>
      </c>
      <c r="D977" t="s">
        <v>14</v>
      </c>
      <c r="E977" t="s">
        <v>15</v>
      </c>
      <c r="F977">
        <v>226</v>
      </c>
      <c r="G977">
        <v>57</v>
      </c>
      <c r="H977">
        <v>31</v>
      </c>
      <c r="I977">
        <f t="shared" si="92"/>
        <v>252</v>
      </c>
      <c r="J977">
        <v>39</v>
      </c>
      <c r="K977">
        <v>5</v>
      </c>
      <c r="L977" t="str">
        <f t="shared" si="93"/>
        <v>Correct</v>
      </c>
      <c r="M977">
        <f t="shared" si="94"/>
        <v>79.487179487179489</v>
      </c>
      <c r="N977">
        <f t="shared" si="90"/>
        <v>20.70967741935484</v>
      </c>
      <c r="O977">
        <f t="shared" si="95"/>
        <v>12.16822429906542</v>
      </c>
      <c r="P977" t="str">
        <f t="shared" si="91"/>
        <v>Low Stock</v>
      </c>
    </row>
    <row r="978" spans="1:16" hidden="1" x14ac:dyDescent="0.35">
      <c r="A978" s="4">
        <v>46170</v>
      </c>
      <c r="B978" t="s">
        <v>33</v>
      </c>
      <c r="C978" t="s">
        <v>34</v>
      </c>
      <c r="D978" t="s">
        <v>16</v>
      </c>
      <c r="E978" t="s">
        <v>17</v>
      </c>
      <c r="F978">
        <v>280</v>
      </c>
      <c r="G978">
        <v>32</v>
      </c>
      <c r="H978">
        <v>30</v>
      </c>
      <c r="I978">
        <f t="shared" si="92"/>
        <v>282</v>
      </c>
      <c r="J978">
        <v>23</v>
      </c>
      <c r="K978">
        <v>3</v>
      </c>
      <c r="L978" t="str">
        <f t="shared" si="93"/>
        <v>Correct</v>
      </c>
      <c r="M978">
        <f t="shared" si="94"/>
        <v>130.43478260869566</v>
      </c>
      <c r="N978">
        <f t="shared" si="90"/>
        <v>22.142857142857142</v>
      </c>
      <c r="O978">
        <f t="shared" si="95"/>
        <v>12.735483870967743</v>
      </c>
      <c r="P978" t="str">
        <f t="shared" si="91"/>
        <v>Low Stock</v>
      </c>
    </row>
    <row r="979" spans="1:16" x14ac:dyDescent="0.35">
      <c r="A979" s="4">
        <v>46170</v>
      </c>
      <c r="B979" t="s">
        <v>33</v>
      </c>
      <c r="C979" t="s">
        <v>34</v>
      </c>
      <c r="D979" t="s">
        <v>18</v>
      </c>
      <c r="E979" t="s">
        <v>19</v>
      </c>
      <c r="F979">
        <v>87</v>
      </c>
      <c r="G979">
        <v>11</v>
      </c>
      <c r="H979">
        <v>25</v>
      </c>
      <c r="I979">
        <f t="shared" si="92"/>
        <v>73</v>
      </c>
      <c r="J979">
        <v>36</v>
      </c>
      <c r="K979">
        <v>3</v>
      </c>
      <c r="L979" t="str">
        <f t="shared" si="93"/>
        <v>Correct</v>
      </c>
      <c r="M979">
        <f t="shared" si="94"/>
        <v>69.444444444444443</v>
      </c>
      <c r="N979">
        <f t="shared" si="90"/>
        <v>30.275862068965516</v>
      </c>
      <c r="O979">
        <f t="shared" si="95"/>
        <v>2.4111617312072893</v>
      </c>
      <c r="P979" t="str">
        <f t="shared" si="91"/>
        <v>Low Stock</v>
      </c>
    </row>
    <row r="980" spans="1:16" hidden="1" x14ac:dyDescent="0.35">
      <c r="A980" s="4">
        <v>46170</v>
      </c>
      <c r="B980" t="s">
        <v>33</v>
      </c>
      <c r="C980" t="s">
        <v>34</v>
      </c>
      <c r="D980" t="s">
        <v>20</v>
      </c>
      <c r="E980" t="s">
        <v>21</v>
      </c>
      <c r="F980">
        <v>366</v>
      </c>
      <c r="G980">
        <v>32</v>
      </c>
      <c r="H980">
        <v>18</v>
      </c>
      <c r="I980">
        <f t="shared" si="92"/>
        <v>380</v>
      </c>
      <c r="J980">
        <v>28</v>
      </c>
      <c r="K980">
        <v>2</v>
      </c>
      <c r="L980" t="str">
        <f t="shared" si="93"/>
        <v>Correct</v>
      </c>
      <c r="M980">
        <f t="shared" si="94"/>
        <v>64.285714285714292</v>
      </c>
      <c r="N980">
        <f t="shared" si="90"/>
        <v>30.931034482758619</v>
      </c>
      <c r="O980">
        <f t="shared" si="95"/>
        <v>12.285395763656634</v>
      </c>
      <c r="P980" t="str">
        <f t="shared" si="91"/>
        <v>Low Stock</v>
      </c>
    </row>
    <row r="981" spans="1:16" hidden="1" x14ac:dyDescent="0.35">
      <c r="A981" s="4">
        <v>46170</v>
      </c>
      <c r="B981" t="s">
        <v>33</v>
      </c>
      <c r="C981" t="s">
        <v>34</v>
      </c>
      <c r="D981" t="s">
        <v>22</v>
      </c>
      <c r="E981" t="s">
        <v>23</v>
      </c>
      <c r="F981">
        <v>640</v>
      </c>
      <c r="G981">
        <v>29</v>
      </c>
      <c r="H981">
        <v>9</v>
      </c>
      <c r="I981">
        <f t="shared" si="92"/>
        <v>660</v>
      </c>
      <c r="J981">
        <v>17</v>
      </c>
      <c r="K981">
        <v>3</v>
      </c>
      <c r="L981" t="str">
        <f t="shared" si="93"/>
        <v>Correct</v>
      </c>
      <c r="M981">
        <f t="shared" si="94"/>
        <v>52.941176470588239</v>
      </c>
      <c r="N981">
        <f t="shared" si="90"/>
        <v>10.25</v>
      </c>
      <c r="O981">
        <f t="shared" si="95"/>
        <v>64.390243902439025</v>
      </c>
      <c r="P981" t="str">
        <f t="shared" si="91"/>
        <v>Overstock</v>
      </c>
    </row>
    <row r="982" spans="1:16" hidden="1" x14ac:dyDescent="0.35">
      <c r="A982" s="4">
        <v>46171</v>
      </c>
      <c r="B982" t="s">
        <v>12</v>
      </c>
      <c r="C982" t="s">
        <v>13</v>
      </c>
      <c r="D982" t="s">
        <v>14</v>
      </c>
      <c r="E982" t="s">
        <v>15</v>
      </c>
      <c r="F982">
        <v>588</v>
      </c>
      <c r="G982">
        <v>25</v>
      </c>
      <c r="H982">
        <v>30</v>
      </c>
      <c r="I982">
        <f t="shared" si="92"/>
        <v>583</v>
      </c>
      <c r="J982">
        <v>35</v>
      </c>
      <c r="K982">
        <v>3</v>
      </c>
      <c r="L982" t="str">
        <f t="shared" si="93"/>
        <v>Correct</v>
      </c>
      <c r="M982">
        <f t="shared" si="94"/>
        <v>85.714285714285708</v>
      </c>
      <c r="N982">
        <f t="shared" si="90"/>
        <v>21.666666666666668</v>
      </c>
      <c r="O982">
        <f t="shared" si="95"/>
        <v>26.907692307692304</v>
      </c>
      <c r="P982" t="str">
        <f t="shared" si="91"/>
        <v>Healthy</v>
      </c>
    </row>
    <row r="983" spans="1:16" hidden="1" x14ac:dyDescent="0.35">
      <c r="A983" s="4">
        <v>46171</v>
      </c>
      <c r="B983" t="s">
        <v>12</v>
      </c>
      <c r="C983" t="s">
        <v>13</v>
      </c>
      <c r="D983" t="s">
        <v>16</v>
      </c>
      <c r="E983" t="s">
        <v>17</v>
      </c>
      <c r="F983">
        <v>343</v>
      </c>
      <c r="G983">
        <v>24</v>
      </c>
      <c r="H983">
        <v>16</v>
      </c>
      <c r="I983">
        <f t="shared" si="92"/>
        <v>351</v>
      </c>
      <c r="J983">
        <v>30</v>
      </c>
      <c r="K983">
        <v>3</v>
      </c>
      <c r="L983" t="str">
        <f t="shared" si="93"/>
        <v>Correct</v>
      </c>
      <c r="M983">
        <f t="shared" si="94"/>
        <v>53.333333333333336</v>
      </c>
      <c r="N983">
        <f t="shared" si="90"/>
        <v>20.030303030303031</v>
      </c>
      <c r="O983">
        <f t="shared" si="95"/>
        <v>17.523449319213313</v>
      </c>
      <c r="P983" t="str">
        <f t="shared" si="91"/>
        <v>Healthy</v>
      </c>
    </row>
    <row r="984" spans="1:16" x14ac:dyDescent="0.35">
      <c r="A984" s="4">
        <v>46171</v>
      </c>
      <c r="B984" t="s">
        <v>12</v>
      </c>
      <c r="C984" t="s">
        <v>13</v>
      </c>
      <c r="D984" t="s">
        <v>18</v>
      </c>
      <c r="E984" t="s">
        <v>19</v>
      </c>
      <c r="F984">
        <v>160</v>
      </c>
      <c r="G984">
        <v>29</v>
      </c>
      <c r="H984">
        <v>47</v>
      </c>
      <c r="I984">
        <f t="shared" si="92"/>
        <v>142</v>
      </c>
      <c r="J984">
        <v>50</v>
      </c>
      <c r="K984">
        <v>2</v>
      </c>
      <c r="L984" t="str">
        <f t="shared" si="93"/>
        <v>Correct</v>
      </c>
      <c r="M984">
        <f t="shared" si="94"/>
        <v>94</v>
      </c>
      <c r="N984">
        <f t="shared" si="90"/>
        <v>33.34375</v>
      </c>
      <c r="O984">
        <f t="shared" si="95"/>
        <v>4.258669165885661</v>
      </c>
      <c r="P984" t="str">
        <f t="shared" si="91"/>
        <v>Low Stock</v>
      </c>
    </row>
    <row r="985" spans="1:16" hidden="1" x14ac:dyDescent="0.35">
      <c r="A985" s="4">
        <v>46171</v>
      </c>
      <c r="B985" t="s">
        <v>12</v>
      </c>
      <c r="C985" t="s">
        <v>13</v>
      </c>
      <c r="D985" t="s">
        <v>20</v>
      </c>
      <c r="E985" t="s">
        <v>21</v>
      </c>
      <c r="F985">
        <v>16</v>
      </c>
      <c r="G985">
        <v>11</v>
      </c>
      <c r="H985">
        <v>29</v>
      </c>
      <c r="I985">
        <f t="shared" si="92"/>
        <v>-2</v>
      </c>
      <c r="J985">
        <v>44</v>
      </c>
      <c r="K985">
        <v>5</v>
      </c>
      <c r="L985" t="str">
        <f t="shared" si="93"/>
        <v>Need verification</v>
      </c>
      <c r="M985">
        <f t="shared" si="94"/>
        <v>65.909090909090907</v>
      </c>
      <c r="N985">
        <f t="shared" si="90"/>
        <v>34.515151515151516</v>
      </c>
      <c r="O985">
        <f t="shared" si="95"/>
        <v>-5.7945566286215978E-2</v>
      </c>
      <c r="P985" t="str">
        <f t="shared" si="91"/>
        <v>Low Stock</v>
      </c>
    </row>
    <row r="986" spans="1:16" hidden="1" x14ac:dyDescent="0.35">
      <c r="A986" s="4">
        <v>46171</v>
      </c>
      <c r="B986" t="s">
        <v>12</v>
      </c>
      <c r="C986" t="s">
        <v>13</v>
      </c>
      <c r="D986" t="s">
        <v>14</v>
      </c>
      <c r="E986" t="s">
        <v>15</v>
      </c>
      <c r="F986">
        <v>623</v>
      </c>
      <c r="G986">
        <v>55</v>
      </c>
      <c r="H986">
        <v>16</v>
      </c>
      <c r="I986">
        <f t="shared" si="92"/>
        <v>662</v>
      </c>
      <c r="J986">
        <v>26</v>
      </c>
      <c r="K986">
        <v>4</v>
      </c>
      <c r="L986" t="str">
        <f t="shared" si="93"/>
        <v>Correct</v>
      </c>
      <c r="M986">
        <f t="shared" si="94"/>
        <v>61.53846153846154</v>
      </c>
      <c r="N986">
        <f t="shared" si="90"/>
        <v>21.666666666666668</v>
      </c>
      <c r="O986">
        <f t="shared" si="95"/>
        <v>30.553846153846152</v>
      </c>
      <c r="P986" t="str">
        <f t="shared" si="91"/>
        <v>Overstock</v>
      </c>
    </row>
    <row r="987" spans="1:16" hidden="1" x14ac:dyDescent="0.35">
      <c r="A987" s="4">
        <v>46171</v>
      </c>
      <c r="B987" t="s">
        <v>12</v>
      </c>
      <c r="C987" t="s">
        <v>24</v>
      </c>
      <c r="D987" t="s">
        <v>14</v>
      </c>
      <c r="E987" t="s">
        <v>15</v>
      </c>
      <c r="F987">
        <v>370</v>
      </c>
      <c r="G987">
        <v>18</v>
      </c>
      <c r="H987">
        <v>9</v>
      </c>
      <c r="I987">
        <f t="shared" si="92"/>
        <v>379</v>
      </c>
      <c r="J987">
        <v>17</v>
      </c>
      <c r="K987">
        <v>3</v>
      </c>
      <c r="L987" t="str">
        <f t="shared" si="93"/>
        <v>Correct</v>
      </c>
      <c r="M987">
        <f t="shared" si="94"/>
        <v>52.941176470588239</v>
      </c>
      <c r="N987">
        <f t="shared" si="90"/>
        <v>21.35483870967742</v>
      </c>
      <c r="O987">
        <f t="shared" si="95"/>
        <v>17.74773413897281</v>
      </c>
      <c r="P987" t="str">
        <f t="shared" si="91"/>
        <v>Healthy</v>
      </c>
    </row>
    <row r="988" spans="1:16" hidden="1" x14ac:dyDescent="0.35">
      <c r="A988" s="4">
        <v>46171</v>
      </c>
      <c r="B988" t="s">
        <v>12</v>
      </c>
      <c r="C988" t="s">
        <v>24</v>
      </c>
      <c r="D988" t="s">
        <v>16</v>
      </c>
      <c r="E988" t="s">
        <v>17</v>
      </c>
      <c r="F988">
        <v>230</v>
      </c>
      <c r="G988">
        <v>16</v>
      </c>
      <c r="H988">
        <v>26</v>
      </c>
      <c r="I988">
        <f t="shared" si="92"/>
        <v>220</v>
      </c>
      <c r="J988">
        <v>30</v>
      </c>
      <c r="K988">
        <v>2</v>
      </c>
      <c r="L988" t="str">
        <f t="shared" si="93"/>
        <v>Correct</v>
      </c>
      <c r="M988">
        <f t="shared" si="94"/>
        <v>86.666666666666671</v>
      </c>
      <c r="N988">
        <f t="shared" si="90"/>
        <v>21.9</v>
      </c>
      <c r="O988">
        <f t="shared" si="95"/>
        <v>10.045662100456621</v>
      </c>
      <c r="P988" t="str">
        <f t="shared" si="91"/>
        <v>Low Stock</v>
      </c>
    </row>
    <row r="989" spans="1:16" x14ac:dyDescent="0.35">
      <c r="A989" s="4">
        <v>46170</v>
      </c>
      <c r="B989" t="s">
        <v>12</v>
      </c>
      <c r="C989" t="s">
        <v>24</v>
      </c>
      <c r="D989" t="s">
        <v>18</v>
      </c>
      <c r="E989" t="s">
        <v>19</v>
      </c>
      <c r="F989">
        <v>138</v>
      </c>
      <c r="G989">
        <v>22</v>
      </c>
      <c r="H989">
        <v>45</v>
      </c>
      <c r="I989">
        <f t="shared" si="92"/>
        <v>115</v>
      </c>
      <c r="J989">
        <v>48</v>
      </c>
      <c r="K989">
        <v>5</v>
      </c>
      <c r="L989" t="str">
        <f t="shared" si="93"/>
        <v>Correct</v>
      </c>
      <c r="M989">
        <f t="shared" si="94"/>
        <v>93.75</v>
      </c>
      <c r="N989">
        <f t="shared" si="90"/>
        <v>31.586206896551722</v>
      </c>
      <c r="O989">
        <f t="shared" si="95"/>
        <v>3.6408296943231444</v>
      </c>
      <c r="P989" t="str">
        <f t="shared" si="91"/>
        <v>Low Stock</v>
      </c>
    </row>
    <row r="990" spans="1:16" hidden="1" x14ac:dyDescent="0.35">
      <c r="A990" s="4">
        <v>46171</v>
      </c>
      <c r="B990" t="s">
        <v>12</v>
      </c>
      <c r="C990" t="s">
        <v>24</v>
      </c>
      <c r="D990" t="s">
        <v>20</v>
      </c>
      <c r="E990" t="s">
        <v>21</v>
      </c>
      <c r="F990">
        <v>10</v>
      </c>
      <c r="G990">
        <v>24</v>
      </c>
      <c r="H990">
        <v>24</v>
      </c>
      <c r="I990">
        <f t="shared" si="92"/>
        <v>10</v>
      </c>
      <c r="J990">
        <v>29</v>
      </c>
      <c r="K990">
        <v>5</v>
      </c>
      <c r="L990" t="str">
        <f t="shared" si="93"/>
        <v>Correct</v>
      </c>
      <c r="M990">
        <f t="shared" si="94"/>
        <v>82.758620689655174</v>
      </c>
      <c r="N990">
        <f t="shared" si="90"/>
        <v>34.200000000000003</v>
      </c>
      <c r="O990">
        <f t="shared" si="95"/>
        <v>0.29239766081871343</v>
      </c>
      <c r="P990" t="str">
        <f t="shared" si="91"/>
        <v>Low Stock</v>
      </c>
    </row>
    <row r="991" spans="1:16" hidden="1" x14ac:dyDescent="0.35">
      <c r="A991" s="4">
        <v>46171</v>
      </c>
      <c r="B991" t="s">
        <v>12</v>
      </c>
      <c r="C991" t="s">
        <v>24</v>
      </c>
      <c r="D991" t="s">
        <v>22</v>
      </c>
      <c r="E991" t="s">
        <v>23</v>
      </c>
      <c r="F991">
        <v>624</v>
      </c>
      <c r="G991">
        <v>44</v>
      </c>
      <c r="H991">
        <v>11</v>
      </c>
      <c r="I991">
        <f t="shared" si="92"/>
        <v>657</v>
      </c>
      <c r="J991">
        <v>20</v>
      </c>
      <c r="K991">
        <v>4</v>
      </c>
      <c r="L991" t="str">
        <f t="shared" si="93"/>
        <v>Correct</v>
      </c>
      <c r="M991">
        <f t="shared" si="94"/>
        <v>55.000000000000007</v>
      </c>
      <c r="N991">
        <f t="shared" si="90"/>
        <v>10.96551724137931</v>
      </c>
      <c r="O991">
        <f t="shared" si="95"/>
        <v>59.915094339622648</v>
      </c>
      <c r="P991" t="str">
        <f t="shared" si="91"/>
        <v>Overstock</v>
      </c>
    </row>
    <row r="992" spans="1:16" hidden="1" x14ac:dyDescent="0.35">
      <c r="A992" s="4">
        <v>46171</v>
      </c>
      <c r="B992" t="s">
        <v>12</v>
      </c>
      <c r="C992" t="s">
        <v>25</v>
      </c>
      <c r="D992" t="s">
        <v>14</v>
      </c>
      <c r="E992" t="s">
        <v>15</v>
      </c>
      <c r="F992">
        <v>329</v>
      </c>
      <c r="G992">
        <v>44</v>
      </c>
      <c r="H992">
        <v>9</v>
      </c>
      <c r="I992">
        <f t="shared" si="92"/>
        <v>364</v>
      </c>
      <c r="J992">
        <v>23</v>
      </c>
      <c r="K992">
        <v>2</v>
      </c>
      <c r="L992" t="str">
        <f t="shared" si="93"/>
        <v>Correct</v>
      </c>
      <c r="M992">
        <f t="shared" si="94"/>
        <v>39.130434782608695</v>
      </c>
      <c r="N992">
        <f t="shared" si="90"/>
        <v>20.7</v>
      </c>
      <c r="O992">
        <f t="shared" si="95"/>
        <v>17.584541062801932</v>
      </c>
      <c r="P992" t="str">
        <f t="shared" si="91"/>
        <v>Healthy</v>
      </c>
    </row>
    <row r="993" spans="1:16" hidden="1" x14ac:dyDescent="0.35">
      <c r="A993" s="4">
        <v>46171</v>
      </c>
      <c r="B993" t="s">
        <v>12</v>
      </c>
      <c r="C993" t="s">
        <v>25</v>
      </c>
      <c r="D993" t="s">
        <v>16</v>
      </c>
      <c r="E993" t="s">
        <v>17</v>
      </c>
      <c r="F993">
        <v>251</v>
      </c>
      <c r="G993">
        <v>59</v>
      </c>
      <c r="H993">
        <v>30</v>
      </c>
      <c r="I993">
        <f t="shared" si="92"/>
        <v>280</v>
      </c>
      <c r="J993">
        <v>39</v>
      </c>
      <c r="K993">
        <v>3</v>
      </c>
      <c r="L993" t="str">
        <f t="shared" si="93"/>
        <v>Correct</v>
      </c>
      <c r="M993">
        <f t="shared" si="94"/>
        <v>76.923076923076934</v>
      </c>
      <c r="N993">
        <f t="shared" si="90"/>
        <v>23.758620689655171</v>
      </c>
      <c r="O993">
        <f t="shared" si="95"/>
        <v>11.785195936139333</v>
      </c>
      <c r="P993" t="str">
        <f t="shared" si="91"/>
        <v>Low Stock</v>
      </c>
    </row>
    <row r="994" spans="1:16" x14ac:dyDescent="0.35">
      <c r="A994" s="4">
        <v>46171</v>
      </c>
      <c r="B994" t="s">
        <v>12</v>
      </c>
      <c r="C994" t="s">
        <v>25</v>
      </c>
      <c r="D994" t="s">
        <v>18</v>
      </c>
      <c r="E994" t="s">
        <v>19</v>
      </c>
      <c r="F994">
        <v>57</v>
      </c>
      <c r="G994">
        <v>55</v>
      </c>
      <c r="H994">
        <v>17</v>
      </c>
      <c r="I994">
        <f t="shared" si="92"/>
        <v>95</v>
      </c>
      <c r="J994">
        <v>21</v>
      </c>
      <c r="K994">
        <v>2</v>
      </c>
      <c r="L994" t="str">
        <f t="shared" si="93"/>
        <v>Correct</v>
      </c>
      <c r="M994">
        <f t="shared" si="94"/>
        <v>80.952380952380949</v>
      </c>
      <c r="N994">
        <f t="shared" si="90"/>
        <v>31.142857142857142</v>
      </c>
      <c r="O994">
        <f t="shared" si="95"/>
        <v>3.0504587155963305</v>
      </c>
      <c r="P994" t="str">
        <f t="shared" si="91"/>
        <v>Low Stock</v>
      </c>
    </row>
    <row r="995" spans="1:16" hidden="1" x14ac:dyDescent="0.35">
      <c r="A995" s="4">
        <v>46171</v>
      </c>
      <c r="B995" t="s">
        <v>12</v>
      </c>
      <c r="C995" t="s">
        <v>25</v>
      </c>
      <c r="D995" t="s">
        <v>20</v>
      </c>
      <c r="E995" t="s">
        <v>21</v>
      </c>
      <c r="F995">
        <v>137</v>
      </c>
      <c r="G995">
        <v>24</v>
      </c>
      <c r="H995">
        <v>42</v>
      </c>
      <c r="I995">
        <f t="shared" si="92"/>
        <v>119</v>
      </c>
      <c r="J995">
        <v>48</v>
      </c>
      <c r="K995">
        <v>2</v>
      </c>
      <c r="L995" t="str">
        <f t="shared" si="93"/>
        <v>Correct</v>
      </c>
      <c r="M995">
        <f t="shared" si="94"/>
        <v>87.5</v>
      </c>
      <c r="N995">
        <f t="shared" si="90"/>
        <v>31.137931034482758</v>
      </c>
      <c r="O995">
        <f t="shared" si="95"/>
        <v>3.8217054263565893</v>
      </c>
      <c r="P995" t="str">
        <f t="shared" si="91"/>
        <v>Low Stock</v>
      </c>
    </row>
    <row r="996" spans="1:16" hidden="1" x14ac:dyDescent="0.35">
      <c r="A996" s="4">
        <v>46171</v>
      </c>
      <c r="B996" t="s">
        <v>12</v>
      </c>
      <c r="C996" t="s">
        <v>25</v>
      </c>
      <c r="D996" t="s">
        <v>22</v>
      </c>
      <c r="E996" t="s">
        <v>23</v>
      </c>
      <c r="F996">
        <v>753</v>
      </c>
      <c r="G996">
        <v>20</v>
      </c>
      <c r="H996">
        <v>10</v>
      </c>
      <c r="I996">
        <f t="shared" si="92"/>
        <v>763</v>
      </c>
      <c r="J996">
        <v>22</v>
      </c>
      <c r="K996">
        <v>2</v>
      </c>
      <c r="L996" t="str">
        <f t="shared" si="93"/>
        <v>Correct</v>
      </c>
      <c r="M996">
        <f t="shared" si="94"/>
        <v>45.454545454545453</v>
      </c>
      <c r="N996">
        <f t="shared" si="90"/>
        <v>11.3</v>
      </c>
      <c r="O996">
        <f t="shared" si="95"/>
        <v>67.522123893805301</v>
      </c>
      <c r="P996" t="str">
        <f t="shared" si="91"/>
        <v>Overstock</v>
      </c>
    </row>
    <row r="997" spans="1:16" hidden="1" x14ac:dyDescent="0.35">
      <c r="A997" s="4">
        <v>46171</v>
      </c>
      <c r="B997" t="s">
        <v>26</v>
      </c>
      <c r="C997" t="s">
        <v>27</v>
      </c>
      <c r="D997" t="s">
        <v>14</v>
      </c>
      <c r="E997" t="s">
        <v>15</v>
      </c>
      <c r="F997">
        <v>626</v>
      </c>
      <c r="G997">
        <v>40</v>
      </c>
      <c r="H997">
        <v>19</v>
      </c>
      <c r="I997">
        <f t="shared" si="92"/>
        <v>647</v>
      </c>
      <c r="J997">
        <v>27</v>
      </c>
      <c r="K997">
        <v>1</v>
      </c>
      <c r="L997" t="str">
        <f t="shared" si="93"/>
        <v>Correct</v>
      </c>
      <c r="M997">
        <f t="shared" si="94"/>
        <v>70.370370370370367</v>
      </c>
      <c r="N997">
        <f t="shared" si="90"/>
        <v>22.258064516129032</v>
      </c>
      <c r="O997">
        <f t="shared" si="95"/>
        <v>29.068115942028985</v>
      </c>
      <c r="P997" t="str">
        <f t="shared" si="91"/>
        <v>Healthy</v>
      </c>
    </row>
    <row r="998" spans="1:16" hidden="1" x14ac:dyDescent="0.35">
      <c r="A998" s="4">
        <v>46171</v>
      </c>
      <c r="B998" t="s">
        <v>26</v>
      </c>
      <c r="C998" t="s">
        <v>27</v>
      </c>
      <c r="D998" t="s">
        <v>16</v>
      </c>
      <c r="E998" t="s">
        <v>17</v>
      </c>
      <c r="F998">
        <v>450</v>
      </c>
      <c r="G998">
        <v>23</v>
      </c>
      <c r="H998">
        <v>32</v>
      </c>
      <c r="I998">
        <f t="shared" si="92"/>
        <v>441</v>
      </c>
      <c r="J998">
        <v>45</v>
      </c>
      <c r="K998">
        <v>4</v>
      </c>
      <c r="L998" t="str">
        <f t="shared" si="93"/>
        <v>Correct</v>
      </c>
      <c r="M998">
        <f t="shared" si="94"/>
        <v>71.111111111111114</v>
      </c>
      <c r="N998">
        <f t="shared" si="90"/>
        <v>20.172413793103448</v>
      </c>
      <c r="O998">
        <f t="shared" si="95"/>
        <v>21.861538461538462</v>
      </c>
      <c r="P998" t="str">
        <f t="shared" si="91"/>
        <v>Healthy</v>
      </c>
    </row>
    <row r="999" spans="1:16" x14ac:dyDescent="0.35">
      <c r="A999" s="4">
        <v>46171</v>
      </c>
      <c r="B999" t="s">
        <v>26</v>
      </c>
      <c r="C999" t="s">
        <v>27</v>
      </c>
      <c r="D999" t="s">
        <v>18</v>
      </c>
      <c r="E999" t="s">
        <v>19</v>
      </c>
      <c r="F999">
        <v>63</v>
      </c>
      <c r="G999">
        <v>59</v>
      </c>
      <c r="H999">
        <v>16</v>
      </c>
      <c r="I999">
        <f t="shared" si="92"/>
        <v>106</v>
      </c>
      <c r="J999">
        <v>28</v>
      </c>
      <c r="K999">
        <v>4</v>
      </c>
      <c r="L999" t="str">
        <f t="shared" si="93"/>
        <v>Correct</v>
      </c>
      <c r="M999">
        <f t="shared" si="94"/>
        <v>57.142857142857139</v>
      </c>
      <c r="N999">
        <f t="shared" si="90"/>
        <v>29.733333333333334</v>
      </c>
      <c r="O999">
        <f t="shared" si="95"/>
        <v>3.5650224215246635</v>
      </c>
      <c r="P999" t="str">
        <f t="shared" si="91"/>
        <v>Low Stock</v>
      </c>
    </row>
    <row r="1000" spans="1:16" hidden="1" x14ac:dyDescent="0.35">
      <c r="A1000" s="4">
        <v>46171</v>
      </c>
      <c r="B1000" t="s">
        <v>26</v>
      </c>
      <c r="C1000" t="s">
        <v>27</v>
      </c>
      <c r="D1000" t="s">
        <v>20</v>
      </c>
      <c r="E1000" t="s">
        <v>21</v>
      </c>
      <c r="F1000">
        <v>301</v>
      </c>
      <c r="G1000">
        <v>30</v>
      </c>
      <c r="H1000">
        <v>27</v>
      </c>
      <c r="I1000">
        <f t="shared" si="92"/>
        <v>304</v>
      </c>
      <c r="J1000">
        <v>31</v>
      </c>
      <c r="K1000">
        <v>1</v>
      </c>
      <c r="L1000" t="str">
        <f t="shared" si="93"/>
        <v>Correct</v>
      </c>
      <c r="M1000">
        <f t="shared" si="94"/>
        <v>87.096774193548384</v>
      </c>
      <c r="N1000">
        <f t="shared" si="90"/>
        <v>30.724137931034484</v>
      </c>
      <c r="O1000">
        <f t="shared" si="95"/>
        <v>9.8945005611672272</v>
      </c>
      <c r="P1000" t="str">
        <f t="shared" si="91"/>
        <v>Low Stock</v>
      </c>
    </row>
    <row r="1001" spans="1:16" hidden="1" x14ac:dyDescent="0.35">
      <c r="A1001" s="4">
        <v>46171</v>
      </c>
      <c r="B1001" t="s">
        <v>26</v>
      </c>
      <c r="C1001" t="s">
        <v>27</v>
      </c>
      <c r="D1001" t="s">
        <v>22</v>
      </c>
      <c r="E1001" t="s">
        <v>23</v>
      </c>
      <c r="F1001">
        <v>521</v>
      </c>
      <c r="G1001">
        <v>32</v>
      </c>
      <c r="H1001">
        <v>7</v>
      </c>
      <c r="I1001">
        <f t="shared" si="92"/>
        <v>546</v>
      </c>
      <c r="J1001">
        <v>11</v>
      </c>
      <c r="K1001">
        <v>4</v>
      </c>
      <c r="L1001" t="str">
        <f t="shared" si="93"/>
        <v>Correct</v>
      </c>
      <c r="M1001">
        <f t="shared" si="94"/>
        <v>63.636363636363633</v>
      </c>
      <c r="N1001">
        <f t="shared" si="90"/>
        <v>11.566666666666666</v>
      </c>
      <c r="O1001">
        <f t="shared" si="95"/>
        <v>47.204610951008647</v>
      </c>
      <c r="P1001" t="str">
        <f t="shared" si="91"/>
        <v>Overstock</v>
      </c>
    </row>
    <row r="1002" spans="1:16" hidden="1" x14ac:dyDescent="0.35">
      <c r="A1002" s="4">
        <v>46171</v>
      </c>
      <c r="B1002" t="s">
        <v>28</v>
      </c>
      <c r="C1002" t="s">
        <v>29</v>
      </c>
      <c r="D1002" t="s">
        <v>14</v>
      </c>
      <c r="E1002" t="s">
        <v>15</v>
      </c>
      <c r="F1002">
        <v>414</v>
      </c>
      <c r="G1002">
        <v>12</v>
      </c>
      <c r="H1002">
        <v>12</v>
      </c>
      <c r="I1002">
        <f t="shared" si="92"/>
        <v>414</v>
      </c>
      <c r="J1002">
        <v>18</v>
      </c>
      <c r="K1002">
        <v>4</v>
      </c>
      <c r="L1002" t="str">
        <f t="shared" si="93"/>
        <v>Correct</v>
      </c>
      <c r="M1002">
        <f t="shared" si="94"/>
        <v>66.666666666666657</v>
      </c>
      <c r="N1002">
        <f t="shared" si="90"/>
        <v>22.25</v>
      </c>
      <c r="O1002">
        <f t="shared" si="95"/>
        <v>18.606741573033709</v>
      </c>
      <c r="P1002" t="str">
        <f t="shared" si="91"/>
        <v>Healthy</v>
      </c>
    </row>
    <row r="1003" spans="1:16" hidden="1" x14ac:dyDescent="0.35">
      <c r="A1003" s="4">
        <v>46171</v>
      </c>
      <c r="B1003" t="s">
        <v>28</v>
      </c>
      <c r="C1003" t="s">
        <v>29</v>
      </c>
      <c r="D1003" t="s">
        <v>16</v>
      </c>
      <c r="E1003" t="s">
        <v>17</v>
      </c>
      <c r="F1003">
        <v>466</v>
      </c>
      <c r="G1003">
        <v>16</v>
      </c>
      <c r="H1003">
        <v>10</v>
      </c>
      <c r="I1003">
        <f t="shared" si="92"/>
        <v>472</v>
      </c>
      <c r="J1003">
        <v>15</v>
      </c>
      <c r="K1003">
        <v>1</v>
      </c>
      <c r="L1003" t="str">
        <f t="shared" si="93"/>
        <v>Correct</v>
      </c>
      <c r="M1003">
        <f t="shared" si="94"/>
        <v>66.666666666666657</v>
      </c>
      <c r="N1003">
        <f t="shared" si="90"/>
        <v>19.96551724137931</v>
      </c>
      <c r="O1003">
        <f t="shared" si="95"/>
        <v>23.640759930915372</v>
      </c>
      <c r="P1003" t="str">
        <f t="shared" si="91"/>
        <v>Healthy</v>
      </c>
    </row>
    <row r="1004" spans="1:16" x14ac:dyDescent="0.35">
      <c r="A1004" s="4">
        <v>46171</v>
      </c>
      <c r="B1004" t="s">
        <v>28</v>
      </c>
      <c r="C1004" t="s">
        <v>29</v>
      </c>
      <c r="D1004" t="s">
        <v>18</v>
      </c>
      <c r="E1004" t="s">
        <v>19</v>
      </c>
      <c r="F1004">
        <v>111</v>
      </c>
      <c r="G1004">
        <v>4</v>
      </c>
      <c r="H1004">
        <v>23</v>
      </c>
      <c r="I1004">
        <f t="shared" si="92"/>
        <v>92</v>
      </c>
      <c r="J1004">
        <v>37</v>
      </c>
      <c r="K1004">
        <v>3</v>
      </c>
      <c r="L1004" t="str">
        <f t="shared" si="93"/>
        <v>Correct</v>
      </c>
      <c r="M1004">
        <f t="shared" si="94"/>
        <v>62.162162162162161</v>
      </c>
      <c r="N1004">
        <f t="shared" si="90"/>
        <v>31.206896551724139</v>
      </c>
      <c r="O1004">
        <f t="shared" si="95"/>
        <v>2.9480662983425412</v>
      </c>
      <c r="P1004" t="str">
        <f t="shared" si="91"/>
        <v>Low Stock</v>
      </c>
    </row>
    <row r="1005" spans="1:16" hidden="1" x14ac:dyDescent="0.35">
      <c r="A1005" s="4">
        <v>46171</v>
      </c>
      <c r="B1005" t="s">
        <v>28</v>
      </c>
      <c r="C1005" t="s">
        <v>29</v>
      </c>
      <c r="D1005" t="s">
        <v>20</v>
      </c>
      <c r="E1005" t="s">
        <v>21</v>
      </c>
      <c r="F1005">
        <v>15</v>
      </c>
      <c r="G1005">
        <v>40</v>
      </c>
      <c r="H1005">
        <v>40</v>
      </c>
      <c r="I1005">
        <f t="shared" si="92"/>
        <v>15</v>
      </c>
      <c r="J1005">
        <v>49</v>
      </c>
      <c r="K1005">
        <v>5</v>
      </c>
      <c r="L1005" t="str">
        <f t="shared" si="93"/>
        <v>Correct</v>
      </c>
      <c r="M1005">
        <f t="shared" si="94"/>
        <v>81.632653061224488</v>
      </c>
      <c r="N1005">
        <f t="shared" si="90"/>
        <v>32.620689655172413</v>
      </c>
      <c r="O1005">
        <f t="shared" si="95"/>
        <v>0.45983086680761098</v>
      </c>
      <c r="P1005" t="str">
        <f t="shared" si="91"/>
        <v>Low Stock</v>
      </c>
    </row>
    <row r="1006" spans="1:16" hidden="1" x14ac:dyDescent="0.35">
      <c r="A1006" s="4">
        <v>46171</v>
      </c>
      <c r="B1006" t="s">
        <v>28</v>
      </c>
      <c r="C1006" t="s">
        <v>29</v>
      </c>
      <c r="D1006" t="s">
        <v>22</v>
      </c>
      <c r="E1006" t="s">
        <v>23</v>
      </c>
      <c r="F1006">
        <v>839</v>
      </c>
      <c r="G1006">
        <v>30</v>
      </c>
      <c r="H1006">
        <v>11</v>
      </c>
      <c r="I1006">
        <f t="shared" si="92"/>
        <v>858</v>
      </c>
      <c r="J1006">
        <v>13</v>
      </c>
      <c r="K1006">
        <v>3</v>
      </c>
      <c r="L1006" t="str">
        <f t="shared" si="93"/>
        <v>Correct</v>
      </c>
      <c r="M1006">
        <f t="shared" si="94"/>
        <v>84.615384615384613</v>
      </c>
      <c r="N1006">
        <f t="shared" si="90"/>
        <v>11.678571428571429</v>
      </c>
      <c r="O1006">
        <f t="shared" si="95"/>
        <v>73.467889908256879</v>
      </c>
      <c r="P1006" t="str">
        <f t="shared" si="91"/>
        <v>Overstock</v>
      </c>
    </row>
    <row r="1007" spans="1:16" hidden="1" x14ac:dyDescent="0.35">
      <c r="A1007" s="4">
        <v>46171</v>
      </c>
      <c r="B1007" t="s">
        <v>31</v>
      </c>
      <c r="C1007" t="s">
        <v>32</v>
      </c>
      <c r="D1007" t="s">
        <v>14</v>
      </c>
      <c r="E1007" t="s">
        <v>15</v>
      </c>
      <c r="F1007">
        <v>450</v>
      </c>
      <c r="G1007">
        <v>11</v>
      </c>
      <c r="H1007">
        <v>20</v>
      </c>
      <c r="I1007">
        <f t="shared" si="92"/>
        <v>441</v>
      </c>
      <c r="J1007">
        <v>26</v>
      </c>
      <c r="K1007">
        <v>2</v>
      </c>
      <c r="L1007" t="str">
        <f t="shared" si="93"/>
        <v>Correct</v>
      </c>
      <c r="M1007">
        <f t="shared" si="94"/>
        <v>76.923076923076934</v>
      </c>
      <c r="N1007">
        <f t="shared" si="90"/>
        <v>20.84375</v>
      </c>
      <c r="O1007">
        <f t="shared" si="95"/>
        <v>21.157421289355323</v>
      </c>
      <c r="P1007" t="str">
        <f t="shared" si="91"/>
        <v>Healthy</v>
      </c>
    </row>
    <row r="1008" spans="1:16" hidden="1" x14ac:dyDescent="0.35">
      <c r="A1008" s="4">
        <v>46171</v>
      </c>
      <c r="B1008" t="s">
        <v>31</v>
      </c>
      <c r="C1008" t="s">
        <v>32</v>
      </c>
      <c r="D1008" t="s">
        <v>16</v>
      </c>
      <c r="E1008" t="s">
        <v>17</v>
      </c>
      <c r="F1008">
        <v>413</v>
      </c>
      <c r="G1008">
        <v>57</v>
      </c>
      <c r="H1008">
        <v>15</v>
      </c>
      <c r="I1008">
        <f t="shared" si="92"/>
        <v>455</v>
      </c>
      <c r="J1008">
        <v>24</v>
      </c>
      <c r="K1008">
        <v>1</v>
      </c>
      <c r="L1008" t="str">
        <f t="shared" si="93"/>
        <v>Correct</v>
      </c>
      <c r="M1008">
        <f t="shared" si="94"/>
        <v>62.5</v>
      </c>
      <c r="N1008">
        <f t="shared" si="90"/>
        <v>21.46875</v>
      </c>
      <c r="O1008">
        <f t="shared" si="95"/>
        <v>21.193595342066956</v>
      </c>
      <c r="P1008" t="str">
        <f t="shared" si="91"/>
        <v>Healthy</v>
      </c>
    </row>
    <row r="1009" spans="1:16" x14ac:dyDescent="0.35">
      <c r="A1009" s="4">
        <v>46171</v>
      </c>
      <c r="B1009" t="s">
        <v>31</v>
      </c>
      <c r="C1009" t="s">
        <v>32</v>
      </c>
      <c r="D1009" t="s">
        <v>18</v>
      </c>
      <c r="E1009" t="s">
        <v>19</v>
      </c>
      <c r="F1009">
        <v>116</v>
      </c>
      <c r="G1009">
        <v>27</v>
      </c>
      <c r="H1009">
        <v>39</v>
      </c>
      <c r="I1009">
        <f t="shared" si="92"/>
        <v>104</v>
      </c>
      <c r="J1009">
        <v>50</v>
      </c>
      <c r="K1009">
        <v>5</v>
      </c>
      <c r="L1009" t="str">
        <f t="shared" si="93"/>
        <v>Correct</v>
      </c>
      <c r="M1009">
        <f t="shared" si="94"/>
        <v>78</v>
      </c>
      <c r="N1009">
        <f t="shared" si="90"/>
        <v>30.586206896551722</v>
      </c>
      <c r="O1009">
        <f t="shared" si="95"/>
        <v>3.4002254791431796</v>
      </c>
      <c r="P1009" t="str">
        <f t="shared" si="91"/>
        <v>Low Stock</v>
      </c>
    </row>
    <row r="1010" spans="1:16" hidden="1" x14ac:dyDescent="0.35">
      <c r="A1010" s="4">
        <v>46171</v>
      </c>
      <c r="B1010" t="s">
        <v>31</v>
      </c>
      <c r="C1010" t="s">
        <v>32</v>
      </c>
      <c r="D1010" t="s">
        <v>20</v>
      </c>
      <c r="E1010" t="s">
        <v>21</v>
      </c>
      <c r="F1010">
        <v>59</v>
      </c>
      <c r="G1010">
        <v>42</v>
      </c>
      <c r="H1010">
        <v>33</v>
      </c>
      <c r="I1010">
        <f t="shared" si="92"/>
        <v>68</v>
      </c>
      <c r="J1010">
        <v>41</v>
      </c>
      <c r="K1010">
        <v>5</v>
      </c>
      <c r="L1010" t="str">
        <f t="shared" si="93"/>
        <v>Correct</v>
      </c>
      <c r="M1010">
        <f t="shared" si="94"/>
        <v>80.487804878048792</v>
      </c>
      <c r="N1010">
        <f t="shared" si="90"/>
        <v>32.299999999999997</v>
      </c>
      <c r="O1010">
        <f t="shared" si="95"/>
        <v>2.1052631578947372</v>
      </c>
      <c r="P1010" t="str">
        <f t="shared" si="91"/>
        <v>Low Stock</v>
      </c>
    </row>
    <row r="1011" spans="1:16" hidden="1" x14ac:dyDescent="0.35">
      <c r="A1011" s="4">
        <v>46171</v>
      </c>
      <c r="B1011" t="s">
        <v>12</v>
      </c>
      <c r="C1011" t="s">
        <v>13</v>
      </c>
      <c r="D1011" t="s">
        <v>22</v>
      </c>
      <c r="E1011" t="s">
        <v>23</v>
      </c>
      <c r="F1011">
        <v>827</v>
      </c>
      <c r="G1011">
        <v>43</v>
      </c>
      <c r="H1011">
        <v>14</v>
      </c>
      <c r="I1011">
        <f t="shared" si="92"/>
        <v>856</v>
      </c>
      <c r="J1011">
        <v>16</v>
      </c>
      <c r="K1011">
        <v>5</v>
      </c>
      <c r="L1011" t="str">
        <f t="shared" si="93"/>
        <v>Correct</v>
      </c>
      <c r="M1011">
        <f t="shared" si="94"/>
        <v>87.5</v>
      </c>
      <c r="N1011">
        <f t="shared" si="90"/>
        <v>9.9032258064516121</v>
      </c>
      <c r="O1011">
        <f t="shared" si="95"/>
        <v>86.436482084690567</v>
      </c>
      <c r="P1011" t="str">
        <f t="shared" si="91"/>
        <v>Overstock</v>
      </c>
    </row>
    <row r="1012" spans="1:16" hidden="1" x14ac:dyDescent="0.35">
      <c r="A1012" s="4">
        <v>46171</v>
      </c>
      <c r="B1012" t="s">
        <v>33</v>
      </c>
      <c r="C1012" t="s">
        <v>34</v>
      </c>
      <c r="D1012" t="s">
        <v>14</v>
      </c>
      <c r="E1012" t="s">
        <v>15</v>
      </c>
      <c r="F1012">
        <v>252</v>
      </c>
      <c r="G1012">
        <v>49</v>
      </c>
      <c r="H1012">
        <v>15</v>
      </c>
      <c r="I1012">
        <f t="shared" si="92"/>
        <v>286</v>
      </c>
      <c r="J1012">
        <v>16</v>
      </c>
      <c r="K1012">
        <v>3</v>
      </c>
      <c r="L1012" t="str">
        <f t="shared" si="93"/>
        <v>Correct</v>
      </c>
      <c r="M1012">
        <f t="shared" si="94"/>
        <v>93.75</v>
      </c>
      <c r="N1012">
        <f t="shared" si="90"/>
        <v>20.70967741935484</v>
      </c>
      <c r="O1012">
        <f t="shared" si="95"/>
        <v>13.809968847352025</v>
      </c>
      <c r="P1012" t="str">
        <f t="shared" si="91"/>
        <v>Low Stock</v>
      </c>
    </row>
    <row r="1013" spans="1:16" hidden="1" x14ac:dyDescent="0.35">
      <c r="A1013" s="4">
        <v>46171</v>
      </c>
      <c r="B1013" t="s">
        <v>33</v>
      </c>
      <c r="C1013" t="s">
        <v>34</v>
      </c>
      <c r="D1013" t="s">
        <v>16</v>
      </c>
      <c r="E1013" t="s">
        <v>17</v>
      </c>
      <c r="F1013">
        <v>298</v>
      </c>
      <c r="G1013">
        <v>28</v>
      </c>
      <c r="H1013">
        <v>16</v>
      </c>
      <c r="I1013">
        <f t="shared" si="92"/>
        <v>310</v>
      </c>
      <c r="J1013">
        <v>26</v>
      </c>
      <c r="K1013">
        <v>2</v>
      </c>
      <c r="L1013" t="str">
        <f t="shared" si="93"/>
        <v>Correct</v>
      </c>
      <c r="M1013">
        <f t="shared" si="94"/>
        <v>61.53846153846154</v>
      </c>
      <c r="N1013">
        <f t="shared" si="90"/>
        <v>22.142857142857142</v>
      </c>
      <c r="O1013">
        <f t="shared" si="95"/>
        <v>14</v>
      </c>
      <c r="P1013" t="str">
        <f t="shared" si="91"/>
        <v>Low Stock</v>
      </c>
    </row>
    <row r="1014" spans="1:16" x14ac:dyDescent="0.35">
      <c r="A1014" s="4">
        <v>46171</v>
      </c>
      <c r="B1014" t="s">
        <v>33</v>
      </c>
      <c r="C1014" t="s">
        <v>34</v>
      </c>
      <c r="D1014" t="s">
        <v>18</v>
      </c>
      <c r="E1014" t="s">
        <v>19</v>
      </c>
      <c r="F1014">
        <v>73</v>
      </c>
      <c r="G1014">
        <v>15</v>
      </c>
      <c r="H1014">
        <v>17</v>
      </c>
      <c r="I1014">
        <f t="shared" si="92"/>
        <v>71</v>
      </c>
      <c r="J1014">
        <v>22</v>
      </c>
      <c r="K1014">
        <v>5</v>
      </c>
      <c r="L1014" t="str">
        <f t="shared" si="93"/>
        <v>Correct</v>
      </c>
      <c r="M1014">
        <f t="shared" si="94"/>
        <v>77.272727272727266</v>
      </c>
      <c r="N1014">
        <f t="shared" si="90"/>
        <v>30.275862068965516</v>
      </c>
      <c r="O1014">
        <f t="shared" si="95"/>
        <v>2.345102505694761</v>
      </c>
      <c r="P1014" t="str">
        <f t="shared" si="91"/>
        <v>Low Stock</v>
      </c>
    </row>
    <row r="1015" spans="1:16" hidden="1" x14ac:dyDescent="0.35">
      <c r="A1015" s="4">
        <v>46171</v>
      </c>
      <c r="B1015" t="s">
        <v>33</v>
      </c>
      <c r="C1015" t="s">
        <v>34</v>
      </c>
      <c r="D1015" t="s">
        <v>20</v>
      </c>
      <c r="E1015" t="s">
        <v>21</v>
      </c>
      <c r="F1015">
        <v>380</v>
      </c>
      <c r="G1015">
        <v>0</v>
      </c>
      <c r="H1015">
        <v>49</v>
      </c>
      <c r="I1015">
        <f t="shared" si="92"/>
        <v>331</v>
      </c>
      <c r="J1015">
        <v>57</v>
      </c>
      <c r="K1015">
        <v>3</v>
      </c>
      <c r="L1015" t="str">
        <f t="shared" si="93"/>
        <v>Correct</v>
      </c>
      <c r="M1015">
        <f t="shared" si="94"/>
        <v>85.964912280701753</v>
      </c>
      <c r="N1015">
        <f t="shared" si="90"/>
        <v>30.931034482758619</v>
      </c>
      <c r="O1015">
        <f t="shared" si="95"/>
        <v>10.701226309921962</v>
      </c>
      <c r="P1015" t="str">
        <f t="shared" si="91"/>
        <v>Low Stock</v>
      </c>
    </row>
    <row r="1016" spans="1:16" hidden="1" x14ac:dyDescent="0.35">
      <c r="A1016" s="4">
        <v>46171</v>
      </c>
      <c r="B1016" t="s">
        <v>33</v>
      </c>
      <c r="C1016" t="s">
        <v>34</v>
      </c>
      <c r="D1016" t="s">
        <v>22</v>
      </c>
      <c r="E1016" t="s">
        <v>23</v>
      </c>
      <c r="F1016">
        <v>660</v>
      </c>
      <c r="G1016">
        <v>12</v>
      </c>
      <c r="H1016">
        <v>10</v>
      </c>
      <c r="I1016">
        <f t="shared" si="92"/>
        <v>662</v>
      </c>
      <c r="J1016">
        <v>20</v>
      </c>
      <c r="K1016">
        <v>2</v>
      </c>
      <c r="L1016" t="str">
        <f t="shared" si="93"/>
        <v>Correct</v>
      </c>
      <c r="M1016">
        <f t="shared" si="94"/>
        <v>50</v>
      </c>
      <c r="N1016">
        <f t="shared" si="90"/>
        <v>10.25</v>
      </c>
      <c r="O1016">
        <f t="shared" si="95"/>
        <v>64.58536585365853</v>
      </c>
      <c r="P1016" t="str">
        <f t="shared" si="91"/>
        <v>Overstock</v>
      </c>
    </row>
    <row r="1017" spans="1:16" hidden="1" x14ac:dyDescent="0.35">
      <c r="A1017" s="4">
        <v>46172</v>
      </c>
      <c r="B1017" t="s">
        <v>12</v>
      </c>
      <c r="C1017" t="s">
        <v>13</v>
      </c>
      <c r="D1017" t="s">
        <v>14</v>
      </c>
      <c r="E1017" t="s">
        <v>15</v>
      </c>
      <c r="F1017">
        <v>583</v>
      </c>
      <c r="G1017">
        <v>27</v>
      </c>
      <c r="H1017">
        <v>35</v>
      </c>
      <c r="I1017">
        <f t="shared" si="92"/>
        <v>575</v>
      </c>
      <c r="J1017">
        <v>38</v>
      </c>
      <c r="K1017">
        <v>4</v>
      </c>
      <c r="L1017" t="str">
        <f t="shared" si="93"/>
        <v>Correct</v>
      </c>
      <c r="M1017">
        <f t="shared" si="94"/>
        <v>92.10526315789474</v>
      </c>
      <c r="N1017">
        <f t="shared" si="90"/>
        <v>21.666666666666668</v>
      </c>
      <c r="O1017">
        <f t="shared" si="95"/>
        <v>26.538461538461537</v>
      </c>
      <c r="P1017" t="str">
        <f t="shared" si="91"/>
        <v>Healthy</v>
      </c>
    </row>
    <row r="1018" spans="1:16" hidden="1" x14ac:dyDescent="0.35">
      <c r="A1018" s="4">
        <v>46172</v>
      </c>
      <c r="B1018" t="s">
        <v>12</v>
      </c>
      <c r="C1018" t="s">
        <v>13</v>
      </c>
      <c r="D1018" t="s">
        <v>16</v>
      </c>
      <c r="E1018" t="s">
        <v>17</v>
      </c>
      <c r="F1018">
        <v>351</v>
      </c>
      <c r="G1018">
        <v>60</v>
      </c>
      <c r="H1018">
        <v>19</v>
      </c>
      <c r="I1018">
        <f t="shared" si="92"/>
        <v>392</v>
      </c>
      <c r="J1018">
        <v>29</v>
      </c>
      <c r="K1018">
        <v>5</v>
      </c>
      <c r="L1018" t="str">
        <f t="shared" si="93"/>
        <v>Correct</v>
      </c>
      <c r="M1018">
        <f t="shared" si="94"/>
        <v>65.517241379310349</v>
      </c>
      <c r="N1018">
        <f t="shared" si="90"/>
        <v>20.030303030303031</v>
      </c>
      <c r="O1018">
        <f t="shared" si="95"/>
        <v>19.570347957639939</v>
      </c>
      <c r="P1018" t="str">
        <f t="shared" si="91"/>
        <v>Healthy</v>
      </c>
    </row>
    <row r="1019" spans="1:16" x14ac:dyDescent="0.35">
      <c r="A1019" s="4">
        <v>46172</v>
      </c>
      <c r="B1019" t="s">
        <v>12</v>
      </c>
      <c r="C1019" t="s">
        <v>13</v>
      </c>
      <c r="D1019" t="s">
        <v>18</v>
      </c>
      <c r="E1019" t="s">
        <v>19</v>
      </c>
      <c r="F1019">
        <v>142</v>
      </c>
      <c r="G1019">
        <v>27</v>
      </c>
      <c r="H1019">
        <v>27</v>
      </c>
      <c r="I1019">
        <f t="shared" si="92"/>
        <v>142</v>
      </c>
      <c r="J1019">
        <v>34</v>
      </c>
      <c r="K1019">
        <v>5</v>
      </c>
      <c r="L1019" t="str">
        <f t="shared" si="93"/>
        <v>Correct</v>
      </c>
      <c r="M1019">
        <f t="shared" si="94"/>
        <v>79.411764705882348</v>
      </c>
      <c r="N1019">
        <f t="shared" si="90"/>
        <v>33.34375</v>
      </c>
      <c r="O1019">
        <f t="shared" si="95"/>
        <v>4.258669165885661</v>
      </c>
      <c r="P1019" t="str">
        <f t="shared" si="91"/>
        <v>Low Stock</v>
      </c>
    </row>
    <row r="1020" spans="1:16" hidden="1" x14ac:dyDescent="0.35">
      <c r="A1020" s="4">
        <v>46172</v>
      </c>
      <c r="B1020" t="s">
        <v>12</v>
      </c>
      <c r="C1020" t="s">
        <v>13</v>
      </c>
      <c r="D1020" t="s">
        <v>20</v>
      </c>
      <c r="E1020" t="s">
        <v>21</v>
      </c>
      <c r="F1020">
        <v>15</v>
      </c>
      <c r="G1020">
        <v>17</v>
      </c>
      <c r="H1020">
        <v>34</v>
      </c>
      <c r="I1020">
        <f t="shared" si="92"/>
        <v>-2</v>
      </c>
      <c r="J1020">
        <v>42</v>
      </c>
      <c r="K1020">
        <v>4</v>
      </c>
      <c r="L1020" t="str">
        <f t="shared" si="93"/>
        <v>Need verification</v>
      </c>
      <c r="M1020">
        <f t="shared" si="94"/>
        <v>80.952380952380949</v>
      </c>
      <c r="N1020">
        <f t="shared" si="90"/>
        <v>34.515151515151516</v>
      </c>
      <c r="O1020">
        <f t="shared" si="95"/>
        <v>-5.7945566286215978E-2</v>
      </c>
      <c r="P1020" t="str">
        <f t="shared" si="91"/>
        <v>Low Stock</v>
      </c>
    </row>
    <row r="1021" spans="1:16" hidden="1" x14ac:dyDescent="0.35">
      <c r="A1021" s="4">
        <v>46172</v>
      </c>
      <c r="B1021" t="s">
        <v>12</v>
      </c>
      <c r="C1021" t="s">
        <v>13</v>
      </c>
      <c r="D1021" t="s">
        <v>22</v>
      </c>
      <c r="E1021" t="s">
        <v>23</v>
      </c>
      <c r="F1021">
        <v>662</v>
      </c>
      <c r="G1021">
        <v>9</v>
      </c>
      <c r="H1021">
        <v>7</v>
      </c>
      <c r="I1021">
        <f t="shared" si="92"/>
        <v>664</v>
      </c>
      <c r="J1021">
        <v>21</v>
      </c>
      <c r="K1021">
        <v>5</v>
      </c>
      <c r="L1021" t="str">
        <f t="shared" si="93"/>
        <v>Correct</v>
      </c>
      <c r="M1021">
        <f t="shared" si="94"/>
        <v>33.333333333333329</v>
      </c>
      <c r="N1021">
        <f t="shared" si="90"/>
        <v>9.9032258064516121</v>
      </c>
      <c r="O1021">
        <f t="shared" si="95"/>
        <v>67.048859934853425</v>
      </c>
      <c r="P1021" t="str">
        <f t="shared" si="91"/>
        <v>Overstock</v>
      </c>
    </row>
    <row r="1022" spans="1:16" hidden="1" x14ac:dyDescent="0.35">
      <c r="A1022" s="4">
        <v>46172</v>
      </c>
      <c r="B1022" t="s">
        <v>12</v>
      </c>
      <c r="C1022" t="s">
        <v>24</v>
      </c>
      <c r="D1022" t="s">
        <v>14</v>
      </c>
      <c r="E1022" t="s">
        <v>15</v>
      </c>
      <c r="F1022">
        <v>379</v>
      </c>
      <c r="G1022">
        <v>51</v>
      </c>
      <c r="H1022">
        <v>10</v>
      </c>
      <c r="I1022">
        <f t="shared" si="92"/>
        <v>420</v>
      </c>
      <c r="J1022">
        <v>10</v>
      </c>
      <c r="K1022">
        <v>1</v>
      </c>
      <c r="L1022" t="str">
        <f t="shared" si="93"/>
        <v>Correct</v>
      </c>
      <c r="M1022">
        <f t="shared" si="94"/>
        <v>100</v>
      </c>
      <c r="N1022">
        <f t="shared" si="90"/>
        <v>21.35483870967742</v>
      </c>
      <c r="O1022">
        <f t="shared" si="95"/>
        <v>19.667673716012086</v>
      </c>
      <c r="P1022" t="str">
        <f t="shared" si="91"/>
        <v>Healthy</v>
      </c>
    </row>
    <row r="1023" spans="1:16" hidden="1" x14ac:dyDescent="0.35">
      <c r="A1023" s="4">
        <v>46172</v>
      </c>
      <c r="B1023" t="s">
        <v>12</v>
      </c>
      <c r="C1023" t="s">
        <v>24</v>
      </c>
      <c r="D1023" t="s">
        <v>16</v>
      </c>
      <c r="E1023" t="s">
        <v>17</v>
      </c>
      <c r="F1023">
        <v>220</v>
      </c>
      <c r="G1023">
        <v>9</v>
      </c>
      <c r="H1023">
        <v>25</v>
      </c>
      <c r="I1023">
        <f t="shared" si="92"/>
        <v>204</v>
      </c>
      <c r="J1023">
        <v>33</v>
      </c>
      <c r="K1023">
        <v>5</v>
      </c>
      <c r="L1023" t="str">
        <f t="shared" si="93"/>
        <v>Correct</v>
      </c>
      <c r="M1023">
        <f t="shared" si="94"/>
        <v>75.757575757575751</v>
      </c>
      <c r="N1023">
        <f t="shared" si="90"/>
        <v>21.9</v>
      </c>
      <c r="O1023">
        <f t="shared" si="95"/>
        <v>9.3150684931506849</v>
      </c>
      <c r="P1023" t="str">
        <f t="shared" si="91"/>
        <v>Low Stock</v>
      </c>
    </row>
    <row r="1024" spans="1:16" x14ac:dyDescent="0.35">
      <c r="A1024" s="4">
        <v>46172</v>
      </c>
      <c r="B1024" t="s">
        <v>12</v>
      </c>
      <c r="C1024" t="s">
        <v>24</v>
      </c>
      <c r="D1024" t="s">
        <v>18</v>
      </c>
      <c r="E1024" t="s">
        <v>19</v>
      </c>
      <c r="F1024">
        <v>115</v>
      </c>
      <c r="G1024">
        <v>6</v>
      </c>
      <c r="H1024">
        <v>26</v>
      </c>
      <c r="I1024">
        <f t="shared" si="92"/>
        <v>95</v>
      </c>
      <c r="J1024">
        <v>29</v>
      </c>
      <c r="K1024">
        <v>4</v>
      </c>
      <c r="L1024" t="str">
        <f t="shared" si="93"/>
        <v>Correct</v>
      </c>
      <c r="M1024">
        <f t="shared" si="94"/>
        <v>89.65517241379311</v>
      </c>
      <c r="N1024">
        <f t="shared" si="90"/>
        <v>31.586206896551722</v>
      </c>
      <c r="O1024">
        <f t="shared" si="95"/>
        <v>3.0076419213973802</v>
      </c>
      <c r="P1024" t="str">
        <f t="shared" si="91"/>
        <v>Low Stock</v>
      </c>
    </row>
    <row r="1025" spans="1:16" hidden="1" x14ac:dyDescent="0.35">
      <c r="A1025" s="4">
        <v>46172</v>
      </c>
      <c r="B1025" t="s">
        <v>12</v>
      </c>
      <c r="C1025" t="s">
        <v>24</v>
      </c>
      <c r="D1025" t="s">
        <v>20</v>
      </c>
      <c r="E1025" t="s">
        <v>21</v>
      </c>
      <c r="F1025">
        <v>10</v>
      </c>
      <c r="G1025">
        <v>39</v>
      </c>
      <c r="H1025">
        <v>43</v>
      </c>
      <c r="I1025">
        <f t="shared" si="92"/>
        <v>6</v>
      </c>
      <c r="J1025">
        <v>49</v>
      </c>
      <c r="K1025">
        <v>5</v>
      </c>
      <c r="L1025" t="str">
        <f t="shared" si="93"/>
        <v>Correct</v>
      </c>
      <c r="M1025">
        <f t="shared" si="94"/>
        <v>87.755102040816325</v>
      </c>
      <c r="N1025">
        <f t="shared" si="90"/>
        <v>34.200000000000003</v>
      </c>
      <c r="O1025">
        <f t="shared" si="95"/>
        <v>0.17543859649122806</v>
      </c>
      <c r="P1025" t="str">
        <f t="shared" si="91"/>
        <v>Low Stock</v>
      </c>
    </row>
    <row r="1026" spans="1:16" hidden="1" x14ac:dyDescent="0.35">
      <c r="A1026" s="4">
        <v>46172</v>
      </c>
      <c r="B1026" t="s">
        <v>12</v>
      </c>
      <c r="C1026" t="s">
        <v>24</v>
      </c>
      <c r="D1026" t="s">
        <v>22</v>
      </c>
      <c r="E1026" t="s">
        <v>23</v>
      </c>
      <c r="F1026">
        <v>657</v>
      </c>
      <c r="G1026">
        <v>9</v>
      </c>
      <c r="H1026">
        <v>18</v>
      </c>
      <c r="I1026">
        <f t="shared" si="92"/>
        <v>648</v>
      </c>
      <c r="J1026">
        <v>24</v>
      </c>
      <c r="K1026">
        <v>3</v>
      </c>
      <c r="L1026" t="str">
        <f t="shared" si="93"/>
        <v>Correct</v>
      </c>
      <c r="M1026">
        <f t="shared" si="94"/>
        <v>75</v>
      </c>
      <c r="N1026">
        <f t="shared" ref="N1026:N1051" si="96">SUMIFS($H:$H,$B:$B,B1026,$C:$C,C1026,$D:$D,D1026)/COUNTIFS($B:$B,B1026,$C:$C,C1026,$D:$D,D1026)</f>
        <v>10.96551724137931</v>
      </c>
      <c r="O1026">
        <f t="shared" si="95"/>
        <v>59.094339622641513</v>
      </c>
      <c r="P1026" t="str">
        <f t="shared" ref="P1026:P1051" si="97">IF(O1026&lt;15,"Low Stock",IF(O1026&lt;=30,"Healthy","Overstock"))</f>
        <v>Overstock</v>
      </c>
    </row>
    <row r="1027" spans="1:16" hidden="1" x14ac:dyDescent="0.35">
      <c r="A1027" s="4">
        <v>46172</v>
      </c>
      <c r="B1027" t="s">
        <v>12</v>
      </c>
      <c r="C1027" t="s">
        <v>25</v>
      </c>
      <c r="D1027" t="s">
        <v>14</v>
      </c>
      <c r="E1027" t="s">
        <v>15</v>
      </c>
      <c r="F1027">
        <v>364</v>
      </c>
      <c r="G1027">
        <v>3</v>
      </c>
      <c r="H1027">
        <v>13</v>
      </c>
      <c r="I1027">
        <f t="shared" ref="I1027:I1051" si="98">F1027+G1027-H1027</f>
        <v>354</v>
      </c>
      <c r="J1027">
        <v>24</v>
      </c>
      <c r="K1027">
        <v>4</v>
      </c>
      <c r="L1027" t="str">
        <f t="shared" ref="L1027:L1051" si="99">IF(I1027&lt;0,"Need verification","Correct")</f>
        <v>Correct</v>
      </c>
      <c r="M1027">
        <f t="shared" ref="M1027:M1051" si="100">IF(J1027=0,0,(H1027/J1027)*100)</f>
        <v>54.166666666666664</v>
      </c>
      <c r="N1027">
        <f t="shared" si="96"/>
        <v>20.7</v>
      </c>
      <c r="O1027">
        <f t="shared" ref="O1027:O1051" si="101">IFERROR(I1027/N1027,0)</f>
        <v>17.10144927536232</v>
      </c>
      <c r="P1027" t="str">
        <f t="shared" si="97"/>
        <v>Healthy</v>
      </c>
    </row>
    <row r="1028" spans="1:16" hidden="1" x14ac:dyDescent="0.35">
      <c r="A1028" s="4">
        <v>46172</v>
      </c>
      <c r="B1028" t="s">
        <v>12</v>
      </c>
      <c r="C1028" t="s">
        <v>25</v>
      </c>
      <c r="D1028" t="s">
        <v>16</v>
      </c>
      <c r="E1028" t="s">
        <v>17</v>
      </c>
      <c r="F1028">
        <v>280</v>
      </c>
      <c r="G1028">
        <v>51</v>
      </c>
      <c r="H1028">
        <v>19</v>
      </c>
      <c r="I1028">
        <f t="shared" si="98"/>
        <v>312</v>
      </c>
      <c r="J1028">
        <v>23</v>
      </c>
      <c r="K1028">
        <v>2</v>
      </c>
      <c r="L1028" t="str">
        <f t="shared" si="99"/>
        <v>Correct</v>
      </c>
      <c r="M1028">
        <f t="shared" si="100"/>
        <v>82.608695652173907</v>
      </c>
      <c r="N1028">
        <f t="shared" si="96"/>
        <v>23.758620689655171</v>
      </c>
      <c r="O1028">
        <f t="shared" si="101"/>
        <v>13.132075471698114</v>
      </c>
      <c r="P1028" t="str">
        <f t="shared" si="97"/>
        <v>Low Stock</v>
      </c>
    </row>
    <row r="1029" spans="1:16" x14ac:dyDescent="0.35">
      <c r="A1029" s="4">
        <v>46172</v>
      </c>
      <c r="B1029" t="s">
        <v>12</v>
      </c>
      <c r="C1029" t="s">
        <v>25</v>
      </c>
      <c r="D1029" t="s">
        <v>18</v>
      </c>
      <c r="E1029" t="s">
        <v>19</v>
      </c>
      <c r="F1029">
        <v>95</v>
      </c>
      <c r="G1029">
        <v>41</v>
      </c>
      <c r="H1029">
        <v>32</v>
      </c>
      <c r="I1029">
        <f t="shared" si="98"/>
        <v>104</v>
      </c>
      <c r="J1029">
        <v>38</v>
      </c>
      <c r="K1029">
        <v>2</v>
      </c>
      <c r="L1029" t="str">
        <f t="shared" si="99"/>
        <v>Correct</v>
      </c>
      <c r="M1029">
        <f t="shared" si="100"/>
        <v>84.210526315789465</v>
      </c>
      <c r="N1029">
        <f t="shared" si="96"/>
        <v>31.142857142857142</v>
      </c>
      <c r="O1029">
        <f t="shared" si="101"/>
        <v>3.3394495412844036</v>
      </c>
      <c r="P1029" t="str">
        <f t="shared" si="97"/>
        <v>Low Stock</v>
      </c>
    </row>
    <row r="1030" spans="1:16" hidden="1" x14ac:dyDescent="0.35">
      <c r="A1030" s="4">
        <v>46172</v>
      </c>
      <c r="B1030" t="s">
        <v>12</v>
      </c>
      <c r="C1030" t="s">
        <v>25</v>
      </c>
      <c r="D1030" t="s">
        <v>20</v>
      </c>
      <c r="E1030" t="s">
        <v>21</v>
      </c>
      <c r="F1030">
        <v>119</v>
      </c>
      <c r="G1030">
        <v>50</v>
      </c>
      <c r="H1030">
        <v>24</v>
      </c>
      <c r="I1030">
        <f t="shared" si="98"/>
        <v>145</v>
      </c>
      <c r="J1030">
        <v>39</v>
      </c>
      <c r="K1030">
        <v>1</v>
      </c>
      <c r="L1030" t="str">
        <f t="shared" si="99"/>
        <v>Correct</v>
      </c>
      <c r="M1030">
        <f t="shared" si="100"/>
        <v>61.53846153846154</v>
      </c>
      <c r="N1030">
        <f t="shared" si="96"/>
        <v>31.137931034482758</v>
      </c>
      <c r="O1030">
        <f t="shared" si="101"/>
        <v>4.6566998892580287</v>
      </c>
      <c r="P1030" t="str">
        <f t="shared" si="97"/>
        <v>Low Stock</v>
      </c>
    </row>
    <row r="1031" spans="1:16" hidden="1" x14ac:dyDescent="0.35">
      <c r="A1031" s="4">
        <v>46172</v>
      </c>
      <c r="B1031" t="s">
        <v>12</v>
      </c>
      <c r="C1031" t="s">
        <v>25</v>
      </c>
      <c r="D1031" t="s">
        <v>22</v>
      </c>
      <c r="E1031" t="s">
        <v>23</v>
      </c>
      <c r="F1031">
        <v>763</v>
      </c>
      <c r="G1031">
        <v>13</v>
      </c>
      <c r="H1031">
        <v>8</v>
      </c>
      <c r="I1031">
        <f t="shared" si="98"/>
        <v>768</v>
      </c>
      <c r="J1031">
        <v>12</v>
      </c>
      <c r="K1031">
        <v>1</v>
      </c>
      <c r="L1031" t="str">
        <f t="shared" si="99"/>
        <v>Correct</v>
      </c>
      <c r="M1031">
        <f t="shared" si="100"/>
        <v>66.666666666666657</v>
      </c>
      <c r="N1031">
        <f t="shared" si="96"/>
        <v>11.3</v>
      </c>
      <c r="O1031">
        <f t="shared" si="101"/>
        <v>67.964601769911496</v>
      </c>
      <c r="P1031" t="str">
        <f t="shared" si="97"/>
        <v>Overstock</v>
      </c>
    </row>
    <row r="1032" spans="1:16" hidden="1" x14ac:dyDescent="0.35">
      <c r="A1032" s="4">
        <v>46172</v>
      </c>
      <c r="B1032" t="s">
        <v>26</v>
      </c>
      <c r="C1032" t="s">
        <v>27</v>
      </c>
      <c r="D1032" t="s">
        <v>14</v>
      </c>
      <c r="E1032" t="s">
        <v>15</v>
      </c>
      <c r="F1032">
        <v>647</v>
      </c>
      <c r="G1032">
        <v>10</v>
      </c>
      <c r="H1032">
        <v>33</v>
      </c>
      <c r="I1032">
        <f t="shared" si="98"/>
        <v>624</v>
      </c>
      <c r="J1032">
        <v>41</v>
      </c>
      <c r="K1032">
        <v>4</v>
      </c>
      <c r="L1032" t="str">
        <f t="shared" si="99"/>
        <v>Correct</v>
      </c>
      <c r="M1032">
        <f t="shared" si="100"/>
        <v>80.487804878048792</v>
      </c>
      <c r="N1032">
        <f t="shared" si="96"/>
        <v>22.258064516129032</v>
      </c>
      <c r="O1032">
        <f t="shared" si="101"/>
        <v>28.034782608695654</v>
      </c>
      <c r="P1032" t="str">
        <f t="shared" si="97"/>
        <v>Healthy</v>
      </c>
    </row>
    <row r="1033" spans="1:16" hidden="1" x14ac:dyDescent="0.35">
      <c r="A1033" s="4">
        <v>46172</v>
      </c>
      <c r="B1033" t="s">
        <v>26</v>
      </c>
      <c r="C1033" t="s">
        <v>27</v>
      </c>
      <c r="D1033" t="s">
        <v>16</v>
      </c>
      <c r="E1033" t="s">
        <v>17</v>
      </c>
      <c r="F1033">
        <v>441</v>
      </c>
      <c r="G1033">
        <v>2</v>
      </c>
      <c r="H1033">
        <v>20</v>
      </c>
      <c r="I1033">
        <f t="shared" si="98"/>
        <v>423</v>
      </c>
      <c r="J1033">
        <v>30</v>
      </c>
      <c r="K1033">
        <v>5</v>
      </c>
      <c r="L1033" t="str">
        <f t="shared" si="99"/>
        <v>Correct</v>
      </c>
      <c r="M1033">
        <f t="shared" si="100"/>
        <v>66.666666666666657</v>
      </c>
      <c r="N1033">
        <f t="shared" si="96"/>
        <v>20.172413793103448</v>
      </c>
      <c r="O1033">
        <f t="shared" si="101"/>
        <v>20.969230769230769</v>
      </c>
      <c r="P1033" t="str">
        <f t="shared" si="97"/>
        <v>Healthy</v>
      </c>
    </row>
    <row r="1034" spans="1:16" x14ac:dyDescent="0.35">
      <c r="A1034" s="4">
        <v>46172</v>
      </c>
      <c r="B1034" t="s">
        <v>26</v>
      </c>
      <c r="C1034" t="s">
        <v>27</v>
      </c>
      <c r="D1034" t="s">
        <v>18</v>
      </c>
      <c r="E1034" t="s">
        <v>19</v>
      </c>
      <c r="F1034">
        <v>106</v>
      </c>
      <c r="G1034">
        <v>27</v>
      </c>
      <c r="H1034">
        <v>22</v>
      </c>
      <c r="I1034">
        <f t="shared" si="98"/>
        <v>111</v>
      </c>
      <c r="J1034">
        <v>31</v>
      </c>
      <c r="K1034">
        <v>2</v>
      </c>
      <c r="L1034" t="str">
        <f t="shared" si="99"/>
        <v>Correct</v>
      </c>
      <c r="M1034">
        <f t="shared" si="100"/>
        <v>70.967741935483872</v>
      </c>
      <c r="N1034">
        <f t="shared" si="96"/>
        <v>29.733333333333334</v>
      </c>
      <c r="O1034">
        <f t="shared" si="101"/>
        <v>3.7331838565022419</v>
      </c>
      <c r="P1034" t="str">
        <f t="shared" si="97"/>
        <v>Low Stock</v>
      </c>
    </row>
    <row r="1035" spans="1:16" hidden="1" x14ac:dyDescent="0.35">
      <c r="A1035" s="4">
        <v>46172</v>
      </c>
      <c r="B1035" t="s">
        <v>26</v>
      </c>
      <c r="C1035" t="s">
        <v>27</v>
      </c>
      <c r="D1035" t="s">
        <v>20</v>
      </c>
      <c r="E1035" t="s">
        <v>21</v>
      </c>
      <c r="F1035">
        <v>304</v>
      </c>
      <c r="G1035">
        <v>45</v>
      </c>
      <c r="H1035">
        <v>22</v>
      </c>
      <c r="I1035">
        <f t="shared" si="98"/>
        <v>327</v>
      </c>
      <c r="J1035">
        <v>27</v>
      </c>
      <c r="K1035">
        <v>2</v>
      </c>
      <c r="L1035" t="str">
        <f t="shared" si="99"/>
        <v>Correct</v>
      </c>
      <c r="M1035">
        <f t="shared" si="100"/>
        <v>81.481481481481481</v>
      </c>
      <c r="N1035">
        <f t="shared" si="96"/>
        <v>30.724137931034484</v>
      </c>
      <c r="O1035">
        <f t="shared" si="101"/>
        <v>10.643097643097642</v>
      </c>
      <c r="P1035" t="str">
        <f t="shared" si="97"/>
        <v>Low Stock</v>
      </c>
    </row>
    <row r="1036" spans="1:16" hidden="1" x14ac:dyDescent="0.35">
      <c r="A1036" s="4">
        <v>46172</v>
      </c>
      <c r="B1036" t="s">
        <v>26</v>
      </c>
      <c r="C1036" t="s">
        <v>27</v>
      </c>
      <c r="D1036" t="s">
        <v>22</v>
      </c>
      <c r="E1036" t="s">
        <v>23</v>
      </c>
      <c r="F1036">
        <v>546</v>
      </c>
      <c r="G1036">
        <v>52</v>
      </c>
      <c r="H1036">
        <v>18</v>
      </c>
      <c r="I1036">
        <f t="shared" si="98"/>
        <v>580</v>
      </c>
      <c r="J1036">
        <v>29</v>
      </c>
      <c r="K1036">
        <v>5</v>
      </c>
      <c r="L1036" t="str">
        <f t="shared" si="99"/>
        <v>Correct</v>
      </c>
      <c r="M1036">
        <f t="shared" si="100"/>
        <v>62.068965517241381</v>
      </c>
      <c r="N1036">
        <f t="shared" si="96"/>
        <v>11.566666666666666</v>
      </c>
      <c r="O1036">
        <f t="shared" si="101"/>
        <v>50.144092219020173</v>
      </c>
      <c r="P1036" t="str">
        <f t="shared" si="97"/>
        <v>Overstock</v>
      </c>
    </row>
    <row r="1037" spans="1:16" hidden="1" x14ac:dyDescent="0.35">
      <c r="A1037" s="4">
        <v>46172</v>
      </c>
      <c r="B1037" t="s">
        <v>28</v>
      </c>
      <c r="C1037" t="s">
        <v>29</v>
      </c>
      <c r="D1037" t="s">
        <v>14</v>
      </c>
      <c r="E1037" t="s">
        <v>15</v>
      </c>
      <c r="F1037">
        <v>414</v>
      </c>
      <c r="G1037">
        <v>52</v>
      </c>
      <c r="H1037">
        <v>10</v>
      </c>
      <c r="I1037">
        <f t="shared" si="98"/>
        <v>456</v>
      </c>
      <c r="J1037">
        <v>25</v>
      </c>
      <c r="K1037">
        <v>5</v>
      </c>
      <c r="L1037" t="str">
        <f t="shared" si="99"/>
        <v>Correct</v>
      </c>
      <c r="M1037">
        <f t="shared" si="100"/>
        <v>40</v>
      </c>
      <c r="N1037">
        <f t="shared" si="96"/>
        <v>22.25</v>
      </c>
      <c r="O1037">
        <f t="shared" si="101"/>
        <v>20.49438202247191</v>
      </c>
      <c r="P1037" t="str">
        <f t="shared" si="97"/>
        <v>Healthy</v>
      </c>
    </row>
    <row r="1038" spans="1:16" hidden="1" x14ac:dyDescent="0.35">
      <c r="A1038" s="4">
        <v>46172</v>
      </c>
      <c r="B1038" t="s">
        <v>28</v>
      </c>
      <c r="C1038" t="s">
        <v>29</v>
      </c>
      <c r="D1038" t="s">
        <v>16</v>
      </c>
      <c r="E1038" t="s">
        <v>17</v>
      </c>
      <c r="F1038">
        <v>472</v>
      </c>
      <c r="G1038">
        <v>50</v>
      </c>
      <c r="H1038">
        <v>29</v>
      </c>
      <c r="I1038">
        <f t="shared" si="98"/>
        <v>493</v>
      </c>
      <c r="J1038">
        <v>41</v>
      </c>
      <c r="K1038">
        <v>3</v>
      </c>
      <c r="L1038" t="str">
        <f t="shared" si="99"/>
        <v>Correct</v>
      </c>
      <c r="M1038">
        <f t="shared" si="100"/>
        <v>70.731707317073173</v>
      </c>
      <c r="N1038">
        <f t="shared" si="96"/>
        <v>19.96551724137931</v>
      </c>
      <c r="O1038">
        <f t="shared" si="101"/>
        <v>24.692573402417963</v>
      </c>
      <c r="P1038" t="str">
        <f t="shared" si="97"/>
        <v>Healthy</v>
      </c>
    </row>
    <row r="1039" spans="1:16" x14ac:dyDescent="0.35">
      <c r="A1039" s="4">
        <v>46172</v>
      </c>
      <c r="B1039" t="s">
        <v>28</v>
      </c>
      <c r="C1039" t="s">
        <v>29</v>
      </c>
      <c r="D1039" t="s">
        <v>18</v>
      </c>
      <c r="E1039" t="s">
        <v>19</v>
      </c>
      <c r="F1039">
        <v>92</v>
      </c>
      <c r="G1039">
        <v>46</v>
      </c>
      <c r="H1039">
        <v>43</v>
      </c>
      <c r="I1039">
        <f t="shared" si="98"/>
        <v>95</v>
      </c>
      <c r="J1039">
        <v>47</v>
      </c>
      <c r="K1039">
        <v>1</v>
      </c>
      <c r="L1039" t="str">
        <f t="shared" si="99"/>
        <v>Correct</v>
      </c>
      <c r="M1039">
        <f t="shared" si="100"/>
        <v>91.489361702127653</v>
      </c>
      <c r="N1039">
        <f t="shared" si="96"/>
        <v>31.206896551724139</v>
      </c>
      <c r="O1039">
        <f t="shared" si="101"/>
        <v>3.0441988950276242</v>
      </c>
      <c r="P1039" t="str">
        <f t="shared" si="97"/>
        <v>Low Stock</v>
      </c>
    </row>
    <row r="1040" spans="1:16" hidden="1" x14ac:dyDescent="0.35">
      <c r="A1040" s="4">
        <v>46172</v>
      </c>
      <c r="B1040" t="s">
        <v>28</v>
      </c>
      <c r="C1040" t="s">
        <v>29</v>
      </c>
      <c r="D1040" t="s">
        <v>20</v>
      </c>
      <c r="E1040" t="s">
        <v>21</v>
      </c>
      <c r="F1040">
        <v>15</v>
      </c>
      <c r="G1040">
        <v>58</v>
      </c>
      <c r="H1040">
        <v>41</v>
      </c>
      <c r="I1040">
        <f t="shared" si="98"/>
        <v>32</v>
      </c>
      <c r="J1040">
        <v>54</v>
      </c>
      <c r="K1040">
        <v>3</v>
      </c>
      <c r="L1040" t="str">
        <f t="shared" si="99"/>
        <v>Correct</v>
      </c>
      <c r="M1040">
        <f t="shared" si="100"/>
        <v>75.925925925925924</v>
      </c>
      <c r="N1040">
        <f t="shared" si="96"/>
        <v>32.620689655172413</v>
      </c>
      <c r="O1040">
        <f t="shared" si="101"/>
        <v>0.98097251585623679</v>
      </c>
      <c r="P1040" t="str">
        <f t="shared" si="97"/>
        <v>Low Stock</v>
      </c>
    </row>
    <row r="1041" spans="1:16" hidden="1" x14ac:dyDescent="0.35">
      <c r="A1041" s="4">
        <v>46172</v>
      </c>
      <c r="B1041" t="s">
        <v>28</v>
      </c>
      <c r="C1041" t="s">
        <v>29</v>
      </c>
      <c r="D1041" t="s">
        <v>22</v>
      </c>
      <c r="E1041" t="s">
        <v>23</v>
      </c>
      <c r="F1041">
        <v>858</v>
      </c>
      <c r="G1041">
        <v>35</v>
      </c>
      <c r="H1041">
        <v>14</v>
      </c>
      <c r="I1041">
        <f t="shared" si="98"/>
        <v>879</v>
      </c>
      <c r="J1041">
        <v>23</v>
      </c>
      <c r="K1041">
        <v>4</v>
      </c>
      <c r="L1041" t="str">
        <f t="shared" si="99"/>
        <v>Correct</v>
      </c>
      <c r="M1041">
        <f t="shared" si="100"/>
        <v>60.869565217391312</v>
      </c>
      <c r="N1041">
        <f t="shared" si="96"/>
        <v>11.678571428571429</v>
      </c>
      <c r="O1041">
        <f t="shared" si="101"/>
        <v>75.266055045871553</v>
      </c>
      <c r="P1041" t="str">
        <f t="shared" si="97"/>
        <v>Overstock</v>
      </c>
    </row>
    <row r="1042" spans="1:16" hidden="1" x14ac:dyDescent="0.35">
      <c r="A1042" s="4">
        <v>46172</v>
      </c>
      <c r="B1042" t="s">
        <v>31</v>
      </c>
      <c r="C1042" t="s">
        <v>32</v>
      </c>
      <c r="D1042" t="s">
        <v>14</v>
      </c>
      <c r="E1042" t="s">
        <v>15</v>
      </c>
      <c r="F1042">
        <v>441</v>
      </c>
      <c r="G1042">
        <v>43</v>
      </c>
      <c r="H1042">
        <v>16</v>
      </c>
      <c r="I1042">
        <f t="shared" si="98"/>
        <v>468</v>
      </c>
      <c r="J1042">
        <v>23</v>
      </c>
      <c r="K1042">
        <v>2</v>
      </c>
      <c r="L1042" t="str">
        <f t="shared" si="99"/>
        <v>Correct</v>
      </c>
      <c r="M1042">
        <f t="shared" si="100"/>
        <v>69.565217391304344</v>
      </c>
      <c r="N1042">
        <f t="shared" si="96"/>
        <v>20.84375</v>
      </c>
      <c r="O1042">
        <f t="shared" si="101"/>
        <v>22.452773613193404</v>
      </c>
      <c r="P1042" t="str">
        <f t="shared" si="97"/>
        <v>Healthy</v>
      </c>
    </row>
    <row r="1043" spans="1:16" hidden="1" x14ac:dyDescent="0.35">
      <c r="A1043" s="4">
        <v>46172</v>
      </c>
      <c r="B1043" t="s">
        <v>31</v>
      </c>
      <c r="C1043" t="s">
        <v>32</v>
      </c>
      <c r="D1043" t="s">
        <v>16</v>
      </c>
      <c r="E1043" t="s">
        <v>17</v>
      </c>
      <c r="F1043">
        <v>455</v>
      </c>
      <c r="G1043">
        <v>38</v>
      </c>
      <c r="H1043">
        <v>23</v>
      </c>
      <c r="I1043">
        <f t="shared" si="98"/>
        <v>470</v>
      </c>
      <c r="J1043">
        <v>32</v>
      </c>
      <c r="K1043">
        <v>1</v>
      </c>
      <c r="L1043" t="str">
        <f t="shared" si="99"/>
        <v>Correct</v>
      </c>
      <c r="M1043">
        <f t="shared" si="100"/>
        <v>71.875</v>
      </c>
      <c r="N1043">
        <f t="shared" si="96"/>
        <v>21.46875</v>
      </c>
      <c r="O1043">
        <f t="shared" si="101"/>
        <v>21.892285298398836</v>
      </c>
      <c r="P1043" t="str">
        <f t="shared" si="97"/>
        <v>Healthy</v>
      </c>
    </row>
    <row r="1044" spans="1:16" x14ac:dyDescent="0.35">
      <c r="A1044" s="4">
        <v>46172</v>
      </c>
      <c r="B1044" t="s">
        <v>31</v>
      </c>
      <c r="C1044" t="s">
        <v>32</v>
      </c>
      <c r="D1044" t="s">
        <v>18</v>
      </c>
      <c r="E1044" t="s">
        <v>19</v>
      </c>
      <c r="F1044">
        <v>104</v>
      </c>
      <c r="G1044">
        <v>29</v>
      </c>
      <c r="H1044">
        <v>46</v>
      </c>
      <c r="I1044">
        <f t="shared" si="98"/>
        <v>87</v>
      </c>
      <c r="J1044">
        <v>51</v>
      </c>
      <c r="K1044">
        <v>5</v>
      </c>
      <c r="L1044" t="str">
        <f t="shared" si="99"/>
        <v>Correct</v>
      </c>
      <c r="M1044">
        <f t="shared" si="100"/>
        <v>90.196078431372555</v>
      </c>
      <c r="N1044">
        <f t="shared" si="96"/>
        <v>30.586206896551722</v>
      </c>
      <c r="O1044">
        <f t="shared" si="101"/>
        <v>2.8444193912063134</v>
      </c>
      <c r="P1044" t="str">
        <f t="shared" si="97"/>
        <v>Low Stock</v>
      </c>
    </row>
    <row r="1045" spans="1:16" hidden="1" x14ac:dyDescent="0.35">
      <c r="A1045" s="4">
        <v>46172</v>
      </c>
      <c r="B1045" t="s">
        <v>31</v>
      </c>
      <c r="C1045" t="s">
        <v>32</v>
      </c>
      <c r="D1045" t="s">
        <v>20</v>
      </c>
      <c r="E1045" t="s">
        <v>21</v>
      </c>
      <c r="F1045">
        <v>68</v>
      </c>
      <c r="G1045">
        <v>44</v>
      </c>
      <c r="H1045">
        <v>39</v>
      </c>
      <c r="I1045">
        <f t="shared" si="98"/>
        <v>73</v>
      </c>
      <c r="J1045">
        <v>48</v>
      </c>
      <c r="K1045">
        <v>4</v>
      </c>
      <c r="L1045" t="str">
        <f t="shared" si="99"/>
        <v>Correct</v>
      </c>
      <c r="M1045">
        <f t="shared" si="100"/>
        <v>81.25</v>
      </c>
      <c r="N1045">
        <f t="shared" si="96"/>
        <v>32.299999999999997</v>
      </c>
      <c r="O1045">
        <f t="shared" si="101"/>
        <v>2.2600619195046443</v>
      </c>
      <c r="P1045" t="str">
        <f t="shared" si="97"/>
        <v>Low Stock</v>
      </c>
    </row>
    <row r="1046" spans="1:16" hidden="1" x14ac:dyDescent="0.35">
      <c r="A1046" s="4">
        <v>46172</v>
      </c>
      <c r="B1046" t="s">
        <v>31</v>
      </c>
      <c r="C1046" t="s">
        <v>32</v>
      </c>
      <c r="D1046" t="s">
        <v>22</v>
      </c>
      <c r="E1046" t="s">
        <v>23</v>
      </c>
      <c r="F1046">
        <v>856</v>
      </c>
      <c r="G1046">
        <v>13</v>
      </c>
      <c r="H1046">
        <v>5</v>
      </c>
      <c r="I1046">
        <f t="shared" si="98"/>
        <v>864</v>
      </c>
      <c r="J1046">
        <v>5</v>
      </c>
      <c r="K1046">
        <v>3</v>
      </c>
      <c r="L1046" t="str">
        <f t="shared" si="99"/>
        <v>Correct</v>
      </c>
      <c r="M1046">
        <f t="shared" si="100"/>
        <v>100</v>
      </c>
      <c r="N1046">
        <f t="shared" si="96"/>
        <v>10.413793103448276</v>
      </c>
      <c r="O1046">
        <f t="shared" si="101"/>
        <v>82.966887417218544</v>
      </c>
      <c r="P1046" t="str">
        <f t="shared" si="97"/>
        <v>Overstock</v>
      </c>
    </row>
    <row r="1047" spans="1:16" hidden="1" x14ac:dyDescent="0.35">
      <c r="A1047" s="4">
        <v>46172</v>
      </c>
      <c r="B1047" t="s">
        <v>33</v>
      </c>
      <c r="C1047" t="s">
        <v>34</v>
      </c>
      <c r="D1047" t="s">
        <v>14</v>
      </c>
      <c r="E1047" t="s">
        <v>15</v>
      </c>
      <c r="F1047">
        <v>286</v>
      </c>
      <c r="G1047">
        <v>37</v>
      </c>
      <c r="H1047">
        <v>34</v>
      </c>
      <c r="I1047">
        <f t="shared" si="98"/>
        <v>289</v>
      </c>
      <c r="J1047">
        <v>44</v>
      </c>
      <c r="K1047">
        <v>1</v>
      </c>
      <c r="L1047" t="str">
        <f t="shared" si="99"/>
        <v>Correct</v>
      </c>
      <c r="M1047">
        <f t="shared" si="100"/>
        <v>77.272727272727266</v>
      </c>
      <c r="N1047">
        <f t="shared" si="96"/>
        <v>20.70967741935484</v>
      </c>
      <c r="O1047">
        <f t="shared" si="101"/>
        <v>13.954828660436137</v>
      </c>
      <c r="P1047" t="str">
        <f t="shared" si="97"/>
        <v>Low Stock</v>
      </c>
    </row>
    <row r="1048" spans="1:16" hidden="1" x14ac:dyDescent="0.35">
      <c r="A1048" s="4">
        <v>46172</v>
      </c>
      <c r="B1048" t="s">
        <v>33</v>
      </c>
      <c r="C1048" t="s">
        <v>34</v>
      </c>
      <c r="D1048" t="s">
        <v>16</v>
      </c>
      <c r="E1048" t="s">
        <v>17</v>
      </c>
      <c r="F1048">
        <v>310</v>
      </c>
      <c r="G1048">
        <v>20</v>
      </c>
      <c r="H1048">
        <v>10</v>
      </c>
      <c r="I1048">
        <f t="shared" si="98"/>
        <v>320</v>
      </c>
      <c r="J1048">
        <v>14</v>
      </c>
      <c r="K1048">
        <v>5</v>
      </c>
      <c r="L1048" t="str">
        <f t="shared" si="99"/>
        <v>Correct</v>
      </c>
      <c r="M1048">
        <f t="shared" si="100"/>
        <v>71.428571428571431</v>
      </c>
      <c r="N1048">
        <f t="shared" si="96"/>
        <v>22.142857142857142</v>
      </c>
      <c r="O1048">
        <f t="shared" si="101"/>
        <v>14.451612903225806</v>
      </c>
      <c r="P1048" t="str">
        <f t="shared" si="97"/>
        <v>Low Stock</v>
      </c>
    </row>
    <row r="1049" spans="1:16" x14ac:dyDescent="0.35">
      <c r="A1049" s="4">
        <v>46172</v>
      </c>
      <c r="B1049" t="s">
        <v>33</v>
      </c>
      <c r="C1049" t="s">
        <v>34</v>
      </c>
      <c r="D1049" t="s">
        <v>18</v>
      </c>
      <c r="E1049" t="s">
        <v>19</v>
      </c>
      <c r="F1049">
        <v>71</v>
      </c>
      <c r="G1049">
        <v>40</v>
      </c>
      <c r="H1049">
        <v>25</v>
      </c>
      <c r="I1049">
        <f t="shared" si="98"/>
        <v>86</v>
      </c>
      <c r="J1049">
        <v>37</v>
      </c>
      <c r="K1049">
        <v>1</v>
      </c>
      <c r="L1049" t="str">
        <f t="shared" si="99"/>
        <v>Correct</v>
      </c>
      <c r="M1049">
        <f t="shared" si="100"/>
        <v>67.567567567567565</v>
      </c>
      <c r="N1049">
        <f t="shared" si="96"/>
        <v>30.275862068965516</v>
      </c>
      <c r="O1049">
        <f t="shared" si="101"/>
        <v>2.8405466970387243</v>
      </c>
      <c r="P1049" t="str">
        <f t="shared" si="97"/>
        <v>Low Stock</v>
      </c>
    </row>
    <row r="1050" spans="1:16" hidden="1" x14ac:dyDescent="0.35">
      <c r="A1050" s="4">
        <v>46172</v>
      </c>
      <c r="B1050" t="s">
        <v>33</v>
      </c>
      <c r="C1050" t="s">
        <v>34</v>
      </c>
      <c r="D1050" t="s">
        <v>20</v>
      </c>
      <c r="E1050" t="s">
        <v>21</v>
      </c>
      <c r="F1050">
        <v>331</v>
      </c>
      <c r="G1050">
        <v>19</v>
      </c>
      <c r="H1050">
        <v>24</v>
      </c>
      <c r="I1050">
        <f t="shared" si="98"/>
        <v>326</v>
      </c>
      <c r="J1050">
        <v>37</v>
      </c>
      <c r="K1050">
        <v>1</v>
      </c>
      <c r="L1050" t="str">
        <f t="shared" si="99"/>
        <v>Correct</v>
      </c>
      <c r="M1050">
        <f t="shared" si="100"/>
        <v>64.86486486486487</v>
      </c>
      <c r="N1050">
        <f t="shared" si="96"/>
        <v>30.931034482758619</v>
      </c>
      <c r="O1050">
        <f t="shared" si="101"/>
        <v>10.539576365663322</v>
      </c>
      <c r="P1050" t="str">
        <f t="shared" si="97"/>
        <v>Low Stock</v>
      </c>
    </row>
    <row r="1051" spans="1:16" hidden="1" x14ac:dyDescent="0.35">
      <c r="A1051" s="4">
        <v>46172</v>
      </c>
      <c r="B1051" t="s">
        <v>33</v>
      </c>
      <c r="C1051" t="s">
        <v>34</v>
      </c>
      <c r="D1051" t="s">
        <v>22</v>
      </c>
      <c r="E1051" t="s">
        <v>23</v>
      </c>
      <c r="F1051">
        <v>662</v>
      </c>
      <c r="G1051">
        <v>16</v>
      </c>
      <c r="H1051">
        <v>12</v>
      </c>
      <c r="I1051">
        <f t="shared" si="98"/>
        <v>666</v>
      </c>
      <c r="J1051">
        <v>27</v>
      </c>
      <c r="K1051">
        <v>5</v>
      </c>
      <c r="L1051" t="str">
        <f t="shared" si="99"/>
        <v>Correct</v>
      </c>
      <c r="M1051">
        <f t="shared" si="100"/>
        <v>44.444444444444443</v>
      </c>
      <c r="N1051">
        <f t="shared" si="96"/>
        <v>10.25</v>
      </c>
      <c r="O1051">
        <f t="shared" si="101"/>
        <v>64.975609756097555</v>
      </c>
      <c r="P1051" t="str">
        <f t="shared" si="97"/>
        <v>Overstock</v>
      </c>
    </row>
  </sheetData>
  <conditionalFormatting sqref="B2:C1051">
    <cfRule type="expression" dxfId="0" priority="1">
      <formula>OR(AND($C2="Guwahati",$B2&lt;&gt;"Assam"),AND($C2="Silchar",$B2&lt;&gt;"Assam"),AND($C2="Jorhat",$B2&lt;&gt;"Assam"),AND($C2="Shillong",$B2&lt;&gt;"Meghalaya"),AND($C2="Agartala",$B2&lt;&gt;"Tripura"),AND($C2="Imphal",$B2&lt;&gt;"Manipur"),AND($C2="Dimapur",$B2&lt;&gt;"Nagaland"))</formula>
    </cfRule>
    <cfRule type="expression" priority="2">
      <formula>OR(AND($C2="Guwahati",$B2&lt;&gt;"Assam"),AND($C2="Silchar",$B2&lt;&gt;"Assam"),AND($C2="Jorhat",$B2&lt;&gt;"Assam"),AND($C2="Shillong",$B2&lt;&gt;"Meghalaya"),AND($C2="Agartala",$B2&lt;&gt;"Tripura"),AND($C2="Imphal",$B2&lt;&gt;"Manipur"),AND($C2="Dimapur",$B2&lt;&gt;"Nagaland"))</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629F1-CA56-46BF-8C00-B713A6259D2F}">
  <dimension ref="A1:CZ1062"/>
  <sheetViews>
    <sheetView tabSelected="1" zoomScale="55" zoomScaleNormal="55" workbookViewId="0">
      <selection activeCell="N32" sqref="N32"/>
    </sheetView>
  </sheetViews>
  <sheetFormatPr defaultRowHeight="14.5" x14ac:dyDescent="0.35"/>
  <cols>
    <col min="1" max="1" width="11.26953125" bestFit="1" customWidth="1"/>
    <col min="2" max="2" width="10.90625" bestFit="1" customWidth="1"/>
    <col min="3" max="3" width="9.1796875" customWidth="1"/>
    <col min="4" max="4" width="10.7265625" bestFit="1" customWidth="1"/>
    <col min="5" max="5" width="17.08984375" bestFit="1" customWidth="1"/>
    <col min="6" max="6" width="9.1796875" customWidth="1"/>
    <col min="7" max="7" width="10.7265625" bestFit="1" customWidth="1"/>
    <col min="8" max="8" width="14.81640625" bestFit="1" customWidth="1"/>
    <col min="9" max="9" width="9.26953125" customWidth="1"/>
    <col min="10" max="10" width="15" bestFit="1" customWidth="1"/>
    <col min="11" max="11" width="16" bestFit="1" customWidth="1"/>
    <col min="12" max="12" width="9.36328125" customWidth="1"/>
    <col min="13" max="13" width="14.90625" bestFit="1" customWidth="1"/>
    <col min="14" max="14" width="16.6328125" bestFit="1" customWidth="1"/>
    <col min="15" max="15" width="9.36328125" customWidth="1"/>
    <col min="16" max="16" width="10.7265625" bestFit="1" customWidth="1"/>
    <col min="17" max="17" width="15.08984375" bestFit="1" customWidth="1"/>
    <col min="18" max="18" width="17.26953125" bestFit="1" customWidth="1"/>
    <col min="19" max="19" width="12.453125" bestFit="1" customWidth="1"/>
    <col min="20" max="20" width="10.36328125" bestFit="1" customWidth="1"/>
    <col min="21" max="21" width="17.26953125" bestFit="1" customWidth="1"/>
    <col min="22" max="22" width="18.81640625" bestFit="1" customWidth="1"/>
    <col min="24" max="24" width="25.26953125" bestFit="1" customWidth="1"/>
    <col min="25" max="25" width="14.54296875" bestFit="1" customWidth="1"/>
    <col min="26" max="26" width="13.26953125" bestFit="1" customWidth="1"/>
    <col min="27" max="27" width="25.26953125" bestFit="1" customWidth="1"/>
    <col min="28" max="28" width="10.36328125" bestFit="1" customWidth="1"/>
    <col min="29" max="29" width="15.26953125" bestFit="1" customWidth="1"/>
    <col min="30" max="30" width="16.90625" bestFit="1" customWidth="1"/>
    <col min="31" max="31" width="9.36328125" customWidth="1"/>
    <col min="32" max="32" width="9.36328125" bestFit="1" customWidth="1"/>
  </cols>
  <sheetData>
    <row r="1" spans="1:104" s="8" customFormat="1" ht="52" customHeight="1" x14ac:dyDescent="0.35"/>
    <row r="2" spans="1:104" s="8" customFormat="1" ht="89.5" customHeight="1" x14ac:dyDescent="0.35"/>
    <row r="3" spans="1:104" x14ac:dyDescent="0.35">
      <c r="A3" s="5" t="s">
        <v>2</v>
      </c>
      <c r="B3" t="s">
        <v>86</v>
      </c>
      <c r="C3" s="8"/>
      <c r="D3" s="5" t="s">
        <v>3</v>
      </c>
      <c r="E3" t="s">
        <v>87</v>
      </c>
      <c r="F3" s="8"/>
      <c r="G3" s="5" t="s">
        <v>3</v>
      </c>
      <c r="H3" t="s">
        <v>82</v>
      </c>
      <c r="I3" s="8"/>
      <c r="J3" s="5" t="s">
        <v>3</v>
      </c>
      <c r="K3" t="s">
        <v>88</v>
      </c>
      <c r="L3" s="8"/>
      <c r="M3" s="5" t="s">
        <v>93</v>
      </c>
      <c r="N3" t="s">
        <v>94</v>
      </c>
      <c r="O3" s="8"/>
      <c r="P3" s="5" t="s">
        <v>3</v>
      </c>
      <c r="Q3" t="s">
        <v>89</v>
      </c>
      <c r="R3" t="s">
        <v>91</v>
      </c>
      <c r="S3" t="s">
        <v>92</v>
      </c>
      <c r="T3" s="8"/>
      <c r="U3" s="5" t="s">
        <v>3</v>
      </c>
      <c r="V3" t="s">
        <v>90</v>
      </c>
      <c r="W3" s="8"/>
      <c r="X3" s="5" t="s">
        <v>95</v>
      </c>
      <c r="Y3" t="s">
        <v>89</v>
      </c>
      <c r="Z3" t="s">
        <v>97</v>
      </c>
      <c r="AA3" t="s">
        <v>96</v>
      </c>
      <c r="AB3" s="8"/>
      <c r="AC3" s="5" t="s">
        <v>99</v>
      </c>
      <c r="AD3" s="5" t="s">
        <v>93</v>
      </c>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row>
    <row r="4" spans="1:104" x14ac:dyDescent="0.35">
      <c r="A4" s="6" t="s">
        <v>29</v>
      </c>
      <c r="B4">
        <v>3469</v>
      </c>
      <c r="C4" s="8"/>
      <c r="D4" s="6" t="s">
        <v>22</v>
      </c>
      <c r="E4" s="7">
        <v>9.0521095845866192E-2</v>
      </c>
      <c r="F4" s="8"/>
      <c r="G4" s="6" t="s">
        <v>22</v>
      </c>
      <c r="H4">
        <v>40.373383584257681</v>
      </c>
      <c r="I4" s="8"/>
      <c r="J4" s="6" t="s">
        <v>22</v>
      </c>
      <c r="K4">
        <v>61.623950683897377</v>
      </c>
      <c r="L4" s="8"/>
      <c r="M4" s="6" t="s">
        <v>83</v>
      </c>
      <c r="N4" s="9">
        <v>197</v>
      </c>
      <c r="O4" s="8"/>
      <c r="P4" s="6" t="s">
        <v>22</v>
      </c>
      <c r="Q4">
        <v>2227</v>
      </c>
      <c r="R4">
        <v>89788</v>
      </c>
      <c r="S4">
        <v>40.373383584257681</v>
      </c>
      <c r="T4" s="8"/>
      <c r="U4" s="6" t="s">
        <v>22</v>
      </c>
      <c r="V4">
        <v>6071</v>
      </c>
      <c r="W4" s="8"/>
      <c r="X4" s="6" t="s">
        <v>24</v>
      </c>
      <c r="Y4">
        <v>3579</v>
      </c>
      <c r="Z4">
        <v>4584</v>
      </c>
      <c r="AA4">
        <v>0.78075916230366493</v>
      </c>
      <c r="AB4" s="8"/>
      <c r="AC4" s="5" t="s">
        <v>98</v>
      </c>
      <c r="AD4" t="s">
        <v>83</v>
      </c>
      <c r="AE4" t="s">
        <v>84</v>
      </c>
      <c r="AF4" t="s">
        <v>85</v>
      </c>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row>
    <row r="5" spans="1:104" x14ac:dyDescent="0.35">
      <c r="A5" s="6" t="s">
        <v>34</v>
      </c>
      <c r="B5">
        <v>3324</v>
      </c>
      <c r="C5" s="8"/>
      <c r="D5" s="6" t="s">
        <v>16</v>
      </c>
      <c r="E5" s="7">
        <v>0.18201772213641168</v>
      </c>
      <c r="F5" s="8"/>
      <c r="G5" s="6" t="s">
        <v>16</v>
      </c>
      <c r="H5">
        <v>12.354832376936074</v>
      </c>
      <c r="I5" s="8"/>
      <c r="J5" s="6" t="s">
        <v>16</v>
      </c>
      <c r="K5">
        <v>73.55826743417677</v>
      </c>
      <c r="L5" s="8"/>
      <c r="M5" s="6" t="s">
        <v>84</v>
      </c>
      <c r="N5" s="9">
        <v>719</v>
      </c>
      <c r="O5" s="8"/>
      <c r="P5" s="6" t="s">
        <v>14</v>
      </c>
      <c r="Q5">
        <v>4709</v>
      </c>
      <c r="R5">
        <v>65979</v>
      </c>
      <c r="S5">
        <v>13.941473254224228</v>
      </c>
      <c r="T5" s="8"/>
      <c r="U5" s="6" t="s">
        <v>16</v>
      </c>
      <c r="V5">
        <v>6073</v>
      </c>
      <c r="W5" s="8"/>
      <c r="X5" s="6" t="s">
        <v>29</v>
      </c>
      <c r="Y5">
        <v>3469</v>
      </c>
      <c r="Z5">
        <v>4444</v>
      </c>
      <c r="AA5">
        <v>0.78060306030603055</v>
      </c>
      <c r="AB5" s="8"/>
      <c r="AC5" s="6" t="s">
        <v>22</v>
      </c>
      <c r="AD5">
        <v>63</v>
      </c>
      <c r="AE5">
        <v>9</v>
      </c>
      <c r="AF5">
        <v>133</v>
      </c>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row>
    <row r="6" spans="1:104" x14ac:dyDescent="0.35">
      <c r="A6" s="6" t="s">
        <v>13</v>
      </c>
      <c r="B6">
        <v>3889</v>
      </c>
      <c r="C6" s="8"/>
      <c r="D6" s="6" t="s">
        <v>14</v>
      </c>
      <c r="E6" s="7">
        <v>0.19140720266644989</v>
      </c>
      <c r="F6" s="8"/>
      <c r="G6" s="6" t="s">
        <v>14</v>
      </c>
      <c r="H6">
        <v>13.941473254224228</v>
      </c>
      <c r="I6" s="8"/>
      <c r="J6" s="6" t="s">
        <v>14</v>
      </c>
      <c r="K6">
        <v>74.058008311183443</v>
      </c>
      <c r="L6" s="8"/>
      <c r="M6" s="6" t="s">
        <v>85</v>
      </c>
      <c r="N6" s="9">
        <v>134</v>
      </c>
      <c r="O6" s="8"/>
      <c r="P6" s="6" t="s">
        <v>16</v>
      </c>
      <c r="Q6">
        <v>4478</v>
      </c>
      <c r="R6">
        <v>54848</v>
      </c>
      <c r="S6">
        <v>12.354832376936074</v>
      </c>
      <c r="T6" s="8"/>
      <c r="U6" s="6" t="s">
        <v>14</v>
      </c>
      <c r="V6">
        <v>7030</v>
      </c>
      <c r="W6" s="8"/>
      <c r="X6" s="6" t="s">
        <v>34</v>
      </c>
      <c r="Y6">
        <v>3324</v>
      </c>
      <c r="Z6">
        <v>4263</v>
      </c>
      <c r="AA6">
        <v>0.77973258268824774</v>
      </c>
      <c r="AB6" s="8"/>
      <c r="AC6" s="6" t="s">
        <v>16</v>
      </c>
      <c r="AD6">
        <v>55</v>
      </c>
      <c r="AE6">
        <v>155</v>
      </c>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row>
    <row r="7" spans="1:104" x14ac:dyDescent="0.35">
      <c r="A7" s="6" t="s">
        <v>32</v>
      </c>
      <c r="B7">
        <v>3512</v>
      </c>
      <c r="C7" s="8"/>
      <c r="D7" s="6" t="s">
        <v>20</v>
      </c>
      <c r="E7" s="7">
        <v>0.27522152670514594</v>
      </c>
      <c r="F7" s="8"/>
      <c r="G7" s="6" t="s">
        <v>20</v>
      </c>
      <c r="H7">
        <v>4.9918671047571896</v>
      </c>
      <c r="I7" s="8"/>
      <c r="J7" s="6" t="s">
        <v>20</v>
      </c>
      <c r="K7">
        <v>82.15844720813071</v>
      </c>
      <c r="L7" s="8"/>
      <c r="M7" s="8"/>
      <c r="N7" s="8"/>
      <c r="O7" s="8"/>
      <c r="P7" s="6" t="s">
        <v>20</v>
      </c>
      <c r="Q7">
        <v>6771</v>
      </c>
      <c r="R7">
        <v>33008</v>
      </c>
      <c r="S7">
        <v>4.9918671047571896</v>
      </c>
      <c r="T7" s="8"/>
      <c r="U7" s="6" t="s">
        <v>20</v>
      </c>
      <c r="V7">
        <v>6190</v>
      </c>
      <c r="W7" s="8"/>
      <c r="X7" s="6" t="s">
        <v>13</v>
      </c>
      <c r="Y7">
        <v>3889</v>
      </c>
      <c r="Z7">
        <v>4991</v>
      </c>
      <c r="AA7">
        <v>0.77920256461630932</v>
      </c>
      <c r="AB7" s="8"/>
      <c r="AC7" s="6" t="s">
        <v>14</v>
      </c>
      <c r="AD7">
        <v>79</v>
      </c>
      <c r="AE7">
        <v>140</v>
      </c>
      <c r="AF7">
        <v>1</v>
      </c>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row>
    <row r="8" spans="1:104" x14ac:dyDescent="0.35">
      <c r="A8" s="6" t="s">
        <v>25</v>
      </c>
      <c r="B8">
        <v>3424</v>
      </c>
      <c r="C8" s="8"/>
      <c r="D8" s="6" t="s">
        <v>18</v>
      </c>
      <c r="E8" s="7">
        <v>0.26083245264612631</v>
      </c>
      <c r="F8" s="8"/>
      <c r="G8" s="6" t="s">
        <v>18</v>
      </c>
      <c r="H8">
        <v>4.2618028437141549</v>
      </c>
      <c r="I8" s="8"/>
      <c r="J8" s="6" t="s">
        <v>18</v>
      </c>
      <c r="K8">
        <v>79.308963892144178</v>
      </c>
      <c r="L8" s="8"/>
      <c r="M8" s="8"/>
      <c r="N8" s="8"/>
      <c r="O8" s="8"/>
      <c r="P8" s="6" t="s">
        <v>18</v>
      </c>
      <c r="Q8">
        <v>6417</v>
      </c>
      <c r="R8">
        <v>27342</v>
      </c>
      <c r="S8">
        <v>4.2618028437141549</v>
      </c>
      <c r="T8" s="8"/>
      <c r="U8" s="6" t="s">
        <v>18</v>
      </c>
      <c r="V8">
        <v>5976</v>
      </c>
      <c r="W8" s="8"/>
      <c r="X8" s="6" t="s">
        <v>32</v>
      </c>
      <c r="Y8">
        <v>3512</v>
      </c>
      <c r="Z8">
        <v>4572</v>
      </c>
      <c r="AA8">
        <v>0.76815398075240593</v>
      </c>
      <c r="AB8" s="8"/>
      <c r="AC8" s="6" t="s">
        <v>20</v>
      </c>
      <c r="AE8">
        <v>209</v>
      </c>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row>
    <row r="9" spans="1:104" x14ac:dyDescent="0.35">
      <c r="A9" s="6" t="s">
        <v>27</v>
      </c>
      <c r="B9">
        <v>3405</v>
      </c>
      <c r="C9" s="8"/>
      <c r="D9" s="8"/>
      <c r="E9" s="8"/>
      <c r="F9" s="8"/>
      <c r="G9" s="8"/>
      <c r="H9" s="8"/>
      <c r="I9" s="8"/>
      <c r="J9" s="8"/>
      <c r="K9" s="8"/>
      <c r="L9" s="8"/>
      <c r="M9" s="8"/>
      <c r="N9" s="8"/>
      <c r="O9" s="8"/>
      <c r="P9" s="8"/>
      <c r="Q9" s="8"/>
      <c r="R9" s="8"/>
      <c r="S9" s="8"/>
      <c r="T9" s="8"/>
      <c r="U9" s="8"/>
      <c r="V9" s="8"/>
      <c r="W9" s="8"/>
      <c r="X9" s="6" t="s">
        <v>27</v>
      </c>
      <c r="Y9">
        <v>3405</v>
      </c>
      <c r="Z9">
        <v>4494</v>
      </c>
      <c r="AA9">
        <v>0.7576769025367156</v>
      </c>
      <c r="AB9" s="8"/>
      <c r="AC9" s="6" t="s">
        <v>18</v>
      </c>
      <c r="AE9">
        <v>206</v>
      </c>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row>
    <row r="10" spans="1:104" x14ac:dyDescent="0.35">
      <c r="A10" s="6" t="s">
        <v>24</v>
      </c>
      <c r="B10">
        <v>3579</v>
      </c>
      <c r="C10" s="8"/>
      <c r="D10" s="8"/>
      <c r="E10" s="8"/>
      <c r="F10" s="8"/>
      <c r="G10" s="8"/>
      <c r="H10" s="8"/>
      <c r="I10" s="8"/>
      <c r="J10" s="8"/>
      <c r="K10" s="8"/>
      <c r="L10" s="8"/>
      <c r="M10" s="8"/>
      <c r="N10" s="8"/>
      <c r="O10" s="8"/>
      <c r="P10" s="8"/>
      <c r="Q10" s="8"/>
      <c r="R10" s="8"/>
      <c r="S10" s="8"/>
      <c r="T10" s="8"/>
      <c r="U10" s="8"/>
      <c r="V10" s="8"/>
      <c r="W10" s="8"/>
      <c r="X10" s="6" t="s">
        <v>25</v>
      </c>
      <c r="Y10">
        <v>3424</v>
      </c>
      <c r="Z10">
        <v>4568</v>
      </c>
      <c r="AA10">
        <v>0.74956217162872152</v>
      </c>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row>
    <row r="11" spans="1:104" s="8" customFormat="1" x14ac:dyDescent="0.35"/>
    <row r="12" spans="1:104" x14ac:dyDescent="0.35">
      <c r="C12" s="8"/>
      <c r="F12" s="8"/>
      <c r="I12" s="8"/>
      <c r="L12" s="8"/>
      <c r="O12" s="8"/>
      <c r="T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row>
    <row r="13" spans="1:104" x14ac:dyDescent="0.35">
      <c r="C13" s="8"/>
      <c r="F13" s="8"/>
      <c r="I13" s="8"/>
      <c r="L13" s="8"/>
      <c r="O13" s="8"/>
      <c r="T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row>
    <row r="14" spans="1:104" x14ac:dyDescent="0.35">
      <c r="C14" s="8"/>
      <c r="F14" s="8"/>
      <c r="I14" s="8"/>
      <c r="L14" s="8"/>
      <c r="O14" s="8"/>
      <c r="T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row>
    <row r="15" spans="1:104" x14ac:dyDescent="0.35">
      <c r="C15" s="8"/>
      <c r="F15" s="8"/>
      <c r="I15" s="8"/>
      <c r="L15" s="8"/>
      <c r="O15" s="8"/>
      <c r="T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row>
    <row r="16" spans="1:104" x14ac:dyDescent="0.35">
      <c r="C16" s="8"/>
      <c r="F16" s="8"/>
      <c r="I16" s="8"/>
      <c r="L16" s="8"/>
      <c r="O16" s="8"/>
      <c r="T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row>
    <row r="17" spans="1:104" x14ac:dyDescent="0.35">
      <c r="C17" s="8"/>
      <c r="F17" s="8"/>
      <c r="I17" s="8"/>
      <c r="L17" s="8"/>
      <c r="O17" s="8"/>
      <c r="T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row>
    <row r="18" spans="1:104" x14ac:dyDescent="0.35">
      <c r="C18" s="8"/>
      <c r="F18" s="8"/>
      <c r="I18" s="8"/>
      <c r="L18" s="8"/>
      <c r="O18" s="8"/>
      <c r="T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row>
    <row r="19" spans="1:104" x14ac:dyDescent="0.35">
      <c r="C19" s="8"/>
      <c r="F19" s="8"/>
      <c r="I19" s="8"/>
      <c r="L19" s="8"/>
      <c r="O19" s="8"/>
      <c r="T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row>
    <row r="20" spans="1:104" x14ac:dyDescent="0.35">
      <c r="C20" s="8"/>
      <c r="F20" s="8"/>
      <c r="I20" s="8"/>
      <c r="L20" s="8"/>
      <c r="O20" s="8"/>
      <c r="T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row>
    <row r="21" spans="1:104" x14ac:dyDescent="0.35">
      <c r="C21" s="8"/>
      <c r="F21" s="8"/>
      <c r="I21" s="8"/>
      <c r="L21" s="8"/>
      <c r="O21" s="8"/>
      <c r="T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row>
    <row r="22" spans="1:104" x14ac:dyDescent="0.35">
      <c r="C22" s="8"/>
      <c r="F22" s="8"/>
      <c r="I22" s="8"/>
      <c r="L22" s="8"/>
      <c r="O22" s="8"/>
      <c r="T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row>
    <row r="23" spans="1:104" x14ac:dyDescent="0.35">
      <c r="C23" s="8"/>
      <c r="F23" s="8"/>
      <c r="I23" s="8"/>
      <c r="L23" s="8"/>
      <c r="O23" s="8"/>
      <c r="T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row>
    <row r="24" spans="1:104" x14ac:dyDescent="0.35">
      <c r="C24" s="8"/>
      <c r="F24" s="8"/>
      <c r="I24" s="8"/>
      <c r="L24" s="8"/>
      <c r="O24" s="8"/>
      <c r="T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row>
    <row r="25" spans="1:104" x14ac:dyDescent="0.35">
      <c r="C25" s="8"/>
      <c r="F25" s="8"/>
      <c r="I25" s="8"/>
      <c r="L25" s="8"/>
      <c r="O25" s="8"/>
      <c r="T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row>
    <row r="26" spans="1:104" x14ac:dyDescent="0.35">
      <c r="C26" s="8"/>
      <c r="F26" s="8"/>
      <c r="I26" s="8"/>
      <c r="L26" s="8"/>
      <c r="O26" s="8"/>
      <c r="T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row>
    <row r="27" spans="1:104"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row>
    <row r="28" spans="1:104"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row>
    <row r="29" spans="1:104"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row>
    <row r="30" spans="1:104"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row>
    <row r="31" spans="1:104"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row>
    <row r="32" spans="1:104"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row>
    <row r="33" spans="1:104"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row>
    <row r="34" spans="1:104"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row>
    <row r="35" spans="1:104"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row>
    <row r="36" spans="1:104"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row>
    <row r="37" spans="1:104"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row>
    <row r="38" spans="1:104"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row>
    <row r="39" spans="1:104"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row>
    <row r="40" spans="1:104"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row>
    <row r="41" spans="1:104"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row>
    <row r="42" spans="1:104"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row>
    <row r="43" spans="1:104"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row>
    <row r="44" spans="1:104"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row>
    <row r="45" spans="1:104"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row>
    <row r="46" spans="1:104"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row>
    <row r="47" spans="1:104"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row>
    <row r="48" spans="1:104"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row>
    <row r="49" spans="1:104"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row>
    <row r="50" spans="1:104"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row>
    <row r="51" spans="1:104"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row>
    <row r="52" spans="1:104"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row>
    <row r="53" spans="1:104"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row>
    <row r="54" spans="1:104"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row>
    <row r="55" spans="1:104"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row>
    <row r="56" spans="1:104"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row>
    <row r="57" spans="1:104"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row>
    <row r="58" spans="1:104"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row>
    <row r="59" spans="1:104"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row>
    <row r="60" spans="1:104"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row>
    <row r="61" spans="1:104"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row>
    <row r="62" spans="1:104"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row>
    <row r="63" spans="1:104"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row>
    <row r="64" spans="1:104"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row>
    <row r="65" spans="1:104"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row>
    <row r="66" spans="1:104"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row>
    <row r="67" spans="1:104"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row>
    <row r="68" spans="1:104"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row>
    <row r="69" spans="1:104"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row>
    <row r="70" spans="1:104"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row>
    <row r="71" spans="1:104"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row>
    <row r="72" spans="1:104"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row>
    <row r="73" spans="1:104"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row>
    <row r="74" spans="1:104"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row>
    <row r="75" spans="1:104"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row>
    <row r="76" spans="1:104"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row>
    <row r="77" spans="1:104"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row>
    <row r="78" spans="1:104"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row>
    <row r="79" spans="1:104"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row>
    <row r="80" spans="1:104"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row>
    <row r="81" spans="1:104"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row>
    <row r="82" spans="1:104"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row>
    <row r="83" spans="1:104"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row>
    <row r="84" spans="1:104"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row>
    <row r="85" spans="1:104"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row>
    <row r="86" spans="1:104"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row>
    <row r="87" spans="1:104"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row>
    <row r="88" spans="1:104"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row>
    <row r="89" spans="1:104"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row>
    <row r="90" spans="1:104"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row>
    <row r="91" spans="1:104"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row>
    <row r="92" spans="1:104"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row>
    <row r="93" spans="1:104"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row>
    <row r="94" spans="1:104"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row>
    <row r="95" spans="1:104"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row>
    <row r="96" spans="1:104"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row>
    <row r="97" spans="1:104"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row>
    <row r="98" spans="1:104"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row>
    <row r="99" spans="1:104"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row>
    <row r="100" spans="1:104"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row>
    <row r="101" spans="1:104"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row>
    <row r="102" spans="1:104"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row>
    <row r="103" spans="1:104"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row>
    <row r="104" spans="1:104"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row>
    <row r="105" spans="1:104"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row>
    <row r="106" spans="1:104"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row>
    <row r="107" spans="1:104" x14ac:dyDescent="0.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row>
    <row r="108" spans="1:104" x14ac:dyDescent="0.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row>
    <row r="109" spans="1:104" x14ac:dyDescent="0.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row>
    <row r="110" spans="1:104"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row>
    <row r="111" spans="1:104"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row>
    <row r="112" spans="1:104"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row>
    <row r="113" spans="1:104" x14ac:dyDescent="0.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row>
    <row r="114" spans="1:104" x14ac:dyDescent="0.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row>
    <row r="115" spans="1:104" x14ac:dyDescent="0.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row>
    <row r="116" spans="1:104" x14ac:dyDescent="0.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row>
    <row r="117" spans="1:104" x14ac:dyDescent="0.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row>
    <row r="118" spans="1:104"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row>
    <row r="119" spans="1:104" x14ac:dyDescent="0.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row>
    <row r="120" spans="1:104" x14ac:dyDescent="0.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row>
    <row r="121" spans="1:104" x14ac:dyDescent="0.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row>
    <row r="122" spans="1:104" x14ac:dyDescent="0.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row>
    <row r="123" spans="1:104" x14ac:dyDescent="0.3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row>
    <row r="124" spans="1:104" x14ac:dyDescent="0.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row>
    <row r="125" spans="1:104" x14ac:dyDescent="0.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row>
    <row r="126" spans="1:104" x14ac:dyDescent="0.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row>
    <row r="127" spans="1:104" x14ac:dyDescent="0.3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row>
    <row r="128" spans="1:104" x14ac:dyDescent="0.3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row>
    <row r="129" spans="1:104" x14ac:dyDescent="0.3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row>
    <row r="130" spans="1:104" x14ac:dyDescent="0.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row>
    <row r="131" spans="1:104" x14ac:dyDescent="0.3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row>
    <row r="132" spans="1:104" x14ac:dyDescent="0.3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row>
    <row r="133" spans="1:104" x14ac:dyDescent="0.3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row>
    <row r="134" spans="1:104" x14ac:dyDescent="0.3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row>
    <row r="135" spans="1:104" x14ac:dyDescent="0.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row>
    <row r="136" spans="1:104" x14ac:dyDescent="0.3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row>
    <row r="137" spans="1:104" x14ac:dyDescent="0.3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row>
    <row r="138" spans="1:104" x14ac:dyDescent="0.3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row>
    <row r="139" spans="1:104" x14ac:dyDescent="0.3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row>
    <row r="140" spans="1:104" x14ac:dyDescent="0.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row>
    <row r="141" spans="1:104" x14ac:dyDescent="0.3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row>
    <row r="142" spans="1:104" x14ac:dyDescent="0.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row>
    <row r="143" spans="1:104" x14ac:dyDescent="0.3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row>
    <row r="144" spans="1:104" x14ac:dyDescent="0.3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row>
    <row r="145" spans="1:104" x14ac:dyDescent="0.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row>
    <row r="146" spans="1:104" x14ac:dyDescent="0.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row>
    <row r="147" spans="1:104" x14ac:dyDescent="0.3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row>
    <row r="148" spans="1:104" x14ac:dyDescent="0.3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row>
    <row r="149" spans="1:104" x14ac:dyDescent="0.3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row>
    <row r="150" spans="1:104"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row>
    <row r="151" spans="1:104" x14ac:dyDescent="0.3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row>
    <row r="152" spans="1:104" x14ac:dyDescent="0.3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row>
    <row r="153" spans="1:104" x14ac:dyDescent="0.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row>
    <row r="154" spans="1:104" x14ac:dyDescent="0.3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row>
    <row r="155" spans="1:104" x14ac:dyDescent="0.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row>
    <row r="156" spans="1:104" x14ac:dyDescent="0.3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row>
    <row r="157" spans="1:104" x14ac:dyDescent="0.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row>
    <row r="158" spans="1:104" x14ac:dyDescent="0.3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row>
    <row r="159" spans="1:104" x14ac:dyDescent="0.3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row>
    <row r="160" spans="1:104" x14ac:dyDescent="0.3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row>
    <row r="161" spans="1:104"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row>
    <row r="162" spans="1:104" x14ac:dyDescent="0.3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row>
    <row r="163" spans="1:104" x14ac:dyDescent="0.3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row>
    <row r="164" spans="1:104" x14ac:dyDescent="0.3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row>
    <row r="165" spans="1:104" x14ac:dyDescent="0.3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row>
    <row r="166" spans="1:104" x14ac:dyDescent="0.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row>
    <row r="167" spans="1:104" x14ac:dyDescent="0.3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row>
    <row r="168" spans="1:104" x14ac:dyDescent="0.3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row>
    <row r="169" spans="1:104" x14ac:dyDescent="0.3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row>
    <row r="170" spans="1:104" x14ac:dyDescent="0.3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row>
    <row r="171" spans="1:104" x14ac:dyDescent="0.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row>
    <row r="172" spans="1:104" x14ac:dyDescent="0.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row>
    <row r="173" spans="1:104" x14ac:dyDescent="0.3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row>
    <row r="174" spans="1:104" x14ac:dyDescent="0.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row>
    <row r="175" spans="1:104" x14ac:dyDescent="0.3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row>
    <row r="176" spans="1:104" x14ac:dyDescent="0.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row>
    <row r="177" spans="1:104" x14ac:dyDescent="0.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row>
    <row r="178" spans="1:104" x14ac:dyDescent="0.3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row>
    <row r="179" spans="1:104" x14ac:dyDescent="0.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row>
    <row r="180" spans="1:104" x14ac:dyDescent="0.3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row>
    <row r="181" spans="1:104" x14ac:dyDescent="0.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row>
    <row r="182" spans="1:104" x14ac:dyDescent="0.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row>
    <row r="183" spans="1:104" x14ac:dyDescent="0.3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row>
    <row r="184" spans="1:104" x14ac:dyDescent="0.3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row>
    <row r="185" spans="1:104" x14ac:dyDescent="0.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row>
    <row r="186" spans="1:104" x14ac:dyDescent="0.3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row>
    <row r="187" spans="1:104" x14ac:dyDescent="0.3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row>
    <row r="188" spans="1:104"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row>
    <row r="189" spans="1:104" x14ac:dyDescent="0.3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row>
    <row r="190" spans="1:104" x14ac:dyDescent="0.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row>
    <row r="191" spans="1:104" x14ac:dyDescent="0.3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row>
    <row r="192" spans="1:104" x14ac:dyDescent="0.3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row>
    <row r="193" spans="1:104"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row>
    <row r="194" spans="1:104"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row>
    <row r="195" spans="1:104" x14ac:dyDescent="0.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row>
    <row r="196" spans="1:104"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row>
    <row r="197" spans="1:104" x14ac:dyDescent="0.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row>
    <row r="198" spans="1:104"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row>
    <row r="199" spans="1:104" x14ac:dyDescent="0.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row>
    <row r="200" spans="1:104"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row>
    <row r="201" spans="1:104" x14ac:dyDescent="0.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row>
    <row r="202" spans="1:104" x14ac:dyDescent="0.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row>
    <row r="203" spans="1:104" x14ac:dyDescent="0.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row>
    <row r="204" spans="1:104"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row>
    <row r="205" spans="1:104" x14ac:dyDescent="0.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row>
    <row r="206" spans="1:104"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row>
    <row r="207" spans="1:104" x14ac:dyDescent="0.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row>
    <row r="208" spans="1:104" x14ac:dyDescent="0.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row>
    <row r="209" spans="1:104"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row>
    <row r="210" spans="1:104"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row>
    <row r="211" spans="1:104"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row>
    <row r="212" spans="1:104"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row>
    <row r="213" spans="1:104"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row>
    <row r="214" spans="1:104"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row>
    <row r="215" spans="1:104"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row>
    <row r="216" spans="1:104"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row>
    <row r="217" spans="1:104"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row>
    <row r="218" spans="1:104"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row>
    <row r="219" spans="1:104"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row>
    <row r="220" spans="1:104"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row>
    <row r="221" spans="1:104"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row>
    <row r="222" spans="1:104"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row>
    <row r="223" spans="1:104"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row>
    <row r="224" spans="1:104"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row>
    <row r="225" spans="1:104"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row>
    <row r="226" spans="1:104"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row>
    <row r="227" spans="1:104"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row>
    <row r="228" spans="1:104"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row>
    <row r="229" spans="1:104"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row>
    <row r="230" spans="1:104"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row>
    <row r="231" spans="1:104"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row>
    <row r="232" spans="1:104"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row>
    <row r="233" spans="1:104"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row>
    <row r="234" spans="1:104"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row>
    <row r="235" spans="1:104"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row>
    <row r="236" spans="1:104"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row>
    <row r="237" spans="1:104"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row>
    <row r="238" spans="1:104"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row>
    <row r="239" spans="1:104"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row>
    <row r="240" spans="1:104"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row>
    <row r="241" spans="1:104"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row>
    <row r="242" spans="1:104"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row>
    <row r="243" spans="1:104"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row>
    <row r="244" spans="1:104"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row>
    <row r="245" spans="1:104"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row>
    <row r="246" spans="1:104"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row>
    <row r="247" spans="1:104"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row>
    <row r="248" spans="1:104"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row>
    <row r="249" spans="1:104"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row>
    <row r="250" spans="1:104"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row>
    <row r="251" spans="1:104"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row>
    <row r="252" spans="1:104"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row>
    <row r="253" spans="1:104"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row>
    <row r="254" spans="1:104"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row>
    <row r="255" spans="1:104"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row>
    <row r="256" spans="1:104"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row>
    <row r="257" spans="1:104"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row>
    <row r="258" spans="1:104"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row>
    <row r="259" spans="1:104"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row>
    <row r="260" spans="1:104"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row>
    <row r="261" spans="1:104"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row>
    <row r="262" spans="1:104"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row>
    <row r="263" spans="1:104"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row>
    <row r="264" spans="1:104"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row>
    <row r="265" spans="1:104"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row>
    <row r="266" spans="1:104"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row>
    <row r="267" spans="1:104"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row>
    <row r="268" spans="1:104"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row>
    <row r="269" spans="1:104"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row>
    <row r="270" spans="1:104"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row>
    <row r="271" spans="1:104"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row>
    <row r="272" spans="1:104"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row>
    <row r="273" spans="1:104"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row>
    <row r="274" spans="1:104"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row>
    <row r="275" spans="1:104"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row>
    <row r="276" spans="1:104"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row>
    <row r="277" spans="1:104"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row>
    <row r="278" spans="1:104"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row>
    <row r="279" spans="1:104"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row>
    <row r="280" spans="1:104"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row>
    <row r="281" spans="1:104" x14ac:dyDescent="0.35">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row>
    <row r="282" spans="1:104" x14ac:dyDescent="0.35">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row>
    <row r="283" spans="1:104" x14ac:dyDescent="0.35">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row>
    <row r="284" spans="1:104" x14ac:dyDescent="0.35">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row>
    <row r="285" spans="1:104" x14ac:dyDescent="0.35">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row>
    <row r="286" spans="1:104" x14ac:dyDescent="0.35">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row>
    <row r="287" spans="1:104" x14ac:dyDescent="0.35">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row>
    <row r="288" spans="1:104" x14ac:dyDescent="0.35">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row>
    <row r="289" spans="26:104" x14ac:dyDescent="0.35">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row>
    <row r="290" spans="26:104" x14ac:dyDescent="0.35">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row>
    <row r="291" spans="26:104" x14ac:dyDescent="0.35">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row>
    <row r="292" spans="26:104" x14ac:dyDescent="0.35">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row>
    <row r="293" spans="26:104" x14ac:dyDescent="0.35">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row>
    <row r="294" spans="26:104" x14ac:dyDescent="0.35">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row>
    <row r="295" spans="26:104" x14ac:dyDescent="0.35">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row>
    <row r="296" spans="26:104" x14ac:dyDescent="0.35">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row>
    <row r="297" spans="26:104" x14ac:dyDescent="0.35">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row>
    <row r="298" spans="26:104" x14ac:dyDescent="0.35">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row>
    <row r="299" spans="26:104" x14ac:dyDescent="0.35">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row>
    <row r="300" spans="26:104" x14ac:dyDescent="0.35">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row>
    <row r="301" spans="26:104" x14ac:dyDescent="0.35">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row>
    <row r="302" spans="26:104" x14ac:dyDescent="0.35">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row>
    <row r="303" spans="26:104" x14ac:dyDescent="0.35">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row>
    <row r="304" spans="26:104" x14ac:dyDescent="0.35">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row>
    <row r="305" spans="26:104" x14ac:dyDescent="0.35">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row>
    <row r="306" spans="26:104" x14ac:dyDescent="0.35">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row>
    <row r="307" spans="26:104" x14ac:dyDescent="0.35">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row>
    <row r="308" spans="26:104" x14ac:dyDescent="0.35">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row>
    <row r="309" spans="26:104" x14ac:dyDescent="0.35">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row>
    <row r="310" spans="26:104" x14ac:dyDescent="0.35">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row>
    <row r="311" spans="26:104" x14ac:dyDescent="0.35">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row>
    <row r="312" spans="26:104" x14ac:dyDescent="0.35">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row>
    <row r="313" spans="26:104" x14ac:dyDescent="0.35">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row>
    <row r="314" spans="26:104" x14ac:dyDescent="0.35">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row>
    <row r="315" spans="26:104" x14ac:dyDescent="0.35">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row>
    <row r="316" spans="26:104" x14ac:dyDescent="0.35">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row>
    <row r="317" spans="26:104" x14ac:dyDescent="0.35">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row>
    <row r="318" spans="26:104" x14ac:dyDescent="0.35">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row>
    <row r="319" spans="26:104" x14ac:dyDescent="0.35">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row>
    <row r="320" spans="26:104" x14ac:dyDescent="0.35">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row>
    <row r="321" spans="26:104" x14ac:dyDescent="0.35">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row>
    <row r="322" spans="26:104" x14ac:dyDescent="0.35">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row>
    <row r="323" spans="26:104" x14ac:dyDescent="0.35">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row>
    <row r="324" spans="26:104" x14ac:dyDescent="0.35">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row>
    <row r="325" spans="26:104" x14ac:dyDescent="0.35">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row>
    <row r="326" spans="26:104" x14ac:dyDescent="0.35">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row>
    <row r="327" spans="26:104" x14ac:dyDescent="0.35">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row>
    <row r="328" spans="26:104" x14ac:dyDescent="0.35">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row>
    <row r="329" spans="26:104" x14ac:dyDescent="0.35">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row>
    <row r="330" spans="26:104" x14ac:dyDescent="0.35">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row>
    <row r="331" spans="26:104" x14ac:dyDescent="0.35">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row>
    <row r="332" spans="26:104" x14ac:dyDescent="0.35">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row>
    <row r="333" spans="26:104" x14ac:dyDescent="0.35">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row>
    <row r="334" spans="26:104" x14ac:dyDescent="0.35">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row>
    <row r="335" spans="26:104" x14ac:dyDescent="0.35">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row>
    <row r="336" spans="26:104" x14ac:dyDescent="0.35">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row>
    <row r="337" spans="26:104" x14ac:dyDescent="0.35">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row>
    <row r="338" spans="26:104" x14ac:dyDescent="0.35">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row>
    <row r="339" spans="26:104" x14ac:dyDescent="0.35">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row>
    <row r="340" spans="26:104" x14ac:dyDescent="0.35">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row>
    <row r="341" spans="26:104" x14ac:dyDescent="0.35">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row>
    <row r="342" spans="26:104" x14ac:dyDescent="0.35">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row>
    <row r="343" spans="26:104" x14ac:dyDescent="0.35">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row>
    <row r="344" spans="26:104" x14ac:dyDescent="0.35">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row>
    <row r="345" spans="26:104" x14ac:dyDescent="0.35">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row>
    <row r="346" spans="26:104" x14ac:dyDescent="0.35">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row>
    <row r="347" spans="26:104" x14ac:dyDescent="0.35">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row>
    <row r="348" spans="26:104" x14ac:dyDescent="0.35">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row>
    <row r="349" spans="26:104" x14ac:dyDescent="0.35">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row>
    <row r="350" spans="26:104" x14ac:dyDescent="0.35">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row>
    <row r="351" spans="26:104" x14ac:dyDescent="0.35">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row>
    <row r="352" spans="26:104" x14ac:dyDescent="0.35">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row>
    <row r="353" spans="26:104" x14ac:dyDescent="0.35">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row>
    <row r="354" spans="26:104" x14ac:dyDescent="0.35">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row>
    <row r="355" spans="26:104" x14ac:dyDescent="0.35">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row>
    <row r="356" spans="26:104" x14ac:dyDescent="0.35">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row>
    <row r="357" spans="26:104" x14ac:dyDescent="0.35">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row>
    <row r="358" spans="26:104" x14ac:dyDescent="0.35">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row>
    <row r="359" spans="26:104" x14ac:dyDescent="0.35">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row>
    <row r="360" spans="26:104" x14ac:dyDescent="0.35">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row>
    <row r="361" spans="26:104" x14ac:dyDescent="0.35">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row>
    <row r="362" spans="26:104" x14ac:dyDescent="0.35">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row>
    <row r="363" spans="26:104" x14ac:dyDescent="0.35">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row>
    <row r="364" spans="26:104" x14ac:dyDescent="0.35">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row>
    <row r="365" spans="26:104" x14ac:dyDescent="0.35">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row>
    <row r="366" spans="26:104" x14ac:dyDescent="0.35">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row>
    <row r="367" spans="26:104" x14ac:dyDescent="0.35">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row>
    <row r="368" spans="26:104" x14ac:dyDescent="0.35">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row>
    <row r="369" spans="26:104" x14ac:dyDescent="0.35">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row>
    <row r="370" spans="26:104" x14ac:dyDescent="0.35">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row>
    <row r="371" spans="26:104" x14ac:dyDescent="0.35">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row>
    <row r="372" spans="26:104" x14ac:dyDescent="0.35">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row>
    <row r="373" spans="26:104" x14ac:dyDescent="0.35">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row>
    <row r="374" spans="26:104" x14ac:dyDescent="0.35">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row>
    <row r="375" spans="26:104" x14ac:dyDescent="0.35">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row>
    <row r="376" spans="26:104" x14ac:dyDescent="0.35">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row>
    <row r="377" spans="26:104" x14ac:dyDescent="0.35">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row>
    <row r="378" spans="26:104" x14ac:dyDescent="0.35">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row>
    <row r="379" spans="26:104" x14ac:dyDescent="0.35">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row>
    <row r="380" spans="26:104" x14ac:dyDescent="0.35">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row>
    <row r="381" spans="26:104" x14ac:dyDescent="0.35">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row>
    <row r="382" spans="26:104" x14ac:dyDescent="0.35">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row>
    <row r="383" spans="26:104" x14ac:dyDescent="0.35">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row>
    <row r="384" spans="26:104" x14ac:dyDescent="0.35">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row>
    <row r="385" spans="26:104" x14ac:dyDescent="0.35">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row>
    <row r="386" spans="26:104" x14ac:dyDescent="0.35">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row>
    <row r="387" spans="26:104" x14ac:dyDescent="0.35">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row>
    <row r="388" spans="26:104" x14ac:dyDescent="0.35">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row>
    <row r="389" spans="26:104" x14ac:dyDescent="0.35">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row>
    <row r="390" spans="26:104" x14ac:dyDescent="0.35">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row>
    <row r="391" spans="26:104" x14ac:dyDescent="0.35">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row>
    <row r="392" spans="26:104" x14ac:dyDescent="0.35">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row>
    <row r="393" spans="26:104" x14ac:dyDescent="0.35">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row>
    <row r="394" spans="26:104" x14ac:dyDescent="0.35">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row>
    <row r="395" spans="26:104" x14ac:dyDescent="0.35">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row>
    <row r="396" spans="26:104" x14ac:dyDescent="0.35">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row>
    <row r="397" spans="26:104" x14ac:dyDescent="0.35">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row>
    <row r="398" spans="26:104" x14ac:dyDescent="0.35">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row>
    <row r="399" spans="26:104" x14ac:dyDescent="0.35">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row>
    <row r="400" spans="26:104" x14ac:dyDescent="0.35">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row>
    <row r="401" spans="26:104" x14ac:dyDescent="0.35">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row>
    <row r="402" spans="26:104" x14ac:dyDescent="0.35">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row>
    <row r="403" spans="26:104" x14ac:dyDescent="0.35">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row>
    <row r="404" spans="26:104" x14ac:dyDescent="0.35">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row>
    <row r="405" spans="26:104" x14ac:dyDescent="0.35">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row>
    <row r="406" spans="26:104" x14ac:dyDescent="0.35">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row>
    <row r="407" spans="26:104" x14ac:dyDescent="0.35">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row>
    <row r="408" spans="26:104" x14ac:dyDescent="0.35">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row>
    <row r="409" spans="26:104" x14ac:dyDescent="0.35">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row>
    <row r="410" spans="26:104" x14ac:dyDescent="0.35">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row>
    <row r="411" spans="26:104" x14ac:dyDescent="0.35">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row>
    <row r="412" spans="26:104" x14ac:dyDescent="0.35">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row>
    <row r="413" spans="26:104" x14ac:dyDescent="0.35">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row>
    <row r="414" spans="26:104" x14ac:dyDescent="0.35">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row>
    <row r="415" spans="26:104" x14ac:dyDescent="0.35">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row>
    <row r="416" spans="26:104" x14ac:dyDescent="0.35">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row>
    <row r="417" spans="26:104" x14ac:dyDescent="0.35">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row>
    <row r="418" spans="26:104" x14ac:dyDescent="0.35">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row>
    <row r="419" spans="26:104" x14ac:dyDescent="0.35">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row>
    <row r="420" spans="26:104" x14ac:dyDescent="0.35">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row>
    <row r="421" spans="26:104" x14ac:dyDescent="0.35">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row>
    <row r="422" spans="26:104" x14ac:dyDescent="0.35">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row>
    <row r="423" spans="26:104" x14ac:dyDescent="0.35">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row>
    <row r="424" spans="26:104" x14ac:dyDescent="0.35">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row>
    <row r="425" spans="26:104" x14ac:dyDescent="0.35">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row>
    <row r="426" spans="26:104" x14ac:dyDescent="0.35">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row>
    <row r="427" spans="26:104" x14ac:dyDescent="0.35">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row>
    <row r="428" spans="26:104" x14ac:dyDescent="0.35">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row>
    <row r="429" spans="26:104" x14ac:dyDescent="0.35">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row>
    <row r="430" spans="26:104" x14ac:dyDescent="0.35">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row>
    <row r="431" spans="26:104" x14ac:dyDescent="0.35">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row>
    <row r="432" spans="26:104" x14ac:dyDescent="0.35">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row>
    <row r="433" spans="26:104" x14ac:dyDescent="0.35">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row>
    <row r="434" spans="26:104" x14ac:dyDescent="0.35">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row>
    <row r="435" spans="26:104" x14ac:dyDescent="0.35">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row>
    <row r="436" spans="26:104" x14ac:dyDescent="0.35">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row>
    <row r="437" spans="26:104" x14ac:dyDescent="0.35">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row>
    <row r="438" spans="26:104" x14ac:dyDescent="0.35">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row>
    <row r="439" spans="26:104" x14ac:dyDescent="0.35">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row>
    <row r="440" spans="26:104" x14ac:dyDescent="0.35">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row>
    <row r="441" spans="26:104" x14ac:dyDescent="0.35">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row>
    <row r="442" spans="26:104" x14ac:dyDescent="0.35">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row>
    <row r="443" spans="26:104" x14ac:dyDescent="0.35">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row>
    <row r="444" spans="26:104" x14ac:dyDescent="0.35">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row>
    <row r="445" spans="26:104" x14ac:dyDescent="0.35">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row>
    <row r="446" spans="26:104" x14ac:dyDescent="0.35">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row>
    <row r="447" spans="26:104" x14ac:dyDescent="0.35">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row>
    <row r="448" spans="26:104" x14ac:dyDescent="0.35">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row>
    <row r="449" spans="26:104" x14ac:dyDescent="0.35">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row>
    <row r="450" spans="26:104" x14ac:dyDescent="0.35">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row>
    <row r="451" spans="26:104" x14ac:dyDescent="0.35">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row>
    <row r="452" spans="26:104" x14ac:dyDescent="0.35">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row>
    <row r="453" spans="26:104" x14ac:dyDescent="0.35">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row>
    <row r="454" spans="26:104" x14ac:dyDescent="0.35">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row>
    <row r="455" spans="26:104" x14ac:dyDescent="0.35">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row>
    <row r="456" spans="26:104" x14ac:dyDescent="0.35">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row>
    <row r="457" spans="26:104" x14ac:dyDescent="0.35">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row>
    <row r="458" spans="26:104" x14ac:dyDescent="0.35">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row>
    <row r="459" spans="26:104" x14ac:dyDescent="0.35">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row>
    <row r="460" spans="26:104" x14ac:dyDescent="0.35">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row>
    <row r="461" spans="26:104" x14ac:dyDescent="0.35">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row>
    <row r="462" spans="26:104" x14ac:dyDescent="0.35">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row>
    <row r="463" spans="26:104" x14ac:dyDescent="0.35">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row>
    <row r="464" spans="26:104" x14ac:dyDescent="0.35">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row>
    <row r="465" spans="26:104" x14ac:dyDescent="0.35">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row>
    <row r="466" spans="26:104" x14ac:dyDescent="0.35">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row>
    <row r="467" spans="26:104" x14ac:dyDescent="0.35">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row>
    <row r="468" spans="26:104" x14ac:dyDescent="0.35">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row>
    <row r="469" spans="26:104" x14ac:dyDescent="0.35">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row>
    <row r="470" spans="26:104" x14ac:dyDescent="0.35">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row>
    <row r="471" spans="26:104" x14ac:dyDescent="0.35">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row>
    <row r="472" spans="26:104" x14ac:dyDescent="0.35">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row>
    <row r="473" spans="26:104" x14ac:dyDescent="0.35">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row>
    <row r="474" spans="26:104" x14ac:dyDescent="0.35">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row>
    <row r="475" spans="26:104" x14ac:dyDescent="0.35">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row>
    <row r="476" spans="26:104" x14ac:dyDescent="0.35">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row>
    <row r="477" spans="26:104" x14ac:dyDescent="0.35">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row>
    <row r="478" spans="26:104" x14ac:dyDescent="0.35">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row>
    <row r="479" spans="26:104" x14ac:dyDescent="0.35">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row>
    <row r="480" spans="26:104" x14ac:dyDescent="0.35">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row>
    <row r="481" spans="26:104" x14ac:dyDescent="0.35">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row>
    <row r="482" spans="26:104" x14ac:dyDescent="0.35">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row>
    <row r="483" spans="26:104" x14ac:dyDescent="0.35">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row>
    <row r="484" spans="26:104" x14ac:dyDescent="0.35">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row>
    <row r="485" spans="26:104" x14ac:dyDescent="0.35">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row>
    <row r="486" spans="26:104" x14ac:dyDescent="0.35">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row>
    <row r="487" spans="26:104" x14ac:dyDescent="0.35">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row>
    <row r="488" spans="26:104" x14ac:dyDescent="0.35">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row>
    <row r="489" spans="26:104" x14ac:dyDescent="0.35">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row>
    <row r="490" spans="26:104" x14ac:dyDescent="0.35">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row>
    <row r="491" spans="26:104" x14ac:dyDescent="0.35">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row>
    <row r="492" spans="26:104" x14ac:dyDescent="0.35">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row>
    <row r="493" spans="26:104" x14ac:dyDescent="0.35">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row>
    <row r="494" spans="26:104" x14ac:dyDescent="0.35">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row>
    <row r="495" spans="26:104" x14ac:dyDescent="0.35">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row>
    <row r="496" spans="26:104" x14ac:dyDescent="0.35">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row>
    <row r="497" spans="26:104" x14ac:dyDescent="0.35">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row>
    <row r="498" spans="26:104" x14ac:dyDescent="0.35">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row>
    <row r="499" spans="26:104" x14ac:dyDescent="0.35">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row>
    <row r="500" spans="26:104" x14ac:dyDescent="0.35">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row>
    <row r="501" spans="26:104" x14ac:dyDescent="0.35">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row>
    <row r="502" spans="26:104" x14ac:dyDescent="0.35">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row>
    <row r="503" spans="26:104" x14ac:dyDescent="0.35">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row>
    <row r="504" spans="26:104" x14ac:dyDescent="0.35">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row>
    <row r="505" spans="26:104" x14ac:dyDescent="0.35">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row>
    <row r="506" spans="26:104" x14ac:dyDescent="0.35">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row>
    <row r="507" spans="26:104" x14ac:dyDescent="0.35">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row>
    <row r="508" spans="26:104" x14ac:dyDescent="0.35">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row>
    <row r="509" spans="26:104" x14ac:dyDescent="0.35">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row>
    <row r="510" spans="26:104" x14ac:dyDescent="0.35">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row>
    <row r="511" spans="26:104" x14ac:dyDescent="0.35">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row>
    <row r="512" spans="26:104" x14ac:dyDescent="0.35">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row>
    <row r="513" spans="26:104" x14ac:dyDescent="0.35">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row>
    <row r="514" spans="26:104" x14ac:dyDescent="0.35">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row>
    <row r="515" spans="26:104" x14ac:dyDescent="0.35">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row>
    <row r="516" spans="26:104" x14ac:dyDescent="0.35">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row>
    <row r="517" spans="26:104" x14ac:dyDescent="0.35">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row>
    <row r="518" spans="26:104" x14ac:dyDescent="0.35">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row>
    <row r="519" spans="26:104" x14ac:dyDescent="0.35">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row>
    <row r="520" spans="26:104" x14ac:dyDescent="0.35">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row>
    <row r="521" spans="26:104" x14ac:dyDescent="0.35">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row>
    <row r="522" spans="26:104" x14ac:dyDescent="0.35">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row>
    <row r="523" spans="26:104" x14ac:dyDescent="0.35">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row>
    <row r="524" spans="26:104" x14ac:dyDescent="0.35">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row>
    <row r="525" spans="26:104" x14ac:dyDescent="0.35">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row>
    <row r="526" spans="26:104" x14ac:dyDescent="0.35">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row>
    <row r="527" spans="26:104" x14ac:dyDescent="0.35">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row>
    <row r="528" spans="26:104" x14ac:dyDescent="0.35">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row>
    <row r="529" spans="26:104" x14ac:dyDescent="0.35">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row>
    <row r="530" spans="26:104" x14ac:dyDescent="0.35">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row>
    <row r="531" spans="26:104" x14ac:dyDescent="0.35">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row>
    <row r="532" spans="26:104" x14ac:dyDescent="0.35">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row>
    <row r="533" spans="26:104" x14ac:dyDescent="0.35">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row>
    <row r="534" spans="26:104" x14ac:dyDescent="0.35">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row>
    <row r="535" spans="26:104" x14ac:dyDescent="0.35">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row>
    <row r="536" spans="26:104" x14ac:dyDescent="0.35">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row>
    <row r="537" spans="26:104" x14ac:dyDescent="0.35">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row>
    <row r="538" spans="26:104" x14ac:dyDescent="0.35">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row>
    <row r="539" spans="26:104" x14ac:dyDescent="0.35">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row>
    <row r="540" spans="26:104" x14ac:dyDescent="0.35">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row>
    <row r="541" spans="26:104" x14ac:dyDescent="0.35">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row>
    <row r="542" spans="26:104" x14ac:dyDescent="0.35">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row>
    <row r="543" spans="26:104" x14ac:dyDescent="0.35">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row>
    <row r="544" spans="26:104" x14ac:dyDescent="0.35">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row>
    <row r="545" spans="26:104" x14ac:dyDescent="0.35">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row>
    <row r="546" spans="26:104" x14ac:dyDescent="0.35">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row>
    <row r="547" spans="26:104" x14ac:dyDescent="0.35">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row>
    <row r="548" spans="26:104" x14ac:dyDescent="0.35">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row>
    <row r="549" spans="26:104" x14ac:dyDescent="0.35">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row>
    <row r="550" spans="26:104" x14ac:dyDescent="0.35">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row>
    <row r="551" spans="26:104" x14ac:dyDescent="0.35">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row>
    <row r="552" spans="26:104" x14ac:dyDescent="0.35">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row>
    <row r="553" spans="26:104" x14ac:dyDescent="0.35">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row>
    <row r="554" spans="26:104" x14ac:dyDescent="0.35">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row>
    <row r="555" spans="26:104" x14ac:dyDescent="0.35">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row>
    <row r="556" spans="26:104" x14ac:dyDescent="0.35">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row>
    <row r="557" spans="26:104" x14ac:dyDescent="0.35">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row>
    <row r="558" spans="26:104" x14ac:dyDescent="0.35">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row>
    <row r="559" spans="26:104" x14ac:dyDescent="0.35">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row>
    <row r="560" spans="26:104" x14ac:dyDescent="0.35">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row>
    <row r="561" spans="26:104" x14ac:dyDescent="0.35">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row>
    <row r="562" spans="26:104" x14ac:dyDescent="0.35">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row>
    <row r="563" spans="26:104" x14ac:dyDescent="0.35">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row>
    <row r="564" spans="26:104" x14ac:dyDescent="0.35">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row>
    <row r="565" spans="26:104" x14ac:dyDescent="0.35">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row>
    <row r="566" spans="26:104" x14ac:dyDescent="0.35">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row>
    <row r="567" spans="26:104" x14ac:dyDescent="0.35">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row>
    <row r="568" spans="26:104" x14ac:dyDescent="0.35">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row>
    <row r="569" spans="26:104" x14ac:dyDescent="0.35">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row>
    <row r="570" spans="26:104" x14ac:dyDescent="0.35">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row>
    <row r="571" spans="26:104" x14ac:dyDescent="0.35">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row>
    <row r="572" spans="26:104" x14ac:dyDescent="0.35">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row>
    <row r="573" spans="26:104" x14ac:dyDescent="0.35">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row>
    <row r="574" spans="26:104" x14ac:dyDescent="0.35">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row>
    <row r="575" spans="26:104" x14ac:dyDescent="0.35">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row>
    <row r="576" spans="26:104" x14ac:dyDescent="0.35">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row>
    <row r="577" spans="26:104" x14ac:dyDescent="0.35">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row>
    <row r="578" spans="26:104" x14ac:dyDescent="0.35">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row>
    <row r="579" spans="26:104" x14ac:dyDescent="0.35">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row>
    <row r="580" spans="26:104" x14ac:dyDescent="0.35">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row>
    <row r="581" spans="26:104" x14ac:dyDescent="0.35">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row>
    <row r="582" spans="26:104" x14ac:dyDescent="0.35">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row>
    <row r="583" spans="26:104" x14ac:dyDescent="0.35">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row>
    <row r="584" spans="26:104" x14ac:dyDescent="0.35">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row>
    <row r="585" spans="26:104" x14ac:dyDescent="0.35">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row>
    <row r="586" spans="26:104" x14ac:dyDescent="0.35">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row>
    <row r="587" spans="26:104" x14ac:dyDescent="0.35">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row>
    <row r="588" spans="26:104" x14ac:dyDescent="0.35">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row>
    <row r="589" spans="26:104" x14ac:dyDescent="0.35">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row>
    <row r="590" spans="26:104" x14ac:dyDescent="0.35">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row>
    <row r="591" spans="26:104" x14ac:dyDescent="0.35">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row>
    <row r="592" spans="26:104" x14ac:dyDescent="0.35">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row>
    <row r="593" spans="26:104" x14ac:dyDescent="0.35">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row>
    <row r="594" spans="26:104" x14ac:dyDescent="0.35">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row>
    <row r="595" spans="26:104" x14ac:dyDescent="0.35">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row>
    <row r="596" spans="26:104" x14ac:dyDescent="0.35">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row>
    <row r="597" spans="26:104" x14ac:dyDescent="0.35">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row>
    <row r="598" spans="26:104" x14ac:dyDescent="0.35">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row>
    <row r="599" spans="26:104" x14ac:dyDescent="0.35">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row>
    <row r="600" spans="26:104" x14ac:dyDescent="0.35">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row>
    <row r="601" spans="26:104" x14ac:dyDescent="0.35">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row>
    <row r="602" spans="26:104" x14ac:dyDescent="0.35">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row>
    <row r="603" spans="26:104" x14ac:dyDescent="0.35">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row>
    <row r="604" spans="26:104" x14ac:dyDescent="0.35">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row>
    <row r="605" spans="26:104" x14ac:dyDescent="0.35">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row>
    <row r="606" spans="26:104" x14ac:dyDescent="0.35">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row>
    <row r="607" spans="26:104" x14ac:dyDescent="0.35">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row>
    <row r="608" spans="26:104" x14ac:dyDescent="0.35">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row>
    <row r="609" spans="26:104" x14ac:dyDescent="0.35">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row>
    <row r="610" spans="26:104" x14ac:dyDescent="0.35">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row>
    <row r="611" spans="26:104" x14ac:dyDescent="0.35">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row>
    <row r="612" spans="26:104" x14ac:dyDescent="0.35">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row>
    <row r="613" spans="26:104" x14ac:dyDescent="0.35">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row>
    <row r="614" spans="26:104" x14ac:dyDescent="0.35">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row>
    <row r="615" spans="26:104" x14ac:dyDescent="0.35">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row>
    <row r="616" spans="26:104" x14ac:dyDescent="0.35">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row>
    <row r="617" spans="26:104" x14ac:dyDescent="0.35">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row>
    <row r="618" spans="26:104" x14ac:dyDescent="0.35">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row>
    <row r="619" spans="26:104" x14ac:dyDescent="0.35">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row>
    <row r="620" spans="26:104" x14ac:dyDescent="0.35">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row>
    <row r="621" spans="26:104" x14ac:dyDescent="0.35">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row>
    <row r="622" spans="26:104" x14ac:dyDescent="0.35">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row>
    <row r="623" spans="26:104" x14ac:dyDescent="0.35">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row>
    <row r="624" spans="26:104" x14ac:dyDescent="0.35">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row>
    <row r="625" spans="26:104" x14ac:dyDescent="0.35">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row>
    <row r="626" spans="26:104" x14ac:dyDescent="0.35">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row>
    <row r="627" spans="26:104" x14ac:dyDescent="0.35">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row>
    <row r="628" spans="26:104" x14ac:dyDescent="0.35">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row>
    <row r="629" spans="26:104" x14ac:dyDescent="0.35">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row>
    <row r="630" spans="26:104" x14ac:dyDescent="0.35">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row>
    <row r="631" spans="26:104" x14ac:dyDescent="0.35">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row>
    <row r="632" spans="26:104" x14ac:dyDescent="0.35">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row>
    <row r="633" spans="26:104" x14ac:dyDescent="0.35">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row>
    <row r="634" spans="26:104" x14ac:dyDescent="0.35">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row>
    <row r="635" spans="26:104" x14ac:dyDescent="0.35">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row>
    <row r="636" spans="26:104" x14ac:dyDescent="0.35">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c r="CT636" s="8"/>
      <c r="CU636" s="8"/>
      <c r="CV636" s="8"/>
      <c r="CW636" s="8"/>
      <c r="CX636" s="8"/>
      <c r="CY636" s="8"/>
      <c r="CZ636" s="8"/>
    </row>
    <row r="637" spans="26:104" x14ac:dyDescent="0.35">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c r="CT637" s="8"/>
      <c r="CU637" s="8"/>
      <c r="CV637" s="8"/>
      <c r="CW637" s="8"/>
      <c r="CX637" s="8"/>
      <c r="CY637" s="8"/>
      <c r="CZ637" s="8"/>
    </row>
    <row r="638" spans="26:104" x14ac:dyDescent="0.35">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c r="CT638" s="8"/>
      <c r="CU638" s="8"/>
      <c r="CV638" s="8"/>
      <c r="CW638" s="8"/>
      <c r="CX638" s="8"/>
      <c r="CY638" s="8"/>
      <c r="CZ638" s="8"/>
    </row>
    <row r="639" spans="26:104" x14ac:dyDescent="0.35">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c r="CT639" s="8"/>
      <c r="CU639" s="8"/>
      <c r="CV639" s="8"/>
      <c r="CW639" s="8"/>
      <c r="CX639" s="8"/>
      <c r="CY639" s="8"/>
      <c r="CZ639" s="8"/>
    </row>
    <row r="640" spans="26:104" x14ac:dyDescent="0.35">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c r="CT640" s="8"/>
      <c r="CU640" s="8"/>
      <c r="CV640" s="8"/>
      <c r="CW640" s="8"/>
      <c r="CX640" s="8"/>
      <c r="CY640" s="8"/>
      <c r="CZ640" s="8"/>
    </row>
    <row r="641" spans="26:104" x14ac:dyDescent="0.35">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c r="CT641" s="8"/>
      <c r="CU641" s="8"/>
      <c r="CV641" s="8"/>
      <c r="CW641" s="8"/>
      <c r="CX641" s="8"/>
      <c r="CY641" s="8"/>
      <c r="CZ641" s="8"/>
    </row>
    <row r="642" spans="26:104" x14ac:dyDescent="0.35">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c r="CT642" s="8"/>
      <c r="CU642" s="8"/>
      <c r="CV642" s="8"/>
      <c r="CW642" s="8"/>
      <c r="CX642" s="8"/>
      <c r="CY642" s="8"/>
      <c r="CZ642" s="8"/>
    </row>
    <row r="643" spans="26:104" x14ac:dyDescent="0.35">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c r="CT643" s="8"/>
      <c r="CU643" s="8"/>
      <c r="CV643" s="8"/>
      <c r="CW643" s="8"/>
      <c r="CX643" s="8"/>
      <c r="CY643" s="8"/>
      <c r="CZ643" s="8"/>
    </row>
    <row r="644" spans="26:104" x14ac:dyDescent="0.35">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c r="CT644" s="8"/>
      <c r="CU644" s="8"/>
      <c r="CV644" s="8"/>
      <c r="CW644" s="8"/>
      <c r="CX644" s="8"/>
      <c r="CY644" s="8"/>
      <c r="CZ644" s="8"/>
    </row>
    <row r="645" spans="26:104" x14ac:dyDescent="0.35">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c r="CT645" s="8"/>
      <c r="CU645" s="8"/>
      <c r="CV645" s="8"/>
      <c r="CW645" s="8"/>
      <c r="CX645" s="8"/>
      <c r="CY645" s="8"/>
      <c r="CZ645" s="8"/>
    </row>
    <row r="646" spans="26:104" x14ac:dyDescent="0.35">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c r="CT646" s="8"/>
      <c r="CU646" s="8"/>
      <c r="CV646" s="8"/>
      <c r="CW646" s="8"/>
      <c r="CX646" s="8"/>
      <c r="CY646" s="8"/>
      <c r="CZ646" s="8"/>
    </row>
    <row r="647" spans="26:104" x14ac:dyDescent="0.35">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c r="CT647" s="8"/>
      <c r="CU647" s="8"/>
      <c r="CV647" s="8"/>
      <c r="CW647" s="8"/>
      <c r="CX647" s="8"/>
      <c r="CY647" s="8"/>
      <c r="CZ647" s="8"/>
    </row>
    <row r="648" spans="26:104" x14ac:dyDescent="0.35">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c r="CT648" s="8"/>
      <c r="CU648" s="8"/>
      <c r="CV648" s="8"/>
      <c r="CW648" s="8"/>
      <c r="CX648" s="8"/>
      <c r="CY648" s="8"/>
      <c r="CZ648" s="8"/>
    </row>
    <row r="649" spans="26:104" x14ac:dyDescent="0.35">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c r="CT649" s="8"/>
      <c r="CU649" s="8"/>
      <c r="CV649" s="8"/>
      <c r="CW649" s="8"/>
      <c r="CX649" s="8"/>
      <c r="CY649" s="8"/>
      <c r="CZ649" s="8"/>
    </row>
    <row r="650" spans="26:104" x14ac:dyDescent="0.35">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c r="CT650" s="8"/>
      <c r="CU650" s="8"/>
      <c r="CV650" s="8"/>
      <c r="CW650" s="8"/>
      <c r="CX650" s="8"/>
      <c r="CY650" s="8"/>
      <c r="CZ650" s="8"/>
    </row>
    <row r="651" spans="26:104" x14ac:dyDescent="0.35">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c r="CT651" s="8"/>
      <c r="CU651" s="8"/>
      <c r="CV651" s="8"/>
      <c r="CW651" s="8"/>
      <c r="CX651" s="8"/>
      <c r="CY651" s="8"/>
      <c r="CZ651" s="8"/>
    </row>
    <row r="652" spans="26:104" x14ac:dyDescent="0.35">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c r="CT652" s="8"/>
      <c r="CU652" s="8"/>
      <c r="CV652" s="8"/>
      <c r="CW652" s="8"/>
      <c r="CX652" s="8"/>
      <c r="CY652" s="8"/>
      <c r="CZ652" s="8"/>
    </row>
    <row r="653" spans="26:104" x14ac:dyDescent="0.35">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c r="CT653" s="8"/>
      <c r="CU653" s="8"/>
      <c r="CV653" s="8"/>
      <c r="CW653" s="8"/>
      <c r="CX653" s="8"/>
      <c r="CY653" s="8"/>
      <c r="CZ653" s="8"/>
    </row>
    <row r="654" spans="26:104" x14ac:dyDescent="0.35">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c r="CT654" s="8"/>
      <c r="CU654" s="8"/>
      <c r="CV654" s="8"/>
      <c r="CW654" s="8"/>
      <c r="CX654" s="8"/>
      <c r="CY654" s="8"/>
      <c r="CZ654" s="8"/>
    </row>
    <row r="655" spans="26:104" x14ac:dyDescent="0.35">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c r="CT655" s="8"/>
      <c r="CU655" s="8"/>
      <c r="CV655" s="8"/>
      <c r="CW655" s="8"/>
      <c r="CX655" s="8"/>
      <c r="CY655" s="8"/>
      <c r="CZ655" s="8"/>
    </row>
    <row r="656" spans="26:104" x14ac:dyDescent="0.35">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c r="CT656" s="8"/>
      <c r="CU656" s="8"/>
      <c r="CV656" s="8"/>
      <c r="CW656" s="8"/>
      <c r="CX656" s="8"/>
      <c r="CY656" s="8"/>
      <c r="CZ656" s="8"/>
    </row>
    <row r="657" spans="26:104" x14ac:dyDescent="0.35">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c r="CT657" s="8"/>
      <c r="CU657" s="8"/>
      <c r="CV657" s="8"/>
      <c r="CW657" s="8"/>
      <c r="CX657" s="8"/>
      <c r="CY657" s="8"/>
      <c r="CZ657" s="8"/>
    </row>
    <row r="658" spans="26:104" x14ac:dyDescent="0.35">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c r="CT658" s="8"/>
      <c r="CU658" s="8"/>
      <c r="CV658" s="8"/>
      <c r="CW658" s="8"/>
      <c r="CX658" s="8"/>
      <c r="CY658" s="8"/>
      <c r="CZ658" s="8"/>
    </row>
    <row r="659" spans="26:104" x14ac:dyDescent="0.35">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c r="CT659" s="8"/>
      <c r="CU659" s="8"/>
      <c r="CV659" s="8"/>
      <c r="CW659" s="8"/>
      <c r="CX659" s="8"/>
      <c r="CY659" s="8"/>
      <c r="CZ659" s="8"/>
    </row>
    <row r="660" spans="26:104" x14ac:dyDescent="0.35">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c r="CT660" s="8"/>
      <c r="CU660" s="8"/>
      <c r="CV660" s="8"/>
      <c r="CW660" s="8"/>
      <c r="CX660" s="8"/>
      <c r="CY660" s="8"/>
      <c r="CZ660" s="8"/>
    </row>
    <row r="661" spans="26:104" x14ac:dyDescent="0.35">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c r="CT661" s="8"/>
      <c r="CU661" s="8"/>
      <c r="CV661" s="8"/>
      <c r="CW661" s="8"/>
      <c r="CX661" s="8"/>
      <c r="CY661" s="8"/>
      <c r="CZ661" s="8"/>
    </row>
    <row r="662" spans="26:104" x14ac:dyDescent="0.35">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c r="CT662" s="8"/>
      <c r="CU662" s="8"/>
      <c r="CV662" s="8"/>
      <c r="CW662" s="8"/>
      <c r="CX662" s="8"/>
      <c r="CY662" s="8"/>
      <c r="CZ662" s="8"/>
    </row>
    <row r="663" spans="26:104" x14ac:dyDescent="0.35">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c r="CT663" s="8"/>
      <c r="CU663" s="8"/>
      <c r="CV663" s="8"/>
      <c r="CW663" s="8"/>
      <c r="CX663" s="8"/>
      <c r="CY663" s="8"/>
      <c r="CZ663" s="8"/>
    </row>
    <row r="664" spans="26:104" x14ac:dyDescent="0.35">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c r="CT664" s="8"/>
      <c r="CU664" s="8"/>
      <c r="CV664" s="8"/>
      <c r="CW664" s="8"/>
      <c r="CX664" s="8"/>
      <c r="CY664" s="8"/>
      <c r="CZ664" s="8"/>
    </row>
    <row r="665" spans="26:104" x14ac:dyDescent="0.35">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c r="CT665" s="8"/>
      <c r="CU665" s="8"/>
      <c r="CV665" s="8"/>
      <c r="CW665" s="8"/>
      <c r="CX665" s="8"/>
      <c r="CY665" s="8"/>
      <c r="CZ665" s="8"/>
    </row>
    <row r="666" spans="26:104" x14ac:dyDescent="0.35">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c r="CT666" s="8"/>
      <c r="CU666" s="8"/>
      <c r="CV666" s="8"/>
      <c r="CW666" s="8"/>
      <c r="CX666" s="8"/>
      <c r="CY666" s="8"/>
      <c r="CZ666" s="8"/>
    </row>
    <row r="667" spans="26:104" x14ac:dyDescent="0.35">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c r="CT667" s="8"/>
      <c r="CU667" s="8"/>
      <c r="CV667" s="8"/>
      <c r="CW667" s="8"/>
      <c r="CX667" s="8"/>
      <c r="CY667" s="8"/>
      <c r="CZ667" s="8"/>
    </row>
    <row r="668" spans="26:104" x14ac:dyDescent="0.35">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c r="CT668" s="8"/>
      <c r="CU668" s="8"/>
      <c r="CV668" s="8"/>
      <c r="CW668" s="8"/>
      <c r="CX668" s="8"/>
      <c r="CY668" s="8"/>
      <c r="CZ668" s="8"/>
    </row>
    <row r="669" spans="26:104" x14ac:dyDescent="0.35">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c r="CT669" s="8"/>
      <c r="CU669" s="8"/>
      <c r="CV669" s="8"/>
      <c r="CW669" s="8"/>
      <c r="CX669" s="8"/>
      <c r="CY669" s="8"/>
      <c r="CZ669" s="8"/>
    </row>
    <row r="670" spans="26:104" x14ac:dyDescent="0.35">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c r="CT670" s="8"/>
      <c r="CU670" s="8"/>
      <c r="CV670" s="8"/>
      <c r="CW670" s="8"/>
      <c r="CX670" s="8"/>
      <c r="CY670" s="8"/>
      <c r="CZ670" s="8"/>
    </row>
    <row r="671" spans="26:104" x14ac:dyDescent="0.35">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c r="CT671" s="8"/>
      <c r="CU671" s="8"/>
      <c r="CV671" s="8"/>
      <c r="CW671" s="8"/>
      <c r="CX671" s="8"/>
      <c r="CY671" s="8"/>
      <c r="CZ671" s="8"/>
    </row>
    <row r="672" spans="26:104" x14ac:dyDescent="0.35">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c r="CT672" s="8"/>
      <c r="CU672" s="8"/>
      <c r="CV672" s="8"/>
      <c r="CW672" s="8"/>
      <c r="CX672" s="8"/>
      <c r="CY672" s="8"/>
      <c r="CZ672" s="8"/>
    </row>
    <row r="673" spans="26:104" x14ac:dyDescent="0.35">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c r="CT673" s="8"/>
      <c r="CU673" s="8"/>
      <c r="CV673" s="8"/>
      <c r="CW673" s="8"/>
      <c r="CX673" s="8"/>
      <c r="CY673" s="8"/>
      <c r="CZ673" s="8"/>
    </row>
    <row r="674" spans="26:104" x14ac:dyDescent="0.35">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c r="CT674" s="8"/>
      <c r="CU674" s="8"/>
      <c r="CV674" s="8"/>
      <c r="CW674" s="8"/>
      <c r="CX674" s="8"/>
      <c r="CY674" s="8"/>
      <c r="CZ674" s="8"/>
    </row>
    <row r="675" spans="26:104" x14ac:dyDescent="0.35">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c r="CT675" s="8"/>
      <c r="CU675" s="8"/>
      <c r="CV675" s="8"/>
      <c r="CW675" s="8"/>
      <c r="CX675" s="8"/>
      <c r="CY675" s="8"/>
      <c r="CZ675" s="8"/>
    </row>
    <row r="676" spans="26:104" x14ac:dyDescent="0.35">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c r="CT676" s="8"/>
      <c r="CU676" s="8"/>
      <c r="CV676" s="8"/>
      <c r="CW676" s="8"/>
      <c r="CX676" s="8"/>
      <c r="CY676" s="8"/>
      <c r="CZ676" s="8"/>
    </row>
    <row r="677" spans="26:104" x14ac:dyDescent="0.35">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c r="CT677" s="8"/>
      <c r="CU677" s="8"/>
      <c r="CV677" s="8"/>
      <c r="CW677" s="8"/>
      <c r="CX677" s="8"/>
      <c r="CY677" s="8"/>
      <c r="CZ677" s="8"/>
    </row>
    <row r="678" spans="26:104" x14ac:dyDescent="0.35">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c r="CT678" s="8"/>
      <c r="CU678" s="8"/>
      <c r="CV678" s="8"/>
      <c r="CW678" s="8"/>
      <c r="CX678" s="8"/>
      <c r="CY678" s="8"/>
      <c r="CZ678" s="8"/>
    </row>
    <row r="679" spans="26:104" x14ac:dyDescent="0.35">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c r="CT679" s="8"/>
      <c r="CU679" s="8"/>
      <c r="CV679" s="8"/>
      <c r="CW679" s="8"/>
      <c r="CX679" s="8"/>
      <c r="CY679" s="8"/>
      <c r="CZ679" s="8"/>
    </row>
    <row r="680" spans="26:104" x14ac:dyDescent="0.35">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c r="CT680" s="8"/>
      <c r="CU680" s="8"/>
      <c r="CV680" s="8"/>
      <c r="CW680" s="8"/>
      <c r="CX680" s="8"/>
      <c r="CY680" s="8"/>
      <c r="CZ680" s="8"/>
    </row>
    <row r="681" spans="26:104" x14ac:dyDescent="0.35">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c r="CT681" s="8"/>
      <c r="CU681" s="8"/>
      <c r="CV681" s="8"/>
      <c r="CW681" s="8"/>
      <c r="CX681" s="8"/>
      <c r="CY681" s="8"/>
      <c r="CZ681" s="8"/>
    </row>
    <row r="682" spans="26:104" x14ac:dyDescent="0.35">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c r="CT682" s="8"/>
      <c r="CU682" s="8"/>
      <c r="CV682" s="8"/>
      <c r="CW682" s="8"/>
      <c r="CX682" s="8"/>
      <c r="CY682" s="8"/>
      <c r="CZ682" s="8"/>
    </row>
    <row r="683" spans="26:104" x14ac:dyDescent="0.35">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c r="CT683" s="8"/>
      <c r="CU683" s="8"/>
      <c r="CV683" s="8"/>
      <c r="CW683" s="8"/>
      <c r="CX683" s="8"/>
      <c r="CY683" s="8"/>
      <c r="CZ683" s="8"/>
    </row>
    <row r="684" spans="26:104" x14ac:dyDescent="0.35">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c r="CT684" s="8"/>
      <c r="CU684" s="8"/>
      <c r="CV684" s="8"/>
      <c r="CW684" s="8"/>
      <c r="CX684" s="8"/>
      <c r="CY684" s="8"/>
      <c r="CZ684" s="8"/>
    </row>
    <row r="685" spans="26:104" x14ac:dyDescent="0.35">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c r="CT685" s="8"/>
      <c r="CU685" s="8"/>
      <c r="CV685" s="8"/>
      <c r="CW685" s="8"/>
      <c r="CX685" s="8"/>
      <c r="CY685" s="8"/>
      <c r="CZ685" s="8"/>
    </row>
    <row r="686" spans="26:104" x14ac:dyDescent="0.35">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c r="CT686" s="8"/>
      <c r="CU686" s="8"/>
      <c r="CV686" s="8"/>
      <c r="CW686" s="8"/>
      <c r="CX686" s="8"/>
      <c r="CY686" s="8"/>
      <c r="CZ686" s="8"/>
    </row>
    <row r="687" spans="26:104" x14ac:dyDescent="0.35">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c r="CT687" s="8"/>
      <c r="CU687" s="8"/>
      <c r="CV687" s="8"/>
      <c r="CW687" s="8"/>
      <c r="CX687" s="8"/>
      <c r="CY687" s="8"/>
      <c r="CZ687" s="8"/>
    </row>
    <row r="688" spans="26:104" x14ac:dyDescent="0.35">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c r="CT688" s="8"/>
      <c r="CU688" s="8"/>
      <c r="CV688" s="8"/>
      <c r="CW688" s="8"/>
      <c r="CX688" s="8"/>
      <c r="CY688" s="8"/>
      <c r="CZ688" s="8"/>
    </row>
    <row r="689" spans="26:104" x14ac:dyDescent="0.35">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c r="CT689" s="8"/>
      <c r="CU689" s="8"/>
      <c r="CV689" s="8"/>
      <c r="CW689" s="8"/>
      <c r="CX689" s="8"/>
      <c r="CY689" s="8"/>
      <c r="CZ689" s="8"/>
    </row>
    <row r="690" spans="26:104" x14ac:dyDescent="0.35">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c r="CT690" s="8"/>
      <c r="CU690" s="8"/>
      <c r="CV690" s="8"/>
      <c r="CW690" s="8"/>
      <c r="CX690" s="8"/>
      <c r="CY690" s="8"/>
      <c r="CZ690" s="8"/>
    </row>
    <row r="691" spans="26:104" x14ac:dyDescent="0.35">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c r="CT691" s="8"/>
      <c r="CU691" s="8"/>
      <c r="CV691" s="8"/>
      <c r="CW691" s="8"/>
      <c r="CX691" s="8"/>
      <c r="CY691" s="8"/>
      <c r="CZ691" s="8"/>
    </row>
    <row r="692" spans="26:104" x14ac:dyDescent="0.35">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c r="CT692" s="8"/>
      <c r="CU692" s="8"/>
      <c r="CV692" s="8"/>
      <c r="CW692" s="8"/>
      <c r="CX692" s="8"/>
      <c r="CY692" s="8"/>
      <c r="CZ692" s="8"/>
    </row>
    <row r="693" spans="26:104" x14ac:dyDescent="0.35">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c r="CT693" s="8"/>
      <c r="CU693" s="8"/>
      <c r="CV693" s="8"/>
      <c r="CW693" s="8"/>
      <c r="CX693" s="8"/>
      <c r="CY693" s="8"/>
      <c r="CZ693" s="8"/>
    </row>
    <row r="694" spans="26:104" x14ac:dyDescent="0.35">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c r="CT694" s="8"/>
      <c r="CU694" s="8"/>
      <c r="CV694" s="8"/>
      <c r="CW694" s="8"/>
      <c r="CX694" s="8"/>
      <c r="CY694" s="8"/>
      <c r="CZ694" s="8"/>
    </row>
    <row r="695" spans="26:104" x14ac:dyDescent="0.35">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c r="CT695" s="8"/>
      <c r="CU695" s="8"/>
      <c r="CV695" s="8"/>
      <c r="CW695" s="8"/>
      <c r="CX695" s="8"/>
      <c r="CY695" s="8"/>
      <c r="CZ695" s="8"/>
    </row>
    <row r="696" spans="26:104" x14ac:dyDescent="0.35">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c r="CT696" s="8"/>
      <c r="CU696" s="8"/>
      <c r="CV696" s="8"/>
      <c r="CW696" s="8"/>
      <c r="CX696" s="8"/>
      <c r="CY696" s="8"/>
      <c r="CZ696" s="8"/>
    </row>
    <row r="697" spans="26:104" x14ac:dyDescent="0.35">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c r="CT697" s="8"/>
      <c r="CU697" s="8"/>
      <c r="CV697" s="8"/>
      <c r="CW697" s="8"/>
      <c r="CX697" s="8"/>
      <c r="CY697" s="8"/>
      <c r="CZ697" s="8"/>
    </row>
    <row r="698" spans="26:104" x14ac:dyDescent="0.35">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c r="CT698" s="8"/>
      <c r="CU698" s="8"/>
      <c r="CV698" s="8"/>
      <c r="CW698" s="8"/>
      <c r="CX698" s="8"/>
      <c r="CY698" s="8"/>
      <c r="CZ698" s="8"/>
    </row>
    <row r="699" spans="26:104" x14ac:dyDescent="0.35">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c r="CT699" s="8"/>
      <c r="CU699" s="8"/>
      <c r="CV699" s="8"/>
      <c r="CW699" s="8"/>
      <c r="CX699" s="8"/>
      <c r="CY699" s="8"/>
      <c r="CZ699" s="8"/>
    </row>
    <row r="700" spans="26:104" x14ac:dyDescent="0.35">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c r="CT700" s="8"/>
      <c r="CU700" s="8"/>
      <c r="CV700" s="8"/>
      <c r="CW700" s="8"/>
      <c r="CX700" s="8"/>
      <c r="CY700" s="8"/>
      <c r="CZ700" s="8"/>
    </row>
    <row r="701" spans="26:104" x14ac:dyDescent="0.35">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c r="CT701" s="8"/>
      <c r="CU701" s="8"/>
      <c r="CV701" s="8"/>
      <c r="CW701" s="8"/>
      <c r="CX701" s="8"/>
      <c r="CY701" s="8"/>
      <c r="CZ701" s="8"/>
    </row>
    <row r="702" spans="26:104" x14ac:dyDescent="0.35">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c r="CT702" s="8"/>
      <c r="CU702" s="8"/>
      <c r="CV702" s="8"/>
      <c r="CW702" s="8"/>
      <c r="CX702" s="8"/>
      <c r="CY702" s="8"/>
      <c r="CZ702" s="8"/>
    </row>
    <row r="703" spans="26:104" x14ac:dyDescent="0.35">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c r="CT703" s="8"/>
      <c r="CU703" s="8"/>
      <c r="CV703" s="8"/>
      <c r="CW703" s="8"/>
      <c r="CX703" s="8"/>
      <c r="CY703" s="8"/>
      <c r="CZ703" s="8"/>
    </row>
    <row r="704" spans="26:104" x14ac:dyDescent="0.35">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c r="CT704" s="8"/>
      <c r="CU704" s="8"/>
      <c r="CV704" s="8"/>
      <c r="CW704" s="8"/>
      <c r="CX704" s="8"/>
      <c r="CY704" s="8"/>
      <c r="CZ704" s="8"/>
    </row>
    <row r="705" spans="26:104" x14ac:dyDescent="0.35">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c r="CT705" s="8"/>
      <c r="CU705" s="8"/>
      <c r="CV705" s="8"/>
      <c r="CW705" s="8"/>
      <c r="CX705" s="8"/>
      <c r="CY705" s="8"/>
      <c r="CZ705" s="8"/>
    </row>
    <row r="706" spans="26:104" x14ac:dyDescent="0.35">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c r="CT706" s="8"/>
      <c r="CU706" s="8"/>
      <c r="CV706" s="8"/>
      <c r="CW706" s="8"/>
      <c r="CX706" s="8"/>
      <c r="CY706" s="8"/>
      <c r="CZ706" s="8"/>
    </row>
    <row r="707" spans="26:104" x14ac:dyDescent="0.35">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c r="CT707" s="8"/>
      <c r="CU707" s="8"/>
      <c r="CV707" s="8"/>
      <c r="CW707" s="8"/>
      <c r="CX707" s="8"/>
      <c r="CY707" s="8"/>
      <c r="CZ707" s="8"/>
    </row>
    <row r="708" spans="26:104" x14ac:dyDescent="0.35">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c r="CT708" s="8"/>
      <c r="CU708" s="8"/>
      <c r="CV708" s="8"/>
      <c r="CW708" s="8"/>
      <c r="CX708" s="8"/>
      <c r="CY708" s="8"/>
      <c r="CZ708" s="8"/>
    </row>
    <row r="709" spans="26:104" x14ac:dyDescent="0.35">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c r="CT709" s="8"/>
      <c r="CU709" s="8"/>
      <c r="CV709" s="8"/>
      <c r="CW709" s="8"/>
      <c r="CX709" s="8"/>
      <c r="CY709" s="8"/>
      <c r="CZ709" s="8"/>
    </row>
    <row r="710" spans="26:104" x14ac:dyDescent="0.35">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c r="CT710" s="8"/>
      <c r="CU710" s="8"/>
      <c r="CV710" s="8"/>
      <c r="CW710" s="8"/>
      <c r="CX710" s="8"/>
      <c r="CY710" s="8"/>
      <c r="CZ710" s="8"/>
    </row>
    <row r="711" spans="26:104" x14ac:dyDescent="0.35">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c r="CT711" s="8"/>
      <c r="CU711" s="8"/>
      <c r="CV711" s="8"/>
      <c r="CW711" s="8"/>
      <c r="CX711" s="8"/>
      <c r="CY711" s="8"/>
      <c r="CZ711" s="8"/>
    </row>
    <row r="712" spans="26:104" x14ac:dyDescent="0.35">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c r="CT712" s="8"/>
      <c r="CU712" s="8"/>
      <c r="CV712" s="8"/>
      <c r="CW712" s="8"/>
      <c r="CX712" s="8"/>
      <c r="CY712" s="8"/>
      <c r="CZ712" s="8"/>
    </row>
    <row r="713" spans="26:104" x14ac:dyDescent="0.35">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c r="CT713" s="8"/>
      <c r="CU713" s="8"/>
      <c r="CV713" s="8"/>
      <c r="CW713" s="8"/>
      <c r="CX713" s="8"/>
      <c r="CY713" s="8"/>
      <c r="CZ713" s="8"/>
    </row>
    <row r="714" spans="26:104" x14ac:dyDescent="0.35">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c r="CT714" s="8"/>
      <c r="CU714" s="8"/>
      <c r="CV714" s="8"/>
      <c r="CW714" s="8"/>
      <c r="CX714" s="8"/>
      <c r="CY714" s="8"/>
      <c r="CZ714" s="8"/>
    </row>
    <row r="715" spans="26:104" x14ac:dyDescent="0.35">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c r="CT715" s="8"/>
      <c r="CU715" s="8"/>
      <c r="CV715" s="8"/>
      <c r="CW715" s="8"/>
      <c r="CX715" s="8"/>
      <c r="CY715" s="8"/>
      <c r="CZ715" s="8"/>
    </row>
    <row r="716" spans="26:104" x14ac:dyDescent="0.35">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c r="CT716" s="8"/>
      <c r="CU716" s="8"/>
      <c r="CV716" s="8"/>
      <c r="CW716" s="8"/>
      <c r="CX716" s="8"/>
      <c r="CY716" s="8"/>
      <c r="CZ716" s="8"/>
    </row>
    <row r="717" spans="26:104" x14ac:dyDescent="0.35">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c r="CT717" s="8"/>
      <c r="CU717" s="8"/>
      <c r="CV717" s="8"/>
      <c r="CW717" s="8"/>
      <c r="CX717" s="8"/>
      <c r="CY717" s="8"/>
      <c r="CZ717" s="8"/>
    </row>
    <row r="718" spans="26:104" x14ac:dyDescent="0.35">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c r="CT718" s="8"/>
      <c r="CU718" s="8"/>
      <c r="CV718" s="8"/>
      <c r="CW718" s="8"/>
      <c r="CX718" s="8"/>
      <c r="CY718" s="8"/>
      <c r="CZ718" s="8"/>
    </row>
    <row r="719" spans="26:104" x14ac:dyDescent="0.35">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c r="CT719" s="8"/>
      <c r="CU719" s="8"/>
      <c r="CV719" s="8"/>
      <c r="CW719" s="8"/>
      <c r="CX719" s="8"/>
      <c r="CY719" s="8"/>
      <c r="CZ719" s="8"/>
    </row>
    <row r="720" spans="26:104" x14ac:dyDescent="0.35">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c r="CT720" s="8"/>
      <c r="CU720" s="8"/>
      <c r="CV720" s="8"/>
      <c r="CW720" s="8"/>
      <c r="CX720" s="8"/>
      <c r="CY720" s="8"/>
      <c r="CZ720" s="8"/>
    </row>
    <row r="721" spans="26:104" x14ac:dyDescent="0.35">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c r="CT721" s="8"/>
      <c r="CU721" s="8"/>
      <c r="CV721" s="8"/>
      <c r="CW721" s="8"/>
      <c r="CX721" s="8"/>
      <c r="CY721" s="8"/>
      <c r="CZ721" s="8"/>
    </row>
    <row r="722" spans="26:104" x14ac:dyDescent="0.35">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c r="CT722" s="8"/>
      <c r="CU722" s="8"/>
      <c r="CV722" s="8"/>
      <c r="CW722" s="8"/>
      <c r="CX722" s="8"/>
      <c r="CY722" s="8"/>
      <c r="CZ722" s="8"/>
    </row>
    <row r="723" spans="26:104" x14ac:dyDescent="0.35">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c r="CT723" s="8"/>
      <c r="CU723" s="8"/>
      <c r="CV723" s="8"/>
      <c r="CW723" s="8"/>
      <c r="CX723" s="8"/>
      <c r="CY723" s="8"/>
      <c r="CZ723" s="8"/>
    </row>
    <row r="724" spans="26:104" x14ac:dyDescent="0.35">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c r="CT724" s="8"/>
      <c r="CU724" s="8"/>
      <c r="CV724" s="8"/>
      <c r="CW724" s="8"/>
      <c r="CX724" s="8"/>
      <c r="CY724" s="8"/>
      <c r="CZ724" s="8"/>
    </row>
    <row r="725" spans="26:104" x14ac:dyDescent="0.35">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c r="CT725" s="8"/>
      <c r="CU725" s="8"/>
      <c r="CV725" s="8"/>
      <c r="CW725" s="8"/>
      <c r="CX725" s="8"/>
      <c r="CY725" s="8"/>
      <c r="CZ725" s="8"/>
    </row>
    <row r="726" spans="26:104" x14ac:dyDescent="0.35">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c r="CT726" s="8"/>
      <c r="CU726" s="8"/>
      <c r="CV726" s="8"/>
      <c r="CW726" s="8"/>
      <c r="CX726" s="8"/>
      <c r="CY726" s="8"/>
      <c r="CZ726" s="8"/>
    </row>
    <row r="727" spans="26:104" x14ac:dyDescent="0.35">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c r="CT727" s="8"/>
      <c r="CU727" s="8"/>
      <c r="CV727" s="8"/>
      <c r="CW727" s="8"/>
      <c r="CX727" s="8"/>
      <c r="CY727" s="8"/>
      <c r="CZ727" s="8"/>
    </row>
    <row r="728" spans="26:104" x14ac:dyDescent="0.35">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c r="CT728" s="8"/>
      <c r="CU728" s="8"/>
      <c r="CV728" s="8"/>
      <c r="CW728" s="8"/>
      <c r="CX728" s="8"/>
      <c r="CY728" s="8"/>
      <c r="CZ728" s="8"/>
    </row>
    <row r="729" spans="26:104" x14ac:dyDescent="0.35">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c r="CT729" s="8"/>
      <c r="CU729" s="8"/>
      <c r="CV729" s="8"/>
      <c r="CW729" s="8"/>
      <c r="CX729" s="8"/>
      <c r="CY729" s="8"/>
      <c r="CZ729" s="8"/>
    </row>
    <row r="730" spans="26:104" x14ac:dyDescent="0.35">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c r="CT730" s="8"/>
      <c r="CU730" s="8"/>
      <c r="CV730" s="8"/>
      <c r="CW730" s="8"/>
      <c r="CX730" s="8"/>
      <c r="CY730" s="8"/>
      <c r="CZ730" s="8"/>
    </row>
    <row r="731" spans="26:104" x14ac:dyDescent="0.35">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c r="CT731" s="8"/>
      <c r="CU731" s="8"/>
      <c r="CV731" s="8"/>
      <c r="CW731" s="8"/>
      <c r="CX731" s="8"/>
      <c r="CY731" s="8"/>
      <c r="CZ731" s="8"/>
    </row>
    <row r="732" spans="26:104" x14ac:dyDescent="0.35">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c r="CT732" s="8"/>
      <c r="CU732" s="8"/>
      <c r="CV732" s="8"/>
      <c r="CW732" s="8"/>
      <c r="CX732" s="8"/>
      <c r="CY732" s="8"/>
      <c r="CZ732" s="8"/>
    </row>
    <row r="733" spans="26:104" x14ac:dyDescent="0.35">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c r="CT733" s="8"/>
      <c r="CU733" s="8"/>
      <c r="CV733" s="8"/>
      <c r="CW733" s="8"/>
      <c r="CX733" s="8"/>
      <c r="CY733" s="8"/>
      <c r="CZ733" s="8"/>
    </row>
    <row r="734" spans="26:104" x14ac:dyDescent="0.35">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c r="CT734" s="8"/>
      <c r="CU734" s="8"/>
      <c r="CV734" s="8"/>
      <c r="CW734" s="8"/>
      <c r="CX734" s="8"/>
      <c r="CY734" s="8"/>
      <c r="CZ734" s="8"/>
    </row>
    <row r="735" spans="26:104" x14ac:dyDescent="0.35">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c r="CT735" s="8"/>
      <c r="CU735" s="8"/>
      <c r="CV735" s="8"/>
      <c r="CW735" s="8"/>
      <c r="CX735" s="8"/>
      <c r="CY735" s="8"/>
      <c r="CZ735" s="8"/>
    </row>
    <row r="736" spans="26:104" x14ac:dyDescent="0.35">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c r="CT736" s="8"/>
      <c r="CU736" s="8"/>
      <c r="CV736" s="8"/>
      <c r="CW736" s="8"/>
      <c r="CX736" s="8"/>
      <c r="CY736" s="8"/>
      <c r="CZ736" s="8"/>
    </row>
    <row r="737" spans="26:104" x14ac:dyDescent="0.35">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c r="CT737" s="8"/>
      <c r="CU737" s="8"/>
      <c r="CV737" s="8"/>
      <c r="CW737" s="8"/>
      <c r="CX737" s="8"/>
      <c r="CY737" s="8"/>
      <c r="CZ737" s="8"/>
    </row>
    <row r="738" spans="26:104" x14ac:dyDescent="0.35">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c r="CT738" s="8"/>
      <c r="CU738" s="8"/>
      <c r="CV738" s="8"/>
      <c r="CW738" s="8"/>
      <c r="CX738" s="8"/>
      <c r="CY738" s="8"/>
      <c r="CZ738" s="8"/>
    </row>
    <row r="739" spans="26:104" x14ac:dyDescent="0.35">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c r="CT739" s="8"/>
      <c r="CU739" s="8"/>
      <c r="CV739" s="8"/>
      <c r="CW739" s="8"/>
      <c r="CX739" s="8"/>
      <c r="CY739" s="8"/>
      <c r="CZ739" s="8"/>
    </row>
    <row r="740" spans="26:104" x14ac:dyDescent="0.35">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c r="CT740" s="8"/>
      <c r="CU740" s="8"/>
      <c r="CV740" s="8"/>
      <c r="CW740" s="8"/>
      <c r="CX740" s="8"/>
      <c r="CY740" s="8"/>
      <c r="CZ740" s="8"/>
    </row>
    <row r="741" spans="26:104" x14ac:dyDescent="0.35">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c r="CT741" s="8"/>
      <c r="CU741" s="8"/>
      <c r="CV741" s="8"/>
      <c r="CW741" s="8"/>
      <c r="CX741" s="8"/>
      <c r="CY741" s="8"/>
      <c r="CZ741" s="8"/>
    </row>
    <row r="742" spans="26:104" x14ac:dyDescent="0.35">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c r="CT742" s="8"/>
      <c r="CU742" s="8"/>
      <c r="CV742" s="8"/>
      <c r="CW742" s="8"/>
      <c r="CX742" s="8"/>
      <c r="CY742" s="8"/>
      <c r="CZ742" s="8"/>
    </row>
    <row r="743" spans="26:104" x14ac:dyDescent="0.35">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c r="CT743" s="8"/>
      <c r="CU743" s="8"/>
      <c r="CV743" s="8"/>
      <c r="CW743" s="8"/>
      <c r="CX743" s="8"/>
      <c r="CY743" s="8"/>
      <c r="CZ743" s="8"/>
    </row>
    <row r="744" spans="26:104" x14ac:dyDescent="0.35">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c r="CT744" s="8"/>
      <c r="CU744" s="8"/>
      <c r="CV744" s="8"/>
      <c r="CW744" s="8"/>
      <c r="CX744" s="8"/>
      <c r="CY744" s="8"/>
      <c r="CZ744" s="8"/>
    </row>
    <row r="745" spans="26:104" x14ac:dyDescent="0.35">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c r="CT745" s="8"/>
      <c r="CU745" s="8"/>
      <c r="CV745" s="8"/>
      <c r="CW745" s="8"/>
      <c r="CX745" s="8"/>
      <c r="CY745" s="8"/>
      <c r="CZ745" s="8"/>
    </row>
    <row r="746" spans="26:104" x14ac:dyDescent="0.35">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c r="CT746" s="8"/>
      <c r="CU746" s="8"/>
      <c r="CV746" s="8"/>
      <c r="CW746" s="8"/>
      <c r="CX746" s="8"/>
      <c r="CY746" s="8"/>
      <c r="CZ746" s="8"/>
    </row>
    <row r="747" spans="26:104" x14ac:dyDescent="0.35">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c r="CT747" s="8"/>
      <c r="CU747" s="8"/>
      <c r="CV747" s="8"/>
      <c r="CW747" s="8"/>
      <c r="CX747" s="8"/>
      <c r="CY747" s="8"/>
      <c r="CZ747" s="8"/>
    </row>
    <row r="748" spans="26:104" x14ac:dyDescent="0.35">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c r="CT748" s="8"/>
      <c r="CU748" s="8"/>
      <c r="CV748" s="8"/>
      <c r="CW748" s="8"/>
      <c r="CX748" s="8"/>
      <c r="CY748" s="8"/>
      <c r="CZ748" s="8"/>
    </row>
    <row r="749" spans="26:104" x14ac:dyDescent="0.35">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c r="CT749" s="8"/>
      <c r="CU749" s="8"/>
      <c r="CV749" s="8"/>
      <c r="CW749" s="8"/>
      <c r="CX749" s="8"/>
      <c r="CY749" s="8"/>
      <c r="CZ749" s="8"/>
    </row>
    <row r="750" spans="26:104" x14ac:dyDescent="0.35">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c r="CT750" s="8"/>
      <c r="CU750" s="8"/>
      <c r="CV750" s="8"/>
      <c r="CW750" s="8"/>
      <c r="CX750" s="8"/>
      <c r="CY750" s="8"/>
      <c r="CZ750" s="8"/>
    </row>
    <row r="751" spans="26:104" x14ac:dyDescent="0.35">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c r="CT751" s="8"/>
      <c r="CU751" s="8"/>
      <c r="CV751" s="8"/>
      <c r="CW751" s="8"/>
      <c r="CX751" s="8"/>
      <c r="CY751" s="8"/>
      <c r="CZ751" s="8"/>
    </row>
    <row r="752" spans="26:104" x14ac:dyDescent="0.35">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c r="CT752" s="8"/>
      <c r="CU752" s="8"/>
      <c r="CV752" s="8"/>
      <c r="CW752" s="8"/>
      <c r="CX752" s="8"/>
      <c r="CY752" s="8"/>
      <c r="CZ752" s="8"/>
    </row>
    <row r="753" spans="26:104" x14ac:dyDescent="0.35">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c r="CT753" s="8"/>
      <c r="CU753" s="8"/>
      <c r="CV753" s="8"/>
      <c r="CW753" s="8"/>
      <c r="CX753" s="8"/>
      <c r="CY753" s="8"/>
      <c r="CZ753" s="8"/>
    </row>
    <row r="754" spans="26:104" x14ac:dyDescent="0.35">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c r="CT754" s="8"/>
      <c r="CU754" s="8"/>
      <c r="CV754" s="8"/>
      <c r="CW754" s="8"/>
      <c r="CX754" s="8"/>
      <c r="CY754" s="8"/>
      <c r="CZ754" s="8"/>
    </row>
    <row r="755" spans="26:104" x14ac:dyDescent="0.35">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c r="CT755" s="8"/>
      <c r="CU755" s="8"/>
      <c r="CV755" s="8"/>
      <c r="CW755" s="8"/>
      <c r="CX755" s="8"/>
      <c r="CY755" s="8"/>
      <c r="CZ755" s="8"/>
    </row>
    <row r="756" spans="26:104" x14ac:dyDescent="0.35">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c r="CT756" s="8"/>
      <c r="CU756" s="8"/>
      <c r="CV756" s="8"/>
      <c r="CW756" s="8"/>
      <c r="CX756" s="8"/>
      <c r="CY756" s="8"/>
      <c r="CZ756" s="8"/>
    </row>
    <row r="757" spans="26:104" x14ac:dyDescent="0.35">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c r="CT757" s="8"/>
      <c r="CU757" s="8"/>
      <c r="CV757" s="8"/>
      <c r="CW757" s="8"/>
      <c r="CX757" s="8"/>
      <c r="CY757" s="8"/>
      <c r="CZ757" s="8"/>
    </row>
    <row r="758" spans="26:104" x14ac:dyDescent="0.35">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c r="CT758" s="8"/>
      <c r="CU758" s="8"/>
      <c r="CV758" s="8"/>
      <c r="CW758" s="8"/>
      <c r="CX758" s="8"/>
      <c r="CY758" s="8"/>
      <c r="CZ758" s="8"/>
    </row>
    <row r="759" spans="26:104" x14ac:dyDescent="0.35">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c r="CT759" s="8"/>
      <c r="CU759" s="8"/>
      <c r="CV759" s="8"/>
      <c r="CW759" s="8"/>
      <c r="CX759" s="8"/>
      <c r="CY759" s="8"/>
      <c r="CZ759" s="8"/>
    </row>
    <row r="760" spans="26:104" x14ac:dyDescent="0.35">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c r="CT760" s="8"/>
      <c r="CU760" s="8"/>
      <c r="CV760" s="8"/>
      <c r="CW760" s="8"/>
      <c r="CX760" s="8"/>
      <c r="CY760" s="8"/>
      <c r="CZ760" s="8"/>
    </row>
    <row r="761" spans="26:104" x14ac:dyDescent="0.35">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c r="CT761" s="8"/>
      <c r="CU761" s="8"/>
      <c r="CV761" s="8"/>
      <c r="CW761" s="8"/>
      <c r="CX761" s="8"/>
      <c r="CY761" s="8"/>
      <c r="CZ761" s="8"/>
    </row>
    <row r="762" spans="26:104" x14ac:dyDescent="0.35">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c r="CT762" s="8"/>
      <c r="CU762" s="8"/>
      <c r="CV762" s="8"/>
      <c r="CW762" s="8"/>
      <c r="CX762" s="8"/>
      <c r="CY762" s="8"/>
      <c r="CZ762" s="8"/>
    </row>
    <row r="763" spans="26:104" x14ac:dyDescent="0.35">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c r="CT763" s="8"/>
      <c r="CU763" s="8"/>
      <c r="CV763" s="8"/>
      <c r="CW763" s="8"/>
      <c r="CX763" s="8"/>
      <c r="CY763" s="8"/>
      <c r="CZ763" s="8"/>
    </row>
    <row r="764" spans="26:104" x14ac:dyDescent="0.35">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c r="CT764" s="8"/>
      <c r="CU764" s="8"/>
      <c r="CV764" s="8"/>
      <c r="CW764" s="8"/>
      <c r="CX764" s="8"/>
      <c r="CY764" s="8"/>
      <c r="CZ764" s="8"/>
    </row>
    <row r="765" spans="26:104" x14ac:dyDescent="0.35">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c r="CT765" s="8"/>
      <c r="CU765" s="8"/>
      <c r="CV765" s="8"/>
      <c r="CW765" s="8"/>
      <c r="CX765" s="8"/>
      <c r="CY765" s="8"/>
      <c r="CZ765" s="8"/>
    </row>
    <row r="766" spans="26:104" x14ac:dyDescent="0.35">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c r="CT766" s="8"/>
      <c r="CU766" s="8"/>
      <c r="CV766" s="8"/>
      <c r="CW766" s="8"/>
      <c r="CX766" s="8"/>
      <c r="CY766" s="8"/>
      <c r="CZ766" s="8"/>
    </row>
    <row r="767" spans="26:104" x14ac:dyDescent="0.35">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c r="CT767" s="8"/>
      <c r="CU767" s="8"/>
      <c r="CV767" s="8"/>
      <c r="CW767" s="8"/>
      <c r="CX767" s="8"/>
      <c r="CY767" s="8"/>
      <c r="CZ767" s="8"/>
    </row>
    <row r="768" spans="26:104" x14ac:dyDescent="0.35">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c r="CT768" s="8"/>
      <c r="CU768" s="8"/>
      <c r="CV768" s="8"/>
      <c r="CW768" s="8"/>
      <c r="CX768" s="8"/>
      <c r="CY768" s="8"/>
      <c r="CZ768" s="8"/>
    </row>
    <row r="769" spans="26:104" x14ac:dyDescent="0.35">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c r="CT769" s="8"/>
      <c r="CU769" s="8"/>
      <c r="CV769" s="8"/>
      <c r="CW769" s="8"/>
      <c r="CX769" s="8"/>
      <c r="CY769" s="8"/>
      <c r="CZ769" s="8"/>
    </row>
    <row r="770" spans="26:104" x14ac:dyDescent="0.35">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c r="CT770" s="8"/>
      <c r="CU770" s="8"/>
      <c r="CV770" s="8"/>
      <c r="CW770" s="8"/>
      <c r="CX770" s="8"/>
      <c r="CY770" s="8"/>
      <c r="CZ770" s="8"/>
    </row>
    <row r="771" spans="26:104" x14ac:dyDescent="0.35">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c r="CT771" s="8"/>
      <c r="CU771" s="8"/>
      <c r="CV771" s="8"/>
      <c r="CW771" s="8"/>
      <c r="CX771" s="8"/>
      <c r="CY771" s="8"/>
      <c r="CZ771" s="8"/>
    </row>
    <row r="772" spans="26:104" x14ac:dyDescent="0.35">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c r="CT772" s="8"/>
      <c r="CU772" s="8"/>
      <c r="CV772" s="8"/>
      <c r="CW772" s="8"/>
      <c r="CX772" s="8"/>
      <c r="CY772" s="8"/>
      <c r="CZ772" s="8"/>
    </row>
    <row r="773" spans="26:104" x14ac:dyDescent="0.35">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c r="CT773" s="8"/>
      <c r="CU773" s="8"/>
      <c r="CV773" s="8"/>
      <c r="CW773" s="8"/>
      <c r="CX773" s="8"/>
      <c r="CY773" s="8"/>
      <c r="CZ773" s="8"/>
    </row>
    <row r="774" spans="26:104" x14ac:dyDescent="0.35">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c r="CT774" s="8"/>
      <c r="CU774" s="8"/>
      <c r="CV774" s="8"/>
      <c r="CW774" s="8"/>
      <c r="CX774" s="8"/>
      <c r="CY774" s="8"/>
      <c r="CZ774" s="8"/>
    </row>
    <row r="775" spans="26:104" x14ac:dyDescent="0.35">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c r="CT775" s="8"/>
      <c r="CU775" s="8"/>
      <c r="CV775" s="8"/>
      <c r="CW775" s="8"/>
      <c r="CX775" s="8"/>
      <c r="CY775" s="8"/>
      <c r="CZ775" s="8"/>
    </row>
    <row r="776" spans="26:104" x14ac:dyDescent="0.35">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c r="CT776" s="8"/>
      <c r="CU776" s="8"/>
      <c r="CV776" s="8"/>
      <c r="CW776" s="8"/>
      <c r="CX776" s="8"/>
      <c r="CY776" s="8"/>
      <c r="CZ776" s="8"/>
    </row>
    <row r="777" spans="26:104" x14ac:dyDescent="0.35">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c r="CT777" s="8"/>
      <c r="CU777" s="8"/>
      <c r="CV777" s="8"/>
      <c r="CW777" s="8"/>
      <c r="CX777" s="8"/>
      <c r="CY777" s="8"/>
      <c r="CZ777" s="8"/>
    </row>
    <row r="778" spans="26:104" x14ac:dyDescent="0.35">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c r="CT778" s="8"/>
      <c r="CU778" s="8"/>
      <c r="CV778" s="8"/>
      <c r="CW778" s="8"/>
      <c r="CX778" s="8"/>
      <c r="CY778" s="8"/>
      <c r="CZ778" s="8"/>
    </row>
    <row r="779" spans="26:104" x14ac:dyDescent="0.35">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c r="CT779" s="8"/>
      <c r="CU779" s="8"/>
      <c r="CV779" s="8"/>
      <c r="CW779" s="8"/>
      <c r="CX779" s="8"/>
      <c r="CY779" s="8"/>
      <c r="CZ779" s="8"/>
    </row>
    <row r="780" spans="26:104" x14ac:dyDescent="0.35">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c r="CT780" s="8"/>
      <c r="CU780" s="8"/>
      <c r="CV780" s="8"/>
      <c r="CW780" s="8"/>
      <c r="CX780" s="8"/>
      <c r="CY780" s="8"/>
      <c r="CZ780" s="8"/>
    </row>
    <row r="781" spans="26:104" x14ac:dyDescent="0.35">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c r="CT781" s="8"/>
      <c r="CU781" s="8"/>
      <c r="CV781" s="8"/>
      <c r="CW781" s="8"/>
      <c r="CX781" s="8"/>
      <c r="CY781" s="8"/>
      <c r="CZ781" s="8"/>
    </row>
    <row r="782" spans="26:104" x14ac:dyDescent="0.35">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c r="CT782" s="8"/>
      <c r="CU782" s="8"/>
      <c r="CV782" s="8"/>
      <c r="CW782" s="8"/>
      <c r="CX782" s="8"/>
      <c r="CY782" s="8"/>
      <c r="CZ782" s="8"/>
    </row>
    <row r="783" spans="26:104" x14ac:dyDescent="0.35">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c r="CT783" s="8"/>
      <c r="CU783" s="8"/>
      <c r="CV783" s="8"/>
      <c r="CW783" s="8"/>
      <c r="CX783" s="8"/>
      <c r="CY783" s="8"/>
      <c r="CZ783" s="8"/>
    </row>
    <row r="784" spans="26:104" x14ac:dyDescent="0.35">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c r="CT784" s="8"/>
      <c r="CU784" s="8"/>
      <c r="CV784" s="8"/>
      <c r="CW784" s="8"/>
      <c r="CX784" s="8"/>
      <c r="CY784" s="8"/>
      <c r="CZ784" s="8"/>
    </row>
    <row r="785" spans="26:104" x14ac:dyDescent="0.35">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c r="CT785" s="8"/>
      <c r="CU785" s="8"/>
      <c r="CV785" s="8"/>
      <c r="CW785" s="8"/>
      <c r="CX785" s="8"/>
      <c r="CY785" s="8"/>
      <c r="CZ785" s="8"/>
    </row>
    <row r="786" spans="26:104" x14ac:dyDescent="0.35">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c r="CT786" s="8"/>
      <c r="CU786" s="8"/>
      <c r="CV786" s="8"/>
      <c r="CW786" s="8"/>
      <c r="CX786" s="8"/>
      <c r="CY786" s="8"/>
      <c r="CZ786" s="8"/>
    </row>
    <row r="787" spans="26:104" x14ac:dyDescent="0.35">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c r="CT787" s="8"/>
      <c r="CU787" s="8"/>
      <c r="CV787" s="8"/>
      <c r="CW787" s="8"/>
      <c r="CX787" s="8"/>
      <c r="CY787" s="8"/>
      <c r="CZ787" s="8"/>
    </row>
    <row r="788" spans="26:104" x14ac:dyDescent="0.35">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c r="CR788" s="8"/>
      <c r="CS788" s="8"/>
      <c r="CT788" s="8"/>
      <c r="CU788" s="8"/>
      <c r="CV788" s="8"/>
      <c r="CW788" s="8"/>
      <c r="CX788" s="8"/>
      <c r="CY788" s="8"/>
      <c r="CZ788" s="8"/>
    </row>
    <row r="789" spans="26:104" x14ac:dyDescent="0.35">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c r="CR789" s="8"/>
      <c r="CS789" s="8"/>
      <c r="CT789" s="8"/>
      <c r="CU789" s="8"/>
      <c r="CV789" s="8"/>
      <c r="CW789" s="8"/>
      <c r="CX789" s="8"/>
      <c r="CY789" s="8"/>
      <c r="CZ789" s="8"/>
    </row>
    <row r="790" spans="26:104" x14ac:dyDescent="0.35">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c r="CR790" s="8"/>
      <c r="CS790" s="8"/>
      <c r="CT790" s="8"/>
      <c r="CU790" s="8"/>
      <c r="CV790" s="8"/>
      <c r="CW790" s="8"/>
      <c r="CX790" s="8"/>
      <c r="CY790" s="8"/>
      <c r="CZ790" s="8"/>
    </row>
    <row r="791" spans="26:104" x14ac:dyDescent="0.35">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c r="CT791" s="8"/>
      <c r="CU791" s="8"/>
      <c r="CV791" s="8"/>
      <c r="CW791" s="8"/>
      <c r="CX791" s="8"/>
      <c r="CY791" s="8"/>
      <c r="CZ791" s="8"/>
    </row>
    <row r="792" spans="26:104" x14ac:dyDescent="0.35">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c r="CQ792" s="8"/>
      <c r="CR792" s="8"/>
      <c r="CS792" s="8"/>
      <c r="CT792" s="8"/>
      <c r="CU792" s="8"/>
      <c r="CV792" s="8"/>
      <c r="CW792" s="8"/>
      <c r="CX792" s="8"/>
      <c r="CY792" s="8"/>
      <c r="CZ792" s="8"/>
    </row>
    <row r="793" spans="26:104" x14ac:dyDescent="0.35">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c r="CT793" s="8"/>
      <c r="CU793" s="8"/>
      <c r="CV793" s="8"/>
      <c r="CW793" s="8"/>
      <c r="CX793" s="8"/>
      <c r="CY793" s="8"/>
      <c r="CZ793" s="8"/>
    </row>
    <row r="794" spans="26:104" x14ac:dyDescent="0.35">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c r="CQ794" s="8"/>
      <c r="CR794" s="8"/>
      <c r="CS794" s="8"/>
      <c r="CT794" s="8"/>
      <c r="CU794" s="8"/>
      <c r="CV794" s="8"/>
      <c r="CW794" s="8"/>
      <c r="CX794" s="8"/>
      <c r="CY794" s="8"/>
      <c r="CZ794" s="8"/>
    </row>
    <row r="795" spans="26:104" x14ac:dyDescent="0.35">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8"/>
      <c r="CS795" s="8"/>
      <c r="CT795" s="8"/>
      <c r="CU795" s="8"/>
      <c r="CV795" s="8"/>
      <c r="CW795" s="8"/>
      <c r="CX795" s="8"/>
      <c r="CY795" s="8"/>
      <c r="CZ795" s="8"/>
    </row>
    <row r="796" spans="26:104" x14ac:dyDescent="0.35">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c r="CR796" s="8"/>
      <c r="CS796" s="8"/>
      <c r="CT796" s="8"/>
      <c r="CU796" s="8"/>
      <c r="CV796" s="8"/>
      <c r="CW796" s="8"/>
      <c r="CX796" s="8"/>
      <c r="CY796" s="8"/>
      <c r="CZ796" s="8"/>
    </row>
    <row r="797" spans="26:104" x14ac:dyDescent="0.35">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c r="CQ797" s="8"/>
      <c r="CR797" s="8"/>
      <c r="CS797" s="8"/>
      <c r="CT797" s="8"/>
      <c r="CU797" s="8"/>
      <c r="CV797" s="8"/>
      <c r="CW797" s="8"/>
      <c r="CX797" s="8"/>
      <c r="CY797" s="8"/>
      <c r="CZ797" s="8"/>
    </row>
    <row r="798" spans="26:104" x14ac:dyDescent="0.35">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c r="CQ798" s="8"/>
      <c r="CR798" s="8"/>
      <c r="CS798" s="8"/>
      <c r="CT798" s="8"/>
      <c r="CU798" s="8"/>
      <c r="CV798" s="8"/>
      <c r="CW798" s="8"/>
      <c r="CX798" s="8"/>
      <c r="CY798" s="8"/>
      <c r="CZ798" s="8"/>
    </row>
    <row r="799" spans="26:104" x14ac:dyDescent="0.35">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c r="CT799" s="8"/>
      <c r="CU799" s="8"/>
      <c r="CV799" s="8"/>
      <c r="CW799" s="8"/>
      <c r="CX799" s="8"/>
      <c r="CY799" s="8"/>
      <c r="CZ799" s="8"/>
    </row>
    <row r="800" spans="26:104" x14ac:dyDescent="0.35">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c r="CT800" s="8"/>
      <c r="CU800" s="8"/>
      <c r="CV800" s="8"/>
      <c r="CW800" s="8"/>
      <c r="CX800" s="8"/>
      <c r="CY800" s="8"/>
      <c r="CZ800" s="8"/>
    </row>
    <row r="801" spans="26:104" x14ac:dyDescent="0.35">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c r="CQ801" s="8"/>
      <c r="CR801" s="8"/>
      <c r="CS801" s="8"/>
      <c r="CT801" s="8"/>
      <c r="CU801" s="8"/>
      <c r="CV801" s="8"/>
      <c r="CW801" s="8"/>
      <c r="CX801" s="8"/>
      <c r="CY801" s="8"/>
      <c r="CZ801" s="8"/>
    </row>
    <row r="802" spans="26:104" x14ac:dyDescent="0.35">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c r="CQ802" s="8"/>
      <c r="CR802" s="8"/>
      <c r="CS802" s="8"/>
      <c r="CT802" s="8"/>
      <c r="CU802" s="8"/>
      <c r="CV802" s="8"/>
      <c r="CW802" s="8"/>
      <c r="CX802" s="8"/>
      <c r="CY802" s="8"/>
      <c r="CZ802" s="8"/>
    </row>
    <row r="803" spans="26:104" x14ac:dyDescent="0.35">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c r="CQ803" s="8"/>
      <c r="CR803" s="8"/>
      <c r="CS803" s="8"/>
      <c r="CT803" s="8"/>
      <c r="CU803" s="8"/>
      <c r="CV803" s="8"/>
      <c r="CW803" s="8"/>
      <c r="CX803" s="8"/>
      <c r="CY803" s="8"/>
      <c r="CZ803" s="8"/>
    </row>
    <row r="804" spans="26:104" x14ac:dyDescent="0.35">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c r="CQ804" s="8"/>
      <c r="CR804" s="8"/>
      <c r="CS804" s="8"/>
      <c r="CT804" s="8"/>
      <c r="CU804" s="8"/>
      <c r="CV804" s="8"/>
      <c r="CW804" s="8"/>
      <c r="CX804" s="8"/>
      <c r="CY804" s="8"/>
      <c r="CZ804" s="8"/>
    </row>
    <row r="805" spans="26:104" x14ac:dyDescent="0.35">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c r="CQ805" s="8"/>
      <c r="CR805" s="8"/>
      <c r="CS805" s="8"/>
      <c r="CT805" s="8"/>
      <c r="CU805" s="8"/>
      <c r="CV805" s="8"/>
      <c r="CW805" s="8"/>
      <c r="CX805" s="8"/>
      <c r="CY805" s="8"/>
      <c r="CZ805" s="8"/>
    </row>
    <row r="806" spans="26:104" x14ac:dyDescent="0.35">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c r="CQ806" s="8"/>
      <c r="CR806" s="8"/>
      <c r="CS806" s="8"/>
      <c r="CT806" s="8"/>
      <c r="CU806" s="8"/>
      <c r="CV806" s="8"/>
      <c r="CW806" s="8"/>
      <c r="CX806" s="8"/>
      <c r="CY806" s="8"/>
      <c r="CZ806" s="8"/>
    </row>
    <row r="807" spans="26:104" x14ac:dyDescent="0.35">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c r="CQ807" s="8"/>
      <c r="CR807" s="8"/>
      <c r="CS807" s="8"/>
      <c r="CT807" s="8"/>
      <c r="CU807" s="8"/>
      <c r="CV807" s="8"/>
      <c r="CW807" s="8"/>
      <c r="CX807" s="8"/>
      <c r="CY807" s="8"/>
      <c r="CZ807" s="8"/>
    </row>
    <row r="808" spans="26:104" x14ac:dyDescent="0.35">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c r="CQ808" s="8"/>
      <c r="CR808" s="8"/>
      <c r="CS808" s="8"/>
      <c r="CT808" s="8"/>
      <c r="CU808" s="8"/>
      <c r="CV808" s="8"/>
      <c r="CW808" s="8"/>
      <c r="CX808" s="8"/>
      <c r="CY808" s="8"/>
      <c r="CZ808" s="8"/>
    </row>
    <row r="809" spans="26:104" x14ac:dyDescent="0.35">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c r="CQ809" s="8"/>
      <c r="CR809" s="8"/>
      <c r="CS809" s="8"/>
      <c r="CT809" s="8"/>
      <c r="CU809" s="8"/>
      <c r="CV809" s="8"/>
      <c r="CW809" s="8"/>
      <c r="CX809" s="8"/>
      <c r="CY809" s="8"/>
      <c r="CZ809" s="8"/>
    </row>
    <row r="810" spans="26:104" x14ac:dyDescent="0.35">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c r="CQ810" s="8"/>
      <c r="CR810" s="8"/>
      <c r="CS810" s="8"/>
      <c r="CT810" s="8"/>
      <c r="CU810" s="8"/>
      <c r="CV810" s="8"/>
      <c r="CW810" s="8"/>
      <c r="CX810" s="8"/>
      <c r="CY810" s="8"/>
      <c r="CZ810" s="8"/>
    </row>
    <row r="811" spans="26:104" x14ac:dyDescent="0.35">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c r="CQ811" s="8"/>
      <c r="CR811" s="8"/>
      <c r="CS811" s="8"/>
      <c r="CT811" s="8"/>
      <c r="CU811" s="8"/>
      <c r="CV811" s="8"/>
      <c r="CW811" s="8"/>
      <c r="CX811" s="8"/>
      <c r="CY811" s="8"/>
      <c r="CZ811" s="8"/>
    </row>
    <row r="812" spans="26:104" x14ac:dyDescent="0.35">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c r="CQ812" s="8"/>
      <c r="CR812" s="8"/>
      <c r="CS812" s="8"/>
      <c r="CT812" s="8"/>
      <c r="CU812" s="8"/>
      <c r="CV812" s="8"/>
      <c r="CW812" s="8"/>
      <c r="CX812" s="8"/>
      <c r="CY812" s="8"/>
      <c r="CZ812" s="8"/>
    </row>
    <row r="813" spans="26:104" x14ac:dyDescent="0.35">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c r="CQ813" s="8"/>
      <c r="CR813" s="8"/>
      <c r="CS813" s="8"/>
      <c r="CT813" s="8"/>
      <c r="CU813" s="8"/>
      <c r="CV813" s="8"/>
      <c r="CW813" s="8"/>
      <c r="CX813" s="8"/>
      <c r="CY813" s="8"/>
      <c r="CZ813" s="8"/>
    </row>
    <row r="814" spans="26:104" x14ac:dyDescent="0.35">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c r="CQ814" s="8"/>
      <c r="CR814" s="8"/>
      <c r="CS814" s="8"/>
      <c r="CT814" s="8"/>
      <c r="CU814" s="8"/>
      <c r="CV814" s="8"/>
      <c r="CW814" s="8"/>
      <c r="CX814" s="8"/>
      <c r="CY814" s="8"/>
      <c r="CZ814" s="8"/>
    </row>
    <row r="815" spans="26:104" x14ac:dyDescent="0.35">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c r="CT815" s="8"/>
      <c r="CU815" s="8"/>
      <c r="CV815" s="8"/>
      <c r="CW815" s="8"/>
      <c r="CX815" s="8"/>
      <c r="CY815" s="8"/>
      <c r="CZ815" s="8"/>
    </row>
    <row r="816" spans="26:104" x14ac:dyDescent="0.35">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c r="CQ816" s="8"/>
      <c r="CR816" s="8"/>
      <c r="CS816" s="8"/>
      <c r="CT816" s="8"/>
      <c r="CU816" s="8"/>
      <c r="CV816" s="8"/>
      <c r="CW816" s="8"/>
      <c r="CX816" s="8"/>
      <c r="CY816" s="8"/>
      <c r="CZ816" s="8"/>
    </row>
    <row r="817" spans="26:104" x14ac:dyDescent="0.35">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c r="CT817" s="8"/>
      <c r="CU817" s="8"/>
      <c r="CV817" s="8"/>
      <c r="CW817" s="8"/>
      <c r="CX817" s="8"/>
      <c r="CY817" s="8"/>
      <c r="CZ817" s="8"/>
    </row>
    <row r="818" spans="26:104" x14ac:dyDescent="0.35">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c r="CT818" s="8"/>
      <c r="CU818" s="8"/>
      <c r="CV818" s="8"/>
      <c r="CW818" s="8"/>
      <c r="CX818" s="8"/>
      <c r="CY818" s="8"/>
      <c r="CZ818" s="8"/>
    </row>
    <row r="819" spans="26:104" x14ac:dyDescent="0.35">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c r="CT819" s="8"/>
      <c r="CU819" s="8"/>
      <c r="CV819" s="8"/>
      <c r="CW819" s="8"/>
      <c r="CX819" s="8"/>
      <c r="CY819" s="8"/>
      <c r="CZ819" s="8"/>
    </row>
    <row r="820" spans="26:104" x14ac:dyDescent="0.35">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c r="CQ820" s="8"/>
      <c r="CR820" s="8"/>
      <c r="CS820" s="8"/>
      <c r="CT820" s="8"/>
      <c r="CU820" s="8"/>
      <c r="CV820" s="8"/>
      <c r="CW820" s="8"/>
      <c r="CX820" s="8"/>
      <c r="CY820" s="8"/>
      <c r="CZ820" s="8"/>
    </row>
    <row r="821" spans="26:104" x14ac:dyDescent="0.35">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c r="CQ821" s="8"/>
      <c r="CR821" s="8"/>
      <c r="CS821" s="8"/>
      <c r="CT821" s="8"/>
      <c r="CU821" s="8"/>
      <c r="CV821" s="8"/>
      <c r="CW821" s="8"/>
      <c r="CX821" s="8"/>
      <c r="CY821" s="8"/>
      <c r="CZ821" s="8"/>
    </row>
    <row r="822" spans="26:104" x14ac:dyDescent="0.35">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c r="CQ822" s="8"/>
      <c r="CR822" s="8"/>
      <c r="CS822" s="8"/>
      <c r="CT822" s="8"/>
      <c r="CU822" s="8"/>
      <c r="CV822" s="8"/>
      <c r="CW822" s="8"/>
      <c r="CX822" s="8"/>
      <c r="CY822" s="8"/>
      <c r="CZ822" s="8"/>
    </row>
    <row r="823" spans="26:104" x14ac:dyDescent="0.35">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c r="CQ823" s="8"/>
      <c r="CR823" s="8"/>
      <c r="CS823" s="8"/>
      <c r="CT823" s="8"/>
      <c r="CU823" s="8"/>
      <c r="CV823" s="8"/>
      <c r="CW823" s="8"/>
      <c r="CX823" s="8"/>
      <c r="CY823" s="8"/>
      <c r="CZ823" s="8"/>
    </row>
    <row r="824" spans="26:104" x14ac:dyDescent="0.35">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c r="CQ824" s="8"/>
      <c r="CR824" s="8"/>
      <c r="CS824" s="8"/>
      <c r="CT824" s="8"/>
      <c r="CU824" s="8"/>
      <c r="CV824" s="8"/>
      <c r="CW824" s="8"/>
      <c r="CX824" s="8"/>
      <c r="CY824" s="8"/>
      <c r="CZ824" s="8"/>
    </row>
    <row r="825" spans="26:104" x14ac:dyDescent="0.35">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c r="CQ825" s="8"/>
      <c r="CR825" s="8"/>
      <c r="CS825" s="8"/>
      <c r="CT825" s="8"/>
      <c r="CU825" s="8"/>
      <c r="CV825" s="8"/>
      <c r="CW825" s="8"/>
      <c r="CX825" s="8"/>
      <c r="CY825" s="8"/>
      <c r="CZ825" s="8"/>
    </row>
    <row r="826" spans="26:104" x14ac:dyDescent="0.35">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c r="CQ826" s="8"/>
      <c r="CR826" s="8"/>
      <c r="CS826" s="8"/>
      <c r="CT826" s="8"/>
      <c r="CU826" s="8"/>
      <c r="CV826" s="8"/>
      <c r="CW826" s="8"/>
      <c r="CX826" s="8"/>
      <c r="CY826" s="8"/>
      <c r="CZ826" s="8"/>
    </row>
    <row r="827" spans="26:104" x14ac:dyDescent="0.35">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c r="CT827" s="8"/>
      <c r="CU827" s="8"/>
      <c r="CV827" s="8"/>
      <c r="CW827" s="8"/>
      <c r="CX827" s="8"/>
      <c r="CY827" s="8"/>
      <c r="CZ827" s="8"/>
    </row>
    <row r="828" spans="26:104" x14ac:dyDescent="0.35">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c r="CT828" s="8"/>
      <c r="CU828" s="8"/>
      <c r="CV828" s="8"/>
      <c r="CW828" s="8"/>
      <c r="CX828" s="8"/>
      <c r="CY828" s="8"/>
      <c r="CZ828" s="8"/>
    </row>
    <row r="829" spans="26:104" x14ac:dyDescent="0.35">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c r="CQ829" s="8"/>
      <c r="CR829" s="8"/>
      <c r="CS829" s="8"/>
      <c r="CT829" s="8"/>
      <c r="CU829" s="8"/>
      <c r="CV829" s="8"/>
      <c r="CW829" s="8"/>
      <c r="CX829" s="8"/>
      <c r="CY829" s="8"/>
      <c r="CZ829" s="8"/>
    </row>
    <row r="830" spans="26:104" x14ac:dyDescent="0.35">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c r="CQ830" s="8"/>
      <c r="CR830" s="8"/>
      <c r="CS830" s="8"/>
      <c r="CT830" s="8"/>
      <c r="CU830" s="8"/>
      <c r="CV830" s="8"/>
      <c r="CW830" s="8"/>
      <c r="CX830" s="8"/>
      <c r="CY830" s="8"/>
      <c r="CZ830" s="8"/>
    </row>
    <row r="831" spans="26:104" x14ac:dyDescent="0.35">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c r="CQ831" s="8"/>
      <c r="CR831" s="8"/>
      <c r="CS831" s="8"/>
      <c r="CT831" s="8"/>
      <c r="CU831" s="8"/>
      <c r="CV831" s="8"/>
      <c r="CW831" s="8"/>
      <c r="CX831" s="8"/>
      <c r="CY831" s="8"/>
      <c r="CZ831" s="8"/>
    </row>
    <row r="832" spans="26:104" x14ac:dyDescent="0.35">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c r="CT832" s="8"/>
      <c r="CU832" s="8"/>
      <c r="CV832" s="8"/>
      <c r="CW832" s="8"/>
      <c r="CX832" s="8"/>
      <c r="CY832" s="8"/>
      <c r="CZ832" s="8"/>
    </row>
    <row r="833" spans="26:104" x14ac:dyDescent="0.35">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c r="CT833" s="8"/>
      <c r="CU833" s="8"/>
      <c r="CV833" s="8"/>
      <c r="CW833" s="8"/>
      <c r="CX833" s="8"/>
      <c r="CY833" s="8"/>
      <c r="CZ833" s="8"/>
    </row>
    <row r="834" spans="26:104" x14ac:dyDescent="0.35">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c r="CQ834" s="8"/>
      <c r="CR834" s="8"/>
      <c r="CS834" s="8"/>
      <c r="CT834" s="8"/>
      <c r="CU834" s="8"/>
      <c r="CV834" s="8"/>
      <c r="CW834" s="8"/>
      <c r="CX834" s="8"/>
      <c r="CY834" s="8"/>
      <c r="CZ834" s="8"/>
    </row>
    <row r="835" spans="26:104" x14ac:dyDescent="0.35">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c r="CQ835" s="8"/>
      <c r="CR835" s="8"/>
      <c r="CS835" s="8"/>
      <c r="CT835" s="8"/>
      <c r="CU835" s="8"/>
      <c r="CV835" s="8"/>
      <c r="CW835" s="8"/>
      <c r="CX835" s="8"/>
      <c r="CY835" s="8"/>
      <c r="CZ835" s="8"/>
    </row>
    <row r="836" spans="26:104" x14ac:dyDescent="0.35">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c r="CQ836" s="8"/>
      <c r="CR836" s="8"/>
      <c r="CS836" s="8"/>
      <c r="CT836" s="8"/>
      <c r="CU836" s="8"/>
      <c r="CV836" s="8"/>
      <c r="CW836" s="8"/>
      <c r="CX836" s="8"/>
      <c r="CY836" s="8"/>
      <c r="CZ836" s="8"/>
    </row>
    <row r="837" spans="26:104" x14ac:dyDescent="0.35">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c r="CQ837" s="8"/>
      <c r="CR837" s="8"/>
      <c r="CS837" s="8"/>
      <c r="CT837" s="8"/>
      <c r="CU837" s="8"/>
      <c r="CV837" s="8"/>
      <c r="CW837" s="8"/>
      <c r="CX837" s="8"/>
      <c r="CY837" s="8"/>
      <c r="CZ837" s="8"/>
    </row>
    <row r="838" spans="26:104" x14ac:dyDescent="0.35">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c r="CQ838" s="8"/>
      <c r="CR838" s="8"/>
      <c r="CS838" s="8"/>
      <c r="CT838" s="8"/>
      <c r="CU838" s="8"/>
      <c r="CV838" s="8"/>
      <c r="CW838" s="8"/>
      <c r="CX838" s="8"/>
      <c r="CY838" s="8"/>
      <c r="CZ838" s="8"/>
    </row>
    <row r="839" spans="26:104" x14ac:dyDescent="0.35">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8"/>
      <c r="CS839" s="8"/>
      <c r="CT839" s="8"/>
      <c r="CU839" s="8"/>
      <c r="CV839" s="8"/>
      <c r="CW839" s="8"/>
      <c r="CX839" s="8"/>
      <c r="CY839" s="8"/>
      <c r="CZ839" s="8"/>
    </row>
    <row r="840" spans="26:104" x14ac:dyDescent="0.35">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c r="CQ840" s="8"/>
      <c r="CR840" s="8"/>
      <c r="CS840" s="8"/>
      <c r="CT840" s="8"/>
      <c r="CU840" s="8"/>
      <c r="CV840" s="8"/>
      <c r="CW840" s="8"/>
      <c r="CX840" s="8"/>
      <c r="CY840" s="8"/>
      <c r="CZ840" s="8"/>
    </row>
    <row r="841" spans="26:104" x14ac:dyDescent="0.35">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c r="CQ841" s="8"/>
      <c r="CR841" s="8"/>
      <c r="CS841" s="8"/>
      <c r="CT841" s="8"/>
      <c r="CU841" s="8"/>
      <c r="CV841" s="8"/>
      <c r="CW841" s="8"/>
      <c r="CX841" s="8"/>
      <c r="CY841" s="8"/>
      <c r="CZ841" s="8"/>
    </row>
    <row r="842" spans="26:104" x14ac:dyDescent="0.35">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c r="CR842" s="8"/>
      <c r="CS842" s="8"/>
      <c r="CT842" s="8"/>
      <c r="CU842" s="8"/>
      <c r="CV842" s="8"/>
      <c r="CW842" s="8"/>
      <c r="CX842" s="8"/>
      <c r="CY842" s="8"/>
      <c r="CZ842" s="8"/>
    </row>
    <row r="843" spans="26:104" x14ac:dyDescent="0.35">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c r="CQ843" s="8"/>
      <c r="CR843" s="8"/>
      <c r="CS843" s="8"/>
      <c r="CT843" s="8"/>
      <c r="CU843" s="8"/>
      <c r="CV843" s="8"/>
      <c r="CW843" s="8"/>
      <c r="CX843" s="8"/>
      <c r="CY843" s="8"/>
      <c r="CZ843" s="8"/>
    </row>
    <row r="844" spans="26:104" x14ac:dyDescent="0.35">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c r="CQ844" s="8"/>
      <c r="CR844" s="8"/>
      <c r="CS844" s="8"/>
      <c r="CT844" s="8"/>
      <c r="CU844" s="8"/>
      <c r="CV844" s="8"/>
      <c r="CW844" s="8"/>
      <c r="CX844" s="8"/>
      <c r="CY844" s="8"/>
      <c r="CZ844" s="8"/>
    </row>
    <row r="845" spans="26:104" x14ac:dyDescent="0.35">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c r="CQ845" s="8"/>
      <c r="CR845" s="8"/>
      <c r="CS845" s="8"/>
      <c r="CT845" s="8"/>
      <c r="CU845" s="8"/>
      <c r="CV845" s="8"/>
      <c r="CW845" s="8"/>
      <c r="CX845" s="8"/>
      <c r="CY845" s="8"/>
      <c r="CZ845" s="8"/>
    </row>
    <row r="846" spans="26:104" x14ac:dyDescent="0.35">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c r="CQ846" s="8"/>
      <c r="CR846" s="8"/>
      <c r="CS846" s="8"/>
      <c r="CT846" s="8"/>
      <c r="CU846" s="8"/>
      <c r="CV846" s="8"/>
      <c r="CW846" s="8"/>
      <c r="CX846" s="8"/>
      <c r="CY846" s="8"/>
      <c r="CZ846" s="8"/>
    </row>
    <row r="847" spans="26:104" x14ac:dyDescent="0.35">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c r="CT847" s="8"/>
      <c r="CU847" s="8"/>
      <c r="CV847" s="8"/>
      <c r="CW847" s="8"/>
      <c r="CX847" s="8"/>
      <c r="CY847" s="8"/>
      <c r="CZ847" s="8"/>
    </row>
    <row r="848" spans="26:104" x14ac:dyDescent="0.35">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c r="CR848" s="8"/>
      <c r="CS848" s="8"/>
      <c r="CT848" s="8"/>
      <c r="CU848" s="8"/>
      <c r="CV848" s="8"/>
      <c r="CW848" s="8"/>
      <c r="CX848" s="8"/>
      <c r="CY848" s="8"/>
      <c r="CZ848" s="8"/>
    </row>
    <row r="849" spans="26:104" x14ac:dyDescent="0.35">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c r="CQ849" s="8"/>
      <c r="CR849" s="8"/>
      <c r="CS849" s="8"/>
      <c r="CT849" s="8"/>
      <c r="CU849" s="8"/>
      <c r="CV849" s="8"/>
      <c r="CW849" s="8"/>
      <c r="CX849" s="8"/>
      <c r="CY849" s="8"/>
      <c r="CZ849" s="8"/>
    </row>
    <row r="850" spans="26:104" x14ac:dyDescent="0.35">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c r="CQ850" s="8"/>
      <c r="CR850" s="8"/>
      <c r="CS850" s="8"/>
      <c r="CT850" s="8"/>
      <c r="CU850" s="8"/>
      <c r="CV850" s="8"/>
      <c r="CW850" s="8"/>
      <c r="CX850" s="8"/>
      <c r="CY850" s="8"/>
      <c r="CZ850" s="8"/>
    </row>
    <row r="851" spans="26:104" x14ac:dyDescent="0.35">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c r="CR851" s="8"/>
      <c r="CS851" s="8"/>
      <c r="CT851" s="8"/>
      <c r="CU851" s="8"/>
      <c r="CV851" s="8"/>
      <c r="CW851" s="8"/>
      <c r="CX851" s="8"/>
      <c r="CY851" s="8"/>
      <c r="CZ851" s="8"/>
    </row>
    <row r="852" spans="26:104" x14ac:dyDescent="0.35">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c r="CT852" s="8"/>
      <c r="CU852" s="8"/>
      <c r="CV852" s="8"/>
      <c r="CW852" s="8"/>
      <c r="CX852" s="8"/>
      <c r="CY852" s="8"/>
      <c r="CZ852" s="8"/>
    </row>
    <row r="853" spans="26:104" x14ac:dyDescent="0.35">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c r="CQ853" s="8"/>
      <c r="CR853" s="8"/>
      <c r="CS853" s="8"/>
      <c r="CT853" s="8"/>
      <c r="CU853" s="8"/>
      <c r="CV853" s="8"/>
      <c r="CW853" s="8"/>
      <c r="CX853" s="8"/>
      <c r="CY853" s="8"/>
      <c r="CZ853" s="8"/>
    </row>
    <row r="854" spans="26:104" x14ac:dyDescent="0.35">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c r="CT854" s="8"/>
      <c r="CU854" s="8"/>
      <c r="CV854" s="8"/>
      <c r="CW854" s="8"/>
      <c r="CX854" s="8"/>
      <c r="CY854" s="8"/>
      <c r="CZ854" s="8"/>
    </row>
    <row r="855" spans="26:104" x14ac:dyDescent="0.35">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c r="CQ855" s="8"/>
      <c r="CR855" s="8"/>
      <c r="CS855" s="8"/>
      <c r="CT855" s="8"/>
      <c r="CU855" s="8"/>
      <c r="CV855" s="8"/>
      <c r="CW855" s="8"/>
      <c r="CX855" s="8"/>
      <c r="CY855" s="8"/>
      <c r="CZ855" s="8"/>
    </row>
    <row r="856" spans="26:104" x14ac:dyDescent="0.35">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c r="CQ856" s="8"/>
      <c r="CR856" s="8"/>
      <c r="CS856" s="8"/>
      <c r="CT856" s="8"/>
      <c r="CU856" s="8"/>
      <c r="CV856" s="8"/>
      <c r="CW856" s="8"/>
      <c r="CX856" s="8"/>
      <c r="CY856" s="8"/>
      <c r="CZ856" s="8"/>
    </row>
    <row r="857" spans="26:104" x14ac:dyDescent="0.35">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c r="CQ857" s="8"/>
      <c r="CR857" s="8"/>
      <c r="CS857" s="8"/>
      <c r="CT857" s="8"/>
      <c r="CU857" s="8"/>
      <c r="CV857" s="8"/>
      <c r="CW857" s="8"/>
      <c r="CX857" s="8"/>
      <c r="CY857" s="8"/>
      <c r="CZ857" s="8"/>
    </row>
    <row r="858" spans="26:104" x14ac:dyDescent="0.35">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c r="CT858" s="8"/>
      <c r="CU858" s="8"/>
      <c r="CV858" s="8"/>
      <c r="CW858" s="8"/>
      <c r="CX858" s="8"/>
      <c r="CY858" s="8"/>
      <c r="CZ858" s="8"/>
    </row>
    <row r="859" spans="26:104" x14ac:dyDescent="0.35">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c r="CT859" s="8"/>
      <c r="CU859" s="8"/>
      <c r="CV859" s="8"/>
      <c r="CW859" s="8"/>
      <c r="CX859" s="8"/>
      <c r="CY859" s="8"/>
      <c r="CZ859" s="8"/>
    </row>
    <row r="860" spans="26:104" x14ac:dyDescent="0.35">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c r="CT860" s="8"/>
      <c r="CU860" s="8"/>
      <c r="CV860" s="8"/>
      <c r="CW860" s="8"/>
      <c r="CX860" s="8"/>
      <c r="CY860" s="8"/>
      <c r="CZ860" s="8"/>
    </row>
    <row r="861" spans="26:104" x14ac:dyDescent="0.35">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c r="CT861" s="8"/>
      <c r="CU861" s="8"/>
      <c r="CV861" s="8"/>
      <c r="CW861" s="8"/>
      <c r="CX861" s="8"/>
      <c r="CY861" s="8"/>
      <c r="CZ861" s="8"/>
    </row>
    <row r="862" spans="26:104" x14ac:dyDescent="0.35">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c r="CT862" s="8"/>
      <c r="CU862" s="8"/>
      <c r="CV862" s="8"/>
      <c r="CW862" s="8"/>
      <c r="CX862" s="8"/>
      <c r="CY862" s="8"/>
      <c r="CZ862" s="8"/>
    </row>
    <row r="863" spans="26:104" x14ac:dyDescent="0.35">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c r="CT863" s="8"/>
      <c r="CU863" s="8"/>
      <c r="CV863" s="8"/>
      <c r="CW863" s="8"/>
      <c r="CX863" s="8"/>
      <c r="CY863" s="8"/>
      <c r="CZ863" s="8"/>
    </row>
    <row r="864" spans="26:104" x14ac:dyDescent="0.35">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c r="CT864" s="8"/>
      <c r="CU864" s="8"/>
      <c r="CV864" s="8"/>
      <c r="CW864" s="8"/>
      <c r="CX864" s="8"/>
      <c r="CY864" s="8"/>
      <c r="CZ864" s="8"/>
    </row>
    <row r="865" spans="26:104" x14ac:dyDescent="0.35">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c r="CT865" s="8"/>
      <c r="CU865" s="8"/>
      <c r="CV865" s="8"/>
      <c r="CW865" s="8"/>
      <c r="CX865" s="8"/>
      <c r="CY865" s="8"/>
      <c r="CZ865" s="8"/>
    </row>
    <row r="866" spans="26:104" x14ac:dyDescent="0.35">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c r="CT866" s="8"/>
      <c r="CU866" s="8"/>
      <c r="CV866" s="8"/>
      <c r="CW866" s="8"/>
      <c r="CX866" s="8"/>
      <c r="CY866" s="8"/>
      <c r="CZ866" s="8"/>
    </row>
    <row r="867" spans="26:104" x14ac:dyDescent="0.35">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c r="CT867" s="8"/>
      <c r="CU867" s="8"/>
      <c r="CV867" s="8"/>
      <c r="CW867" s="8"/>
      <c r="CX867" s="8"/>
      <c r="CY867" s="8"/>
      <c r="CZ867" s="8"/>
    </row>
    <row r="868" spans="26:104" x14ac:dyDescent="0.35">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c r="CT868" s="8"/>
      <c r="CU868" s="8"/>
      <c r="CV868" s="8"/>
      <c r="CW868" s="8"/>
      <c r="CX868" s="8"/>
      <c r="CY868" s="8"/>
      <c r="CZ868" s="8"/>
    </row>
    <row r="869" spans="26:104" x14ac:dyDescent="0.35">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c r="CT869" s="8"/>
      <c r="CU869" s="8"/>
      <c r="CV869" s="8"/>
      <c r="CW869" s="8"/>
      <c r="CX869" s="8"/>
      <c r="CY869" s="8"/>
      <c r="CZ869" s="8"/>
    </row>
    <row r="870" spans="26:104" x14ac:dyDescent="0.35">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c r="CT870" s="8"/>
      <c r="CU870" s="8"/>
      <c r="CV870" s="8"/>
      <c r="CW870" s="8"/>
      <c r="CX870" s="8"/>
      <c r="CY870" s="8"/>
      <c r="CZ870" s="8"/>
    </row>
    <row r="871" spans="26:104" x14ac:dyDescent="0.35">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c r="CT871" s="8"/>
      <c r="CU871" s="8"/>
      <c r="CV871" s="8"/>
      <c r="CW871" s="8"/>
      <c r="CX871" s="8"/>
      <c r="CY871" s="8"/>
      <c r="CZ871" s="8"/>
    </row>
    <row r="872" spans="26:104" x14ac:dyDescent="0.35">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c r="CT872" s="8"/>
      <c r="CU872" s="8"/>
      <c r="CV872" s="8"/>
      <c r="CW872" s="8"/>
      <c r="CX872" s="8"/>
      <c r="CY872" s="8"/>
      <c r="CZ872" s="8"/>
    </row>
    <row r="873" spans="26:104" x14ac:dyDescent="0.35">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c r="CT873" s="8"/>
      <c r="CU873" s="8"/>
      <c r="CV873" s="8"/>
      <c r="CW873" s="8"/>
      <c r="CX873" s="8"/>
      <c r="CY873" s="8"/>
      <c r="CZ873" s="8"/>
    </row>
    <row r="874" spans="26:104" x14ac:dyDescent="0.35">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c r="CT874" s="8"/>
      <c r="CU874" s="8"/>
      <c r="CV874" s="8"/>
      <c r="CW874" s="8"/>
      <c r="CX874" s="8"/>
      <c r="CY874" s="8"/>
      <c r="CZ874" s="8"/>
    </row>
    <row r="875" spans="26:104" x14ac:dyDescent="0.35">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c r="CT875" s="8"/>
      <c r="CU875" s="8"/>
      <c r="CV875" s="8"/>
      <c r="CW875" s="8"/>
      <c r="CX875" s="8"/>
      <c r="CY875" s="8"/>
      <c r="CZ875" s="8"/>
    </row>
    <row r="876" spans="26:104" x14ac:dyDescent="0.35">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c r="CT876" s="8"/>
      <c r="CU876" s="8"/>
      <c r="CV876" s="8"/>
      <c r="CW876" s="8"/>
      <c r="CX876" s="8"/>
      <c r="CY876" s="8"/>
      <c r="CZ876" s="8"/>
    </row>
    <row r="877" spans="26:104" x14ac:dyDescent="0.35">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c r="CT877" s="8"/>
      <c r="CU877" s="8"/>
      <c r="CV877" s="8"/>
      <c r="CW877" s="8"/>
      <c r="CX877" s="8"/>
      <c r="CY877" s="8"/>
      <c r="CZ877" s="8"/>
    </row>
    <row r="878" spans="26:104" x14ac:dyDescent="0.35">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c r="CT878" s="8"/>
      <c r="CU878" s="8"/>
      <c r="CV878" s="8"/>
      <c r="CW878" s="8"/>
      <c r="CX878" s="8"/>
      <c r="CY878" s="8"/>
      <c r="CZ878" s="8"/>
    </row>
    <row r="879" spans="26:104" x14ac:dyDescent="0.35">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c r="CQ879" s="8"/>
      <c r="CR879" s="8"/>
      <c r="CS879" s="8"/>
      <c r="CT879" s="8"/>
      <c r="CU879" s="8"/>
      <c r="CV879" s="8"/>
      <c r="CW879" s="8"/>
      <c r="CX879" s="8"/>
      <c r="CY879" s="8"/>
      <c r="CZ879" s="8"/>
    </row>
    <row r="880" spans="26:104" x14ac:dyDescent="0.35">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c r="CQ880" s="8"/>
      <c r="CR880" s="8"/>
      <c r="CS880" s="8"/>
      <c r="CT880" s="8"/>
      <c r="CU880" s="8"/>
      <c r="CV880" s="8"/>
      <c r="CW880" s="8"/>
      <c r="CX880" s="8"/>
      <c r="CY880" s="8"/>
      <c r="CZ880" s="8"/>
    </row>
    <row r="881" spans="26:104" x14ac:dyDescent="0.35">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c r="CT881" s="8"/>
      <c r="CU881" s="8"/>
      <c r="CV881" s="8"/>
      <c r="CW881" s="8"/>
      <c r="CX881" s="8"/>
      <c r="CY881" s="8"/>
      <c r="CZ881" s="8"/>
    </row>
    <row r="882" spans="26:104" x14ac:dyDescent="0.35">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c r="CQ882" s="8"/>
      <c r="CR882" s="8"/>
      <c r="CS882" s="8"/>
      <c r="CT882" s="8"/>
      <c r="CU882" s="8"/>
      <c r="CV882" s="8"/>
      <c r="CW882" s="8"/>
      <c r="CX882" s="8"/>
      <c r="CY882" s="8"/>
      <c r="CZ882" s="8"/>
    </row>
    <row r="883" spans="26:104" x14ac:dyDescent="0.35">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8"/>
      <c r="CS883" s="8"/>
      <c r="CT883" s="8"/>
      <c r="CU883" s="8"/>
      <c r="CV883" s="8"/>
      <c r="CW883" s="8"/>
      <c r="CX883" s="8"/>
      <c r="CY883" s="8"/>
      <c r="CZ883" s="8"/>
    </row>
    <row r="884" spans="26:104" x14ac:dyDescent="0.35">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c r="CQ884" s="8"/>
      <c r="CR884" s="8"/>
      <c r="CS884" s="8"/>
      <c r="CT884" s="8"/>
      <c r="CU884" s="8"/>
      <c r="CV884" s="8"/>
      <c r="CW884" s="8"/>
      <c r="CX884" s="8"/>
      <c r="CY884" s="8"/>
      <c r="CZ884" s="8"/>
    </row>
    <row r="885" spans="26:104" x14ac:dyDescent="0.35">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c r="CQ885" s="8"/>
      <c r="CR885" s="8"/>
      <c r="CS885" s="8"/>
      <c r="CT885" s="8"/>
      <c r="CU885" s="8"/>
      <c r="CV885" s="8"/>
      <c r="CW885" s="8"/>
      <c r="CX885" s="8"/>
      <c r="CY885" s="8"/>
      <c r="CZ885" s="8"/>
    </row>
    <row r="886" spans="26:104" x14ac:dyDescent="0.35">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c r="CQ886" s="8"/>
      <c r="CR886" s="8"/>
      <c r="CS886" s="8"/>
      <c r="CT886" s="8"/>
      <c r="CU886" s="8"/>
      <c r="CV886" s="8"/>
      <c r="CW886" s="8"/>
      <c r="CX886" s="8"/>
      <c r="CY886" s="8"/>
      <c r="CZ886" s="8"/>
    </row>
    <row r="887" spans="26:104" x14ac:dyDescent="0.35">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c r="CQ887" s="8"/>
      <c r="CR887" s="8"/>
      <c r="CS887" s="8"/>
      <c r="CT887" s="8"/>
      <c r="CU887" s="8"/>
      <c r="CV887" s="8"/>
      <c r="CW887" s="8"/>
      <c r="CX887" s="8"/>
      <c r="CY887" s="8"/>
      <c r="CZ887" s="8"/>
    </row>
    <row r="888" spans="26:104" x14ac:dyDescent="0.35">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c r="CQ888" s="8"/>
      <c r="CR888" s="8"/>
      <c r="CS888" s="8"/>
      <c r="CT888" s="8"/>
      <c r="CU888" s="8"/>
      <c r="CV888" s="8"/>
      <c r="CW888" s="8"/>
      <c r="CX888" s="8"/>
      <c r="CY888" s="8"/>
      <c r="CZ888" s="8"/>
    </row>
    <row r="889" spans="26:104" x14ac:dyDescent="0.35">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c r="CT889" s="8"/>
      <c r="CU889" s="8"/>
      <c r="CV889" s="8"/>
      <c r="CW889" s="8"/>
      <c r="CX889" s="8"/>
      <c r="CY889" s="8"/>
      <c r="CZ889" s="8"/>
    </row>
    <row r="890" spans="26:104" x14ac:dyDescent="0.35">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c r="CT890" s="8"/>
      <c r="CU890" s="8"/>
      <c r="CV890" s="8"/>
      <c r="CW890" s="8"/>
      <c r="CX890" s="8"/>
      <c r="CY890" s="8"/>
      <c r="CZ890" s="8"/>
    </row>
    <row r="891" spans="26:104" x14ac:dyDescent="0.35">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c r="CQ891" s="8"/>
      <c r="CR891" s="8"/>
      <c r="CS891" s="8"/>
      <c r="CT891" s="8"/>
      <c r="CU891" s="8"/>
      <c r="CV891" s="8"/>
      <c r="CW891" s="8"/>
      <c r="CX891" s="8"/>
      <c r="CY891" s="8"/>
      <c r="CZ891" s="8"/>
    </row>
    <row r="892" spans="26:104" x14ac:dyDescent="0.35">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c r="CQ892" s="8"/>
      <c r="CR892" s="8"/>
      <c r="CS892" s="8"/>
      <c r="CT892" s="8"/>
      <c r="CU892" s="8"/>
      <c r="CV892" s="8"/>
      <c r="CW892" s="8"/>
      <c r="CX892" s="8"/>
      <c r="CY892" s="8"/>
      <c r="CZ892" s="8"/>
    </row>
    <row r="893" spans="26:104" x14ac:dyDescent="0.35">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c r="CQ893" s="8"/>
      <c r="CR893" s="8"/>
      <c r="CS893" s="8"/>
      <c r="CT893" s="8"/>
      <c r="CU893" s="8"/>
      <c r="CV893" s="8"/>
      <c r="CW893" s="8"/>
      <c r="CX893" s="8"/>
      <c r="CY893" s="8"/>
      <c r="CZ893" s="8"/>
    </row>
    <row r="894" spans="26:104" x14ac:dyDescent="0.35">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c r="CQ894" s="8"/>
      <c r="CR894" s="8"/>
      <c r="CS894" s="8"/>
      <c r="CT894" s="8"/>
      <c r="CU894" s="8"/>
      <c r="CV894" s="8"/>
      <c r="CW894" s="8"/>
      <c r="CX894" s="8"/>
      <c r="CY894" s="8"/>
      <c r="CZ894" s="8"/>
    </row>
    <row r="895" spans="26:104" x14ac:dyDescent="0.35">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c r="CQ895" s="8"/>
      <c r="CR895" s="8"/>
      <c r="CS895" s="8"/>
      <c r="CT895" s="8"/>
      <c r="CU895" s="8"/>
      <c r="CV895" s="8"/>
      <c r="CW895" s="8"/>
      <c r="CX895" s="8"/>
      <c r="CY895" s="8"/>
      <c r="CZ895" s="8"/>
    </row>
    <row r="896" spans="26:104" x14ac:dyDescent="0.35">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c r="CQ896" s="8"/>
      <c r="CR896" s="8"/>
      <c r="CS896" s="8"/>
      <c r="CT896" s="8"/>
      <c r="CU896" s="8"/>
      <c r="CV896" s="8"/>
      <c r="CW896" s="8"/>
      <c r="CX896" s="8"/>
      <c r="CY896" s="8"/>
      <c r="CZ896" s="8"/>
    </row>
    <row r="897" spans="26:104" x14ac:dyDescent="0.35">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c r="CQ897" s="8"/>
      <c r="CR897" s="8"/>
      <c r="CS897" s="8"/>
      <c r="CT897" s="8"/>
      <c r="CU897" s="8"/>
      <c r="CV897" s="8"/>
      <c r="CW897" s="8"/>
      <c r="CX897" s="8"/>
      <c r="CY897" s="8"/>
      <c r="CZ897" s="8"/>
    </row>
    <row r="898" spans="26:104" x14ac:dyDescent="0.35">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c r="CT898" s="8"/>
      <c r="CU898" s="8"/>
      <c r="CV898" s="8"/>
      <c r="CW898" s="8"/>
      <c r="CX898" s="8"/>
      <c r="CY898" s="8"/>
      <c r="CZ898" s="8"/>
    </row>
    <row r="899" spans="26:104" x14ac:dyDescent="0.35">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c r="CQ899" s="8"/>
      <c r="CR899" s="8"/>
      <c r="CS899" s="8"/>
      <c r="CT899" s="8"/>
      <c r="CU899" s="8"/>
      <c r="CV899" s="8"/>
      <c r="CW899" s="8"/>
      <c r="CX899" s="8"/>
      <c r="CY899" s="8"/>
      <c r="CZ899" s="8"/>
    </row>
    <row r="900" spans="26:104" x14ac:dyDescent="0.35">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c r="CQ900" s="8"/>
      <c r="CR900" s="8"/>
      <c r="CS900" s="8"/>
      <c r="CT900" s="8"/>
      <c r="CU900" s="8"/>
      <c r="CV900" s="8"/>
      <c r="CW900" s="8"/>
      <c r="CX900" s="8"/>
      <c r="CY900" s="8"/>
      <c r="CZ900" s="8"/>
    </row>
    <row r="901" spans="26:104" x14ac:dyDescent="0.35">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c r="CQ901" s="8"/>
      <c r="CR901" s="8"/>
      <c r="CS901" s="8"/>
      <c r="CT901" s="8"/>
      <c r="CU901" s="8"/>
      <c r="CV901" s="8"/>
      <c r="CW901" s="8"/>
      <c r="CX901" s="8"/>
      <c r="CY901" s="8"/>
      <c r="CZ901" s="8"/>
    </row>
    <row r="902" spans="26:104" x14ac:dyDescent="0.35">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c r="CT902" s="8"/>
      <c r="CU902" s="8"/>
      <c r="CV902" s="8"/>
      <c r="CW902" s="8"/>
      <c r="CX902" s="8"/>
      <c r="CY902" s="8"/>
      <c r="CZ902" s="8"/>
    </row>
    <row r="903" spans="26:104" x14ac:dyDescent="0.35">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c r="CT903" s="8"/>
      <c r="CU903" s="8"/>
      <c r="CV903" s="8"/>
      <c r="CW903" s="8"/>
      <c r="CX903" s="8"/>
      <c r="CY903" s="8"/>
      <c r="CZ903" s="8"/>
    </row>
    <row r="904" spans="26:104" x14ac:dyDescent="0.35">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c r="CT904" s="8"/>
      <c r="CU904" s="8"/>
      <c r="CV904" s="8"/>
      <c r="CW904" s="8"/>
      <c r="CX904" s="8"/>
      <c r="CY904" s="8"/>
      <c r="CZ904" s="8"/>
    </row>
    <row r="905" spans="26:104" x14ac:dyDescent="0.35">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c r="CT905" s="8"/>
      <c r="CU905" s="8"/>
      <c r="CV905" s="8"/>
      <c r="CW905" s="8"/>
      <c r="CX905" s="8"/>
      <c r="CY905" s="8"/>
      <c r="CZ905" s="8"/>
    </row>
    <row r="906" spans="26:104" x14ac:dyDescent="0.35">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c r="CQ906" s="8"/>
      <c r="CR906" s="8"/>
      <c r="CS906" s="8"/>
      <c r="CT906" s="8"/>
      <c r="CU906" s="8"/>
      <c r="CV906" s="8"/>
      <c r="CW906" s="8"/>
      <c r="CX906" s="8"/>
      <c r="CY906" s="8"/>
      <c r="CZ906" s="8"/>
    </row>
    <row r="907" spans="26:104" x14ac:dyDescent="0.35">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c r="CT907" s="8"/>
      <c r="CU907" s="8"/>
      <c r="CV907" s="8"/>
      <c r="CW907" s="8"/>
      <c r="CX907" s="8"/>
      <c r="CY907" s="8"/>
      <c r="CZ907" s="8"/>
    </row>
    <row r="908" spans="26:104" x14ac:dyDescent="0.35">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c r="CT908" s="8"/>
      <c r="CU908" s="8"/>
      <c r="CV908" s="8"/>
      <c r="CW908" s="8"/>
      <c r="CX908" s="8"/>
      <c r="CY908" s="8"/>
      <c r="CZ908" s="8"/>
    </row>
    <row r="909" spans="26:104" x14ac:dyDescent="0.35">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c r="CQ909" s="8"/>
      <c r="CR909" s="8"/>
      <c r="CS909" s="8"/>
      <c r="CT909" s="8"/>
      <c r="CU909" s="8"/>
      <c r="CV909" s="8"/>
      <c r="CW909" s="8"/>
      <c r="CX909" s="8"/>
      <c r="CY909" s="8"/>
      <c r="CZ909" s="8"/>
    </row>
    <row r="910" spans="26:104" x14ac:dyDescent="0.35">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c r="CT910" s="8"/>
      <c r="CU910" s="8"/>
      <c r="CV910" s="8"/>
      <c r="CW910" s="8"/>
      <c r="CX910" s="8"/>
      <c r="CY910" s="8"/>
      <c r="CZ910" s="8"/>
    </row>
    <row r="911" spans="26:104" x14ac:dyDescent="0.35">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c r="CT911" s="8"/>
      <c r="CU911" s="8"/>
      <c r="CV911" s="8"/>
      <c r="CW911" s="8"/>
      <c r="CX911" s="8"/>
      <c r="CY911" s="8"/>
      <c r="CZ911" s="8"/>
    </row>
    <row r="912" spans="26:104" x14ac:dyDescent="0.35">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c r="CT912" s="8"/>
      <c r="CU912" s="8"/>
      <c r="CV912" s="8"/>
      <c r="CW912" s="8"/>
      <c r="CX912" s="8"/>
      <c r="CY912" s="8"/>
      <c r="CZ912" s="8"/>
    </row>
    <row r="913" spans="26:104" x14ac:dyDescent="0.35">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c r="CQ913" s="8"/>
      <c r="CR913" s="8"/>
      <c r="CS913" s="8"/>
      <c r="CT913" s="8"/>
      <c r="CU913" s="8"/>
      <c r="CV913" s="8"/>
      <c r="CW913" s="8"/>
      <c r="CX913" s="8"/>
      <c r="CY913" s="8"/>
      <c r="CZ913" s="8"/>
    </row>
    <row r="914" spans="26:104" x14ac:dyDescent="0.35">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c r="CT914" s="8"/>
      <c r="CU914" s="8"/>
      <c r="CV914" s="8"/>
      <c r="CW914" s="8"/>
      <c r="CX914" s="8"/>
      <c r="CY914" s="8"/>
      <c r="CZ914" s="8"/>
    </row>
    <row r="915" spans="26:104" x14ac:dyDescent="0.35">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c r="CQ915" s="8"/>
      <c r="CR915" s="8"/>
      <c r="CS915" s="8"/>
      <c r="CT915" s="8"/>
      <c r="CU915" s="8"/>
      <c r="CV915" s="8"/>
      <c r="CW915" s="8"/>
      <c r="CX915" s="8"/>
      <c r="CY915" s="8"/>
      <c r="CZ915" s="8"/>
    </row>
    <row r="916" spans="26:104" x14ac:dyDescent="0.35">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c r="CQ916" s="8"/>
      <c r="CR916" s="8"/>
      <c r="CS916" s="8"/>
      <c r="CT916" s="8"/>
      <c r="CU916" s="8"/>
      <c r="CV916" s="8"/>
      <c r="CW916" s="8"/>
      <c r="CX916" s="8"/>
      <c r="CY916" s="8"/>
      <c r="CZ916" s="8"/>
    </row>
    <row r="917" spans="26:104" x14ac:dyDescent="0.35">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c r="CQ917" s="8"/>
      <c r="CR917" s="8"/>
      <c r="CS917" s="8"/>
      <c r="CT917" s="8"/>
      <c r="CU917" s="8"/>
      <c r="CV917" s="8"/>
      <c r="CW917" s="8"/>
      <c r="CX917" s="8"/>
      <c r="CY917" s="8"/>
      <c r="CZ917" s="8"/>
    </row>
    <row r="918" spans="26:104" x14ac:dyDescent="0.35">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c r="CQ918" s="8"/>
      <c r="CR918" s="8"/>
      <c r="CS918" s="8"/>
      <c r="CT918" s="8"/>
      <c r="CU918" s="8"/>
      <c r="CV918" s="8"/>
      <c r="CW918" s="8"/>
      <c r="CX918" s="8"/>
      <c r="CY918" s="8"/>
      <c r="CZ918" s="8"/>
    </row>
    <row r="919" spans="26:104" x14ac:dyDescent="0.35">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c r="CQ919" s="8"/>
      <c r="CR919" s="8"/>
      <c r="CS919" s="8"/>
      <c r="CT919" s="8"/>
      <c r="CU919" s="8"/>
      <c r="CV919" s="8"/>
      <c r="CW919" s="8"/>
      <c r="CX919" s="8"/>
      <c r="CY919" s="8"/>
      <c r="CZ919" s="8"/>
    </row>
    <row r="920" spans="26:104" x14ac:dyDescent="0.35">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c r="CR920" s="8"/>
      <c r="CS920" s="8"/>
      <c r="CT920" s="8"/>
      <c r="CU920" s="8"/>
      <c r="CV920" s="8"/>
      <c r="CW920" s="8"/>
      <c r="CX920" s="8"/>
      <c r="CY920" s="8"/>
      <c r="CZ920" s="8"/>
    </row>
    <row r="921" spans="26:104" x14ac:dyDescent="0.35">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c r="CQ921" s="8"/>
      <c r="CR921" s="8"/>
      <c r="CS921" s="8"/>
      <c r="CT921" s="8"/>
      <c r="CU921" s="8"/>
      <c r="CV921" s="8"/>
      <c r="CW921" s="8"/>
      <c r="CX921" s="8"/>
      <c r="CY921" s="8"/>
      <c r="CZ921" s="8"/>
    </row>
    <row r="922" spans="26:104" x14ac:dyDescent="0.35">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c r="CT922" s="8"/>
      <c r="CU922" s="8"/>
      <c r="CV922" s="8"/>
      <c r="CW922" s="8"/>
      <c r="CX922" s="8"/>
      <c r="CY922" s="8"/>
      <c r="CZ922" s="8"/>
    </row>
    <row r="923" spans="26:104" x14ac:dyDescent="0.35">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c r="CT923" s="8"/>
      <c r="CU923" s="8"/>
      <c r="CV923" s="8"/>
      <c r="CW923" s="8"/>
      <c r="CX923" s="8"/>
      <c r="CY923" s="8"/>
      <c r="CZ923" s="8"/>
    </row>
    <row r="924" spans="26:104" x14ac:dyDescent="0.35">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c r="CT924" s="8"/>
      <c r="CU924" s="8"/>
      <c r="CV924" s="8"/>
      <c r="CW924" s="8"/>
      <c r="CX924" s="8"/>
      <c r="CY924" s="8"/>
      <c r="CZ924" s="8"/>
    </row>
    <row r="925" spans="26:104" x14ac:dyDescent="0.35">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c r="CT925" s="8"/>
      <c r="CU925" s="8"/>
      <c r="CV925" s="8"/>
      <c r="CW925" s="8"/>
      <c r="CX925" s="8"/>
      <c r="CY925" s="8"/>
      <c r="CZ925" s="8"/>
    </row>
    <row r="926" spans="26:104" x14ac:dyDescent="0.35">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c r="CQ926" s="8"/>
      <c r="CR926" s="8"/>
      <c r="CS926" s="8"/>
      <c r="CT926" s="8"/>
      <c r="CU926" s="8"/>
      <c r="CV926" s="8"/>
      <c r="CW926" s="8"/>
      <c r="CX926" s="8"/>
      <c r="CY926" s="8"/>
      <c r="CZ926" s="8"/>
    </row>
    <row r="927" spans="26:104" x14ac:dyDescent="0.35">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8"/>
      <c r="CS927" s="8"/>
      <c r="CT927" s="8"/>
      <c r="CU927" s="8"/>
      <c r="CV927" s="8"/>
      <c r="CW927" s="8"/>
      <c r="CX927" s="8"/>
      <c r="CY927" s="8"/>
      <c r="CZ927" s="8"/>
    </row>
    <row r="928" spans="26:104" x14ac:dyDescent="0.35">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c r="CT928" s="8"/>
      <c r="CU928" s="8"/>
      <c r="CV928" s="8"/>
      <c r="CW928" s="8"/>
      <c r="CX928" s="8"/>
      <c r="CY928" s="8"/>
      <c r="CZ928" s="8"/>
    </row>
    <row r="929" spans="26:104" x14ac:dyDescent="0.35">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c r="CQ929" s="8"/>
      <c r="CR929" s="8"/>
      <c r="CS929" s="8"/>
      <c r="CT929" s="8"/>
      <c r="CU929" s="8"/>
      <c r="CV929" s="8"/>
      <c r="CW929" s="8"/>
      <c r="CX929" s="8"/>
      <c r="CY929" s="8"/>
      <c r="CZ929" s="8"/>
    </row>
    <row r="930" spans="26:104" x14ac:dyDescent="0.35">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c r="CT930" s="8"/>
      <c r="CU930" s="8"/>
      <c r="CV930" s="8"/>
      <c r="CW930" s="8"/>
      <c r="CX930" s="8"/>
      <c r="CY930" s="8"/>
      <c r="CZ930" s="8"/>
    </row>
    <row r="931" spans="26:104" x14ac:dyDescent="0.35">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c r="CT931" s="8"/>
      <c r="CU931" s="8"/>
      <c r="CV931" s="8"/>
      <c r="CW931" s="8"/>
      <c r="CX931" s="8"/>
      <c r="CY931" s="8"/>
      <c r="CZ931" s="8"/>
    </row>
    <row r="932" spans="26:104" x14ac:dyDescent="0.35">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c r="CR932" s="8"/>
      <c r="CS932" s="8"/>
      <c r="CT932" s="8"/>
      <c r="CU932" s="8"/>
      <c r="CV932" s="8"/>
      <c r="CW932" s="8"/>
      <c r="CX932" s="8"/>
      <c r="CY932" s="8"/>
      <c r="CZ932" s="8"/>
    </row>
    <row r="933" spans="26:104" x14ac:dyDescent="0.35">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c r="CT933" s="8"/>
      <c r="CU933" s="8"/>
      <c r="CV933" s="8"/>
      <c r="CW933" s="8"/>
      <c r="CX933" s="8"/>
      <c r="CY933" s="8"/>
      <c r="CZ933" s="8"/>
    </row>
    <row r="934" spans="26:104" x14ac:dyDescent="0.35">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c r="CT934" s="8"/>
      <c r="CU934" s="8"/>
      <c r="CV934" s="8"/>
      <c r="CW934" s="8"/>
      <c r="CX934" s="8"/>
      <c r="CY934" s="8"/>
      <c r="CZ934" s="8"/>
    </row>
    <row r="935" spans="26:104" x14ac:dyDescent="0.35">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c r="CT935" s="8"/>
      <c r="CU935" s="8"/>
      <c r="CV935" s="8"/>
      <c r="CW935" s="8"/>
      <c r="CX935" s="8"/>
      <c r="CY935" s="8"/>
      <c r="CZ935" s="8"/>
    </row>
    <row r="936" spans="26:104" x14ac:dyDescent="0.35">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c r="CT936" s="8"/>
      <c r="CU936" s="8"/>
      <c r="CV936" s="8"/>
      <c r="CW936" s="8"/>
      <c r="CX936" s="8"/>
      <c r="CY936" s="8"/>
      <c r="CZ936" s="8"/>
    </row>
    <row r="937" spans="26:104" x14ac:dyDescent="0.35">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c r="CT937" s="8"/>
      <c r="CU937" s="8"/>
      <c r="CV937" s="8"/>
      <c r="CW937" s="8"/>
      <c r="CX937" s="8"/>
      <c r="CY937" s="8"/>
      <c r="CZ937" s="8"/>
    </row>
    <row r="938" spans="26:104" x14ac:dyDescent="0.35">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c r="CT938" s="8"/>
      <c r="CU938" s="8"/>
      <c r="CV938" s="8"/>
      <c r="CW938" s="8"/>
      <c r="CX938" s="8"/>
      <c r="CY938" s="8"/>
      <c r="CZ938" s="8"/>
    </row>
    <row r="939" spans="26:104" x14ac:dyDescent="0.35">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c r="CT939" s="8"/>
      <c r="CU939" s="8"/>
      <c r="CV939" s="8"/>
      <c r="CW939" s="8"/>
      <c r="CX939" s="8"/>
      <c r="CY939" s="8"/>
      <c r="CZ939" s="8"/>
    </row>
    <row r="940" spans="26:104" x14ac:dyDescent="0.35">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c r="CT940" s="8"/>
      <c r="CU940" s="8"/>
      <c r="CV940" s="8"/>
      <c r="CW940" s="8"/>
      <c r="CX940" s="8"/>
      <c r="CY940" s="8"/>
      <c r="CZ940" s="8"/>
    </row>
    <row r="941" spans="26:104" x14ac:dyDescent="0.35">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c r="CT941" s="8"/>
      <c r="CU941" s="8"/>
      <c r="CV941" s="8"/>
      <c r="CW941" s="8"/>
      <c r="CX941" s="8"/>
      <c r="CY941" s="8"/>
      <c r="CZ941" s="8"/>
    </row>
    <row r="942" spans="26:104" x14ac:dyDescent="0.35">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c r="CT942" s="8"/>
      <c r="CU942" s="8"/>
      <c r="CV942" s="8"/>
      <c r="CW942" s="8"/>
      <c r="CX942" s="8"/>
      <c r="CY942" s="8"/>
      <c r="CZ942" s="8"/>
    </row>
    <row r="943" spans="26:104" x14ac:dyDescent="0.35">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c r="CQ943" s="8"/>
      <c r="CR943" s="8"/>
      <c r="CS943" s="8"/>
      <c r="CT943" s="8"/>
      <c r="CU943" s="8"/>
      <c r="CV943" s="8"/>
      <c r="CW943" s="8"/>
      <c r="CX943" s="8"/>
      <c r="CY943" s="8"/>
      <c r="CZ943" s="8"/>
    </row>
    <row r="944" spans="26:104" x14ac:dyDescent="0.35">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c r="CQ944" s="8"/>
      <c r="CR944" s="8"/>
      <c r="CS944" s="8"/>
      <c r="CT944" s="8"/>
      <c r="CU944" s="8"/>
      <c r="CV944" s="8"/>
      <c r="CW944" s="8"/>
      <c r="CX944" s="8"/>
      <c r="CY944" s="8"/>
      <c r="CZ944" s="8"/>
    </row>
    <row r="945" spans="26:104" x14ac:dyDescent="0.35">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c r="CQ945" s="8"/>
      <c r="CR945" s="8"/>
      <c r="CS945" s="8"/>
      <c r="CT945" s="8"/>
      <c r="CU945" s="8"/>
      <c r="CV945" s="8"/>
      <c r="CW945" s="8"/>
      <c r="CX945" s="8"/>
      <c r="CY945" s="8"/>
      <c r="CZ945" s="8"/>
    </row>
    <row r="946" spans="26:104" x14ac:dyDescent="0.35">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c r="CQ946" s="8"/>
      <c r="CR946" s="8"/>
      <c r="CS946" s="8"/>
      <c r="CT946" s="8"/>
      <c r="CU946" s="8"/>
      <c r="CV946" s="8"/>
      <c r="CW946" s="8"/>
      <c r="CX946" s="8"/>
      <c r="CY946" s="8"/>
      <c r="CZ946" s="8"/>
    </row>
    <row r="947" spans="26:104" x14ac:dyDescent="0.35">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c r="CR947" s="8"/>
      <c r="CS947" s="8"/>
      <c r="CT947" s="8"/>
      <c r="CU947" s="8"/>
      <c r="CV947" s="8"/>
      <c r="CW947" s="8"/>
      <c r="CX947" s="8"/>
      <c r="CY947" s="8"/>
      <c r="CZ947" s="8"/>
    </row>
    <row r="948" spans="26:104" x14ac:dyDescent="0.35">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c r="CQ948" s="8"/>
      <c r="CR948" s="8"/>
      <c r="CS948" s="8"/>
      <c r="CT948" s="8"/>
      <c r="CU948" s="8"/>
      <c r="CV948" s="8"/>
      <c r="CW948" s="8"/>
      <c r="CX948" s="8"/>
      <c r="CY948" s="8"/>
      <c r="CZ948" s="8"/>
    </row>
    <row r="949" spans="26:104" x14ac:dyDescent="0.35">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c r="CR949" s="8"/>
      <c r="CS949" s="8"/>
      <c r="CT949" s="8"/>
      <c r="CU949" s="8"/>
      <c r="CV949" s="8"/>
      <c r="CW949" s="8"/>
      <c r="CX949" s="8"/>
      <c r="CY949" s="8"/>
      <c r="CZ949" s="8"/>
    </row>
    <row r="950" spans="26:104" x14ac:dyDescent="0.35">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c r="CQ950" s="8"/>
      <c r="CR950" s="8"/>
      <c r="CS950" s="8"/>
      <c r="CT950" s="8"/>
      <c r="CU950" s="8"/>
      <c r="CV950" s="8"/>
      <c r="CW950" s="8"/>
      <c r="CX950" s="8"/>
      <c r="CY950" s="8"/>
      <c r="CZ950" s="8"/>
    </row>
    <row r="951" spans="26:104" x14ac:dyDescent="0.35">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c r="CQ951" s="8"/>
      <c r="CR951" s="8"/>
      <c r="CS951" s="8"/>
      <c r="CT951" s="8"/>
      <c r="CU951" s="8"/>
      <c r="CV951" s="8"/>
      <c r="CW951" s="8"/>
      <c r="CX951" s="8"/>
      <c r="CY951" s="8"/>
      <c r="CZ951" s="8"/>
    </row>
    <row r="952" spans="26:104" x14ac:dyDescent="0.35">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c r="CQ952" s="8"/>
      <c r="CR952" s="8"/>
      <c r="CS952" s="8"/>
      <c r="CT952" s="8"/>
      <c r="CU952" s="8"/>
      <c r="CV952" s="8"/>
      <c r="CW952" s="8"/>
      <c r="CX952" s="8"/>
      <c r="CY952" s="8"/>
      <c r="CZ952" s="8"/>
    </row>
    <row r="953" spans="26:104" x14ac:dyDescent="0.35">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c r="CQ953" s="8"/>
      <c r="CR953" s="8"/>
      <c r="CS953" s="8"/>
      <c r="CT953" s="8"/>
      <c r="CU953" s="8"/>
      <c r="CV953" s="8"/>
      <c r="CW953" s="8"/>
      <c r="CX953" s="8"/>
      <c r="CY953" s="8"/>
      <c r="CZ953" s="8"/>
    </row>
    <row r="954" spans="26:104" x14ac:dyDescent="0.35">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c r="CQ954" s="8"/>
      <c r="CR954" s="8"/>
      <c r="CS954" s="8"/>
      <c r="CT954" s="8"/>
      <c r="CU954" s="8"/>
      <c r="CV954" s="8"/>
      <c r="CW954" s="8"/>
      <c r="CX954" s="8"/>
      <c r="CY954" s="8"/>
      <c r="CZ954" s="8"/>
    </row>
    <row r="955" spans="26:104" x14ac:dyDescent="0.35">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c r="CR955" s="8"/>
      <c r="CS955" s="8"/>
      <c r="CT955" s="8"/>
      <c r="CU955" s="8"/>
      <c r="CV955" s="8"/>
      <c r="CW955" s="8"/>
      <c r="CX955" s="8"/>
      <c r="CY955" s="8"/>
      <c r="CZ955" s="8"/>
    </row>
    <row r="956" spans="26:104" x14ac:dyDescent="0.35">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c r="CQ956" s="8"/>
      <c r="CR956" s="8"/>
      <c r="CS956" s="8"/>
      <c r="CT956" s="8"/>
      <c r="CU956" s="8"/>
      <c r="CV956" s="8"/>
      <c r="CW956" s="8"/>
      <c r="CX956" s="8"/>
      <c r="CY956" s="8"/>
      <c r="CZ956" s="8"/>
    </row>
    <row r="957" spans="26:104" x14ac:dyDescent="0.35">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c r="CR957" s="8"/>
      <c r="CS957" s="8"/>
      <c r="CT957" s="8"/>
      <c r="CU957" s="8"/>
      <c r="CV957" s="8"/>
      <c r="CW957" s="8"/>
      <c r="CX957" s="8"/>
      <c r="CY957" s="8"/>
      <c r="CZ957" s="8"/>
    </row>
    <row r="958" spans="26:104" x14ac:dyDescent="0.35">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c r="CQ958" s="8"/>
      <c r="CR958" s="8"/>
      <c r="CS958" s="8"/>
      <c r="CT958" s="8"/>
      <c r="CU958" s="8"/>
      <c r="CV958" s="8"/>
      <c r="CW958" s="8"/>
      <c r="CX958" s="8"/>
      <c r="CY958" s="8"/>
      <c r="CZ958" s="8"/>
    </row>
    <row r="959" spans="26:104" x14ac:dyDescent="0.35">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c r="CP959" s="8"/>
      <c r="CQ959" s="8"/>
      <c r="CR959" s="8"/>
      <c r="CS959" s="8"/>
      <c r="CT959" s="8"/>
      <c r="CU959" s="8"/>
      <c r="CV959" s="8"/>
      <c r="CW959" s="8"/>
      <c r="CX959" s="8"/>
      <c r="CY959" s="8"/>
      <c r="CZ959" s="8"/>
    </row>
    <row r="960" spans="26:104" x14ac:dyDescent="0.35">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c r="CQ960" s="8"/>
      <c r="CR960" s="8"/>
      <c r="CS960" s="8"/>
      <c r="CT960" s="8"/>
      <c r="CU960" s="8"/>
      <c r="CV960" s="8"/>
      <c r="CW960" s="8"/>
      <c r="CX960" s="8"/>
      <c r="CY960" s="8"/>
      <c r="CZ960" s="8"/>
    </row>
    <row r="961" spans="26:104" x14ac:dyDescent="0.35">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c r="CP961" s="8"/>
      <c r="CQ961" s="8"/>
      <c r="CR961" s="8"/>
      <c r="CS961" s="8"/>
      <c r="CT961" s="8"/>
      <c r="CU961" s="8"/>
      <c r="CV961" s="8"/>
      <c r="CW961" s="8"/>
      <c r="CX961" s="8"/>
      <c r="CY961" s="8"/>
      <c r="CZ961" s="8"/>
    </row>
    <row r="962" spans="26:104" x14ac:dyDescent="0.35">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c r="CP962" s="8"/>
      <c r="CQ962" s="8"/>
      <c r="CR962" s="8"/>
      <c r="CS962" s="8"/>
      <c r="CT962" s="8"/>
      <c r="CU962" s="8"/>
      <c r="CV962" s="8"/>
      <c r="CW962" s="8"/>
      <c r="CX962" s="8"/>
      <c r="CY962" s="8"/>
      <c r="CZ962" s="8"/>
    </row>
    <row r="963" spans="26:104" x14ac:dyDescent="0.35">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c r="CP963" s="8"/>
      <c r="CQ963" s="8"/>
      <c r="CR963" s="8"/>
      <c r="CS963" s="8"/>
      <c r="CT963" s="8"/>
      <c r="CU963" s="8"/>
      <c r="CV963" s="8"/>
      <c r="CW963" s="8"/>
      <c r="CX963" s="8"/>
      <c r="CY963" s="8"/>
      <c r="CZ963" s="8"/>
    </row>
    <row r="964" spans="26:104" x14ac:dyDescent="0.35">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c r="CQ964" s="8"/>
      <c r="CR964" s="8"/>
      <c r="CS964" s="8"/>
      <c r="CT964" s="8"/>
      <c r="CU964" s="8"/>
      <c r="CV964" s="8"/>
      <c r="CW964" s="8"/>
      <c r="CX964" s="8"/>
      <c r="CY964" s="8"/>
      <c r="CZ964" s="8"/>
    </row>
    <row r="965" spans="26:104" x14ac:dyDescent="0.35">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c r="CR965" s="8"/>
      <c r="CS965" s="8"/>
      <c r="CT965" s="8"/>
      <c r="CU965" s="8"/>
      <c r="CV965" s="8"/>
      <c r="CW965" s="8"/>
      <c r="CX965" s="8"/>
      <c r="CY965" s="8"/>
      <c r="CZ965" s="8"/>
    </row>
    <row r="966" spans="26:104" x14ac:dyDescent="0.35">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c r="CR966" s="8"/>
      <c r="CS966" s="8"/>
      <c r="CT966" s="8"/>
      <c r="CU966" s="8"/>
      <c r="CV966" s="8"/>
      <c r="CW966" s="8"/>
      <c r="CX966" s="8"/>
      <c r="CY966" s="8"/>
      <c r="CZ966" s="8"/>
    </row>
    <row r="967" spans="26:104" x14ac:dyDescent="0.35">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c r="CT967" s="8"/>
      <c r="CU967" s="8"/>
      <c r="CV967" s="8"/>
      <c r="CW967" s="8"/>
      <c r="CX967" s="8"/>
      <c r="CY967" s="8"/>
      <c r="CZ967" s="8"/>
    </row>
    <row r="968" spans="26:104" x14ac:dyDescent="0.35">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c r="CQ968" s="8"/>
      <c r="CR968" s="8"/>
      <c r="CS968" s="8"/>
      <c r="CT968" s="8"/>
      <c r="CU968" s="8"/>
      <c r="CV968" s="8"/>
      <c r="CW968" s="8"/>
      <c r="CX968" s="8"/>
      <c r="CY968" s="8"/>
      <c r="CZ968" s="8"/>
    </row>
    <row r="969" spans="26:104" x14ac:dyDescent="0.35">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c r="CP969" s="8"/>
      <c r="CQ969" s="8"/>
      <c r="CR969" s="8"/>
      <c r="CS969" s="8"/>
      <c r="CT969" s="8"/>
      <c r="CU969" s="8"/>
      <c r="CV969" s="8"/>
      <c r="CW969" s="8"/>
      <c r="CX969" s="8"/>
      <c r="CY969" s="8"/>
      <c r="CZ969" s="8"/>
    </row>
    <row r="970" spans="26:104" x14ac:dyDescent="0.35">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c r="CP970" s="8"/>
      <c r="CQ970" s="8"/>
      <c r="CR970" s="8"/>
      <c r="CS970" s="8"/>
      <c r="CT970" s="8"/>
      <c r="CU970" s="8"/>
      <c r="CV970" s="8"/>
      <c r="CW970" s="8"/>
      <c r="CX970" s="8"/>
      <c r="CY970" s="8"/>
      <c r="CZ970" s="8"/>
    </row>
    <row r="971" spans="26:104" x14ac:dyDescent="0.35">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8"/>
      <c r="CS971" s="8"/>
      <c r="CT971" s="8"/>
      <c r="CU971" s="8"/>
      <c r="CV971" s="8"/>
      <c r="CW971" s="8"/>
      <c r="CX971" s="8"/>
      <c r="CY971" s="8"/>
      <c r="CZ971" s="8"/>
    </row>
    <row r="972" spans="26:104" x14ac:dyDescent="0.35">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c r="CQ972" s="8"/>
      <c r="CR972" s="8"/>
      <c r="CS972" s="8"/>
      <c r="CT972" s="8"/>
      <c r="CU972" s="8"/>
      <c r="CV972" s="8"/>
      <c r="CW972" s="8"/>
      <c r="CX972" s="8"/>
      <c r="CY972" s="8"/>
      <c r="CZ972" s="8"/>
    </row>
    <row r="973" spans="26:104" x14ac:dyDescent="0.35">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c r="CR973" s="8"/>
      <c r="CS973" s="8"/>
      <c r="CT973" s="8"/>
      <c r="CU973" s="8"/>
      <c r="CV973" s="8"/>
      <c r="CW973" s="8"/>
      <c r="CX973" s="8"/>
      <c r="CY973" s="8"/>
      <c r="CZ973" s="8"/>
    </row>
    <row r="974" spans="26:104" x14ac:dyDescent="0.35">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c r="CR974" s="8"/>
      <c r="CS974" s="8"/>
      <c r="CT974" s="8"/>
      <c r="CU974" s="8"/>
      <c r="CV974" s="8"/>
      <c r="CW974" s="8"/>
      <c r="CX974" s="8"/>
      <c r="CY974" s="8"/>
      <c r="CZ974" s="8"/>
    </row>
    <row r="975" spans="26:104" x14ac:dyDescent="0.35">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c r="CQ975" s="8"/>
      <c r="CR975" s="8"/>
      <c r="CS975" s="8"/>
      <c r="CT975" s="8"/>
      <c r="CU975" s="8"/>
      <c r="CV975" s="8"/>
      <c r="CW975" s="8"/>
      <c r="CX975" s="8"/>
      <c r="CY975" s="8"/>
      <c r="CZ975" s="8"/>
    </row>
    <row r="976" spans="26:104" x14ac:dyDescent="0.35">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c r="CR976" s="8"/>
      <c r="CS976" s="8"/>
      <c r="CT976" s="8"/>
      <c r="CU976" s="8"/>
      <c r="CV976" s="8"/>
      <c r="CW976" s="8"/>
      <c r="CX976" s="8"/>
      <c r="CY976" s="8"/>
      <c r="CZ976" s="8"/>
    </row>
    <row r="977" spans="26:104" x14ac:dyDescent="0.35">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c r="CR977" s="8"/>
      <c r="CS977" s="8"/>
      <c r="CT977" s="8"/>
      <c r="CU977" s="8"/>
      <c r="CV977" s="8"/>
      <c r="CW977" s="8"/>
      <c r="CX977" s="8"/>
      <c r="CY977" s="8"/>
      <c r="CZ977" s="8"/>
    </row>
    <row r="978" spans="26:104" x14ac:dyDescent="0.35">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c r="CR978" s="8"/>
      <c r="CS978" s="8"/>
      <c r="CT978" s="8"/>
      <c r="CU978" s="8"/>
      <c r="CV978" s="8"/>
      <c r="CW978" s="8"/>
      <c r="CX978" s="8"/>
      <c r="CY978" s="8"/>
      <c r="CZ978" s="8"/>
    </row>
    <row r="979" spans="26:104" x14ac:dyDescent="0.35">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c r="CP979" s="8"/>
      <c r="CQ979" s="8"/>
      <c r="CR979" s="8"/>
      <c r="CS979" s="8"/>
      <c r="CT979" s="8"/>
      <c r="CU979" s="8"/>
      <c r="CV979" s="8"/>
      <c r="CW979" s="8"/>
      <c r="CX979" s="8"/>
      <c r="CY979" s="8"/>
      <c r="CZ979" s="8"/>
    </row>
    <row r="980" spans="26:104" x14ac:dyDescent="0.35">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c r="CR980" s="8"/>
      <c r="CS980" s="8"/>
      <c r="CT980" s="8"/>
      <c r="CU980" s="8"/>
      <c r="CV980" s="8"/>
      <c r="CW980" s="8"/>
      <c r="CX980" s="8"/>
      <c r="CY980" s="8"/>
      <c r="CZ980" s="8"/>
    </row>
    <row r="981" spans="26:104" x14ac:dyDescent="0.35">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c r="CQ981" s="8"/>
      <c r="CR981" s="8"/>
      <c r="CS981" s="8"/>
      <c r="CT981" s="8"/>
      <c r="CU981" s="8"/>
      <c r="CV981" s="8"/>
      <c r="CW981" s="8"/>
      <c r="CX981" s="8"/>
      <c r="CY981" s="8"/>
      <c r="CZ981" s="8"/>
    </row>
    <row r="982" spans="26:104" x14ac:dyDescent="0.35">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c r="CR982" s="8"/>
      <c r="CS982" s="8"/>
      <c r="CT982" s="8"/>
      <c r="CU982" s="8"/>
      <c r="CV982" s="8"/>
      <c r="CW982" s="8"/>
      <c r="CX982" s="8"/>
      <c r="CY982" s="8"/>
      <c r="CZ982" s="8"/>
    </row>
    <row r="983" spans="26:104" x14ac:dyDescent="0.35">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c r="CR983" s="8"/>
      <c r="CS983" s="8"/>
      <c r="CT983" s="8"/>
      <c r="CU983" s="8"/>
      <c r="CV983" s="8"/>
      <c r="CW983" s="8"/>
      <c r="CX983" s="8"/>
      <c r="CY983" s="8"/>
      <c r="CZ983" s="8"/>
    </row>
    <row r="984" spans="26:104" x14ac:dyDescent="0.35">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c r="CR984" s="8"/>
      <c r="CS984" s="8"/>
      <c r="CT984" s="8"/>
      <c r="CU984" s="8"/>
      <c r="CV984" s="8"/>
      <c r="CW984" s="8"/>
      <c r="CX984" s="8"/>
      <c r="CY984" s="8"/>
      <c r="CZ984" s="8"/>
    </row>
    <row r="985" spans="26:104" x14ac:dyDescent="0.35">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c r="CP985" s="8"/>
      <c r="CQ985" s="8"/>
      <c r="CR985" s="8"/>
      <c r="CS985" s="8"/>
      <c r="CT985" s="8"/>
      <c r="CU985" s="8"/>
      <c r="CV985" s="8"/>
      <c r="CW985" s="8"/>
      <c r="CX985" s="8"/>
      <c r="CY985" s="8"/>
      <c r="CZ985" s="8"/>
    </row>
    <row r="986" spans="26:104" x14ac:dyDescent="0.35">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c r="CP986" s="8"/>
      <c r="CQ986" s="8"/>
      <c r="CR986" s="8"/>
      <c r="CS986" s="8"/>
      <c r="CT986" s="8"/>
      <c r="CU986" s="8"/>
      <c r="CV986" s="8"/>
      <c r="CW986" s="8"/>
      <c r="CX986" s="8"/>
      <c r="CY986" s="8"/>
      <c r="CZ986" s="8"/>
    </row>
    <row r="987" spans="26:104" x14ac:dyDescent="0.35">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c r="CO987" s="8"/>
      <c r="CP987" s="8"/>
      <c r="CQ987" s="8"/>
      <c r="CR987" s="8"/>
      <c r="CS987" s="8"/>
      <c r="CT987" s="8"/>
      <c r="CU987" s="8"/>
      <c r="CV987" s="8"/>
      <c r="CW987" s="8"/>
      <c r="CX987" s="8"/>
      <c r="CY987" s="8"/>
      <c r="CZ987" s="8"/>
    </row>
    <row r="988" spans="26:104" x14ac:dyDescent="0.35">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c r="CL988" s="8"/>
      <c r="CM988" s="8"/>
      <c r="CN988" s="8"/>
      <c r="CO988" s="8"/>
      <c r="CP988" s="8"/>
      <c r="CQ988" s="8"/>
      <c r="CR988" s="8"/>
      <c r="CS988" s="8"/>
      <c r="CT988" s="8"/>
      <c r="CU988" s="8"/>
      <c r="CV988" s="8"/>
      <c r="CW988" s="8"/>
      <c r="CX988" s="8"/>
      <c r="CY988" s="8"/>
      <c r="CZ988" s="8"/>
    </row>
    <row r="989" spans="26:104" x14ac:dyDescent="0.35">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c r="CQ989" s="8"/>
      <c r="CR989" s="8"/>
      <c r="CS989" s="8"/>
      <c r="CT989" s="8"/>
      <c r="CU989" s="8"/>
      <c r="CV989" s="8"/>
      <c r="CW989" s="8"/>
      <c r="CX989" s="8"/>
      <c r="CY989" s="8"/>
      <c r="CZ989" s="8"/>
    </row>
    <row r="990" spans="26:104" x14ac:dyDescent="0.35">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c r="CP990" s="8"/>
      <c r="CQ990" s="8"/>
      <c r="CR990" s="8"/>
      <c r="CS990" s="8"/>
      <c r="CT990" s="8"/>
      <c r="CU990" s="8"/>
      <c r="CV990" s="8"/>
      <c r="CW990" s="8"/>
      <c r="CX990" s="8"/>
      <c r="CY990" s="8"/>
      <c r="CZ990" s="8"/>
    </row>
    <row r="991" spans="26:104" x14ac:dyDescent="0.35">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c r="CP991" s="8"/>
      <c r="CQ991" s="8"/>
      <c r="CR991" s="8"/>
      <c r="CS991" s="8"/>
      <c r="CT991" s="8"/>
      <c r="CU991" s="8"/>
      <c r="CV991" s="8"/>
      <c r="CW991" s="8"/>
      <c r="CX991" s="8"/>
      <c r="CY991" s="8"/>
      <c r="CZ991" s="8"/>
    </row>
    <row r="992" spans="26:104" x14ac:dyDescent="0.35">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c r="CP992" s="8"/>
      <c r="CQ992" s="8"/>
      <c r="CR992" s="8"/>
      <c r="CS992" s="8"/>
      <c r="CT992" s="8"/>
      <c r="CU992" s="8"/>
      <c r="CV992" s="8"/>
      <c r="CW992" s="8"/>
      <c r="CX992" s="8"/>
      <c r="CY992" s="8"/>
      <c r="CZ992" s="8"/>
    </row>
    <row r="993" spans="26:104" x14ac:dyDescent="0.35">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c r="CP993" s="8"/>
      <c r="CQ993" s="8"/>
      <c r="CR993" s="8"/>
      <c r="CS993" s="8"/>
      <c r="CT993" s="8"/>
      <c r="CU993" s="8"/>
      <c r="CV993" s="8"/>
      <c r="CW993" s="8"/>
      <c r="CX993" s="8"/>
      <c r="CY993" s="8"/>
      <c r="CZ993" s="8"/>
    </row>
    <row r="994" spans="26:104" x14ac:dyDescent="0.35">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c r="CP994" s="8"/>
      <c r="CQ994" s="8"/>
      <c r="CR994" s="8"/>
      <c r="CS994" s="8"/>
      <c r="CT994" s="8"/>
      <c r="CU994" s="8"/>
      <c r="CV994" s="8"/>
      <c r="CW994" s="8"/>
      <c r="CX994" s="8"/>
      <c r="CY994" s="8"/>
      <c r="CZ994" s="8"/>
    </row>
    <row r="995" spans="26:104" x14ac:dyDescent="0.35">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c r="CP995" s="8"/>
      <c r="CQ995" s="8"/>
      <c r="CR995" s="8"/>
      <c r="CS995" s="8"/>
      <c r="CT995" s="8"/>
      <c r="CU995" s="8"/>
      <c r="CV995" s="8"/>
      <c r="CW995" s="8"/>
      <c r="CX995" s="8"/>
      <c r="CY995" s="8"/>
      <c r="CZ995" s="8"/>
    </row>
    <row r="996" spans="26:104" x14ac:dyDescent="0.35">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c r="CL996" s="8"/>
      <c r="CM996" s="8"/>
      <c r="CN996" s="8"/>
      <c r="CO996" s="8"/>
      <c r="CP996" s="8"/>
      <c r="CQ996" s="8"/>
      <c r="CR996" s="8"/>
      <c r="CS996" s="8"/>
      <c r="CT996" s="8"/>
      <c r="CU996" s="8"/>
      <c r="CV996" s="8"/>
      <c r="CW996" s="8"/>
      <c r="CX996" s="8"/>
      <c r="CY996" s="8"/>
      <c r="CZ996" s="8"/>
    </row>
    <row r="997" spans="26:104" x14ac:dyDescent="0.35">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c r="CL997" s="8"/>
      <c r="CM997" s="8"/>
      <c r="CN997" s="8"/>
      <c r="CO997" s="8"/>
      <c r="CP997" s="8"/>
      <c r="CQ997" s="8"/>
      <c r="CR997" s="8"/>
      <c r="CS997" s="8"/>
      <c r="CT997" s="8"/>
      <c r="CU997" s="8"/>
      <c r="CV997" s="8"/>
      <c r="CW997" s="8"/>
      <c r="CX997" s="8"/>
      <c r="CY997" s="8"/>
      <c r="CZ997" s="8"/>
    </row>
    <row r="998" spans="26:104" x14ac:dyDescent="0.35">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c r="CL998" s="8"/>
      <c r="CM998" s="8"/>
      <c r="CN998" s="8"/>
      <c r="CO998" s="8"/>
      <c r="CP998" s="8"/>
      <c r="CQ998" s="8"/>
      <c r="CR998" s="8"/>
      <c r="CS998" s="8"/>
      <c r="CT998" s="8"/>
      <c r="CU998" s="8"/>
      <c r="CV998" s="8"/>
      <c r="CW998" s="8"/>
      <c r="CX998" s="8"/>
      <c r="CY998" s="8"/>
      <c r="CZ998" s="8"/>
    </row>
    <row r="999" spans="26:104" x14ac:dyDescent="0.35">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c r="CL999" s="8"/>
      <c r="CM999" s="8"/>
      <c r="CN999" s="8"/>
      <c r="CO999" s="8"/>
      <c r="CP999" s="8"/>
      <c r="CQ999" s="8"/>
      <c r="CR999" s="8"/>
      <c r="CS999" s="8"/>
      <c r="CT999" s="8"/>
      <c r="CU999" s="8"/>
      <c r="CV999" s="8"/>
      <c r="CW999" s="8"/>
      <c r="CX999" s="8"/>
      <c r="CY999" s="8"/>
      <c r="CZ999" s="8"/>
    </row>
    <row r="1000" spans="26:104" x14ac:dyDescent="0.35">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c r="CL1000" s="8"/>
      <c r="CM1000" s="8"/>
      <c r="CN1000" s="8"/>
      <c r="CO1000" s="8"/>
      <c r="CP1000" s="8"/>
      <c r="CQ1000" s="8"/>
      <c r="CR1000" s="8"/>
      <c r="CS1000" s="8"/>
      <c r="CT1000" s="8"/>
      <c r="CU1000" s="8"/>
      <c r="CV1000" s="8"/>
      <c r="CW1000" s="8"/>
      <c r="CX1000" s="8"/>
      <c r="CY1000" s="8"/>
      <c r="CZ1000" s="8"/>
    </row>
    <row r="1001" spans="26:104" x14ac:dyDescent="0.35">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c r="BR1001" s="8"/>
      <c r="BS1001" s="8"/>
      <c r="BT1001" s="8"/>
      <c r="BU1001" s="8"/>
      <c r="BV1001" s="8"/>
      <c r="BW1001" s="8"/>
      <c r="BX1001" s="8"/>
      <c r="BY1001" s="8"/>
      <c r="BZ1001" s="8"/>
      <c r="CA1001" s="8"/>
      <c r="CB1001" s="8"/>
      <c r="CC1001" s="8"/>
      <c r="CD1001" s="8"/>
      <c r="CE1001" s="8"/>
      <c r="CF1001" s="8"/>
      <c r="CG1001" s="8"/>
      <c r="CH1001" s="8"/>
      <c r="CI1001" s="8"/>
      <c r="CJ1001" s="8"/>
      <c r="CK1001" s="8"/>
      <c r="CL1001" s="8"/>
      <c r="CM1001" s="8"/>
      <c r="CN1001" s="8"/>
      <c r="CO1001" s="8"/>
      <c r="CP1001" s="8"/>
      <c r="CQ1001" s="8"/>
      <c r="CR1001" s="8"/>
      <c r="CS1001" s="8"/>
      <c r="CT1001" s="8"/>
      <c r="CU1001" s="8"/>
      <c r="CV1001" s="8"/>
      <c r="CW1001" s="8"/>
      <c r="CX1001" s="8"/>
      <c r="CY1001" s="8"/>
      <c r="CZ1001" s="8"/>
    </row>
    <row r="1002" spans="26:104" x14ac:dyDescent="0.35">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c r="BR1002" s="8"/>
      <c r="BS1002" s="8"/>
      <c r="BT1002" s="8"/>
      <c r="BU1002" s="8"/>
      <c r="BV1002" s="8"/>
      <c r="BW1002" s="8"/>
      <c r="BX1002" s="8"/>
      <c r="BY1002" s="8"/>
      <c r="BZ1002" s="8"/>
      <c r="CA1002" s="8"/>
      <c r="CB1002" s="8"/>
      <c r="CC1002" s="8"/>
      <c r="CD1002" s="8"/>
      <c r="CE1002" s="8"/>
      <c r="CF1002" s="8"/>
      <c r="CG1002" s="8"/>
      <c r="CH1002" s="8"/>
      <c r="CI1002" s="8"/>
      <c r="CJ1002" s="8"/>
      <c r="CK1002" s="8"/>
      <c r="CL1002" s="8"/>
      <c r="CM1002" s="8"/>
      <c r="CN1002" s="8"/>
      <c r="CO1002" s="8"/>
      <c r="CP1002" s="8"/>
      <c r="CQ1002" s="8"/>
      <c r="CR1002" s="8"/>
      <c r="CS1002" s="8"/>
      <c r="CT1002" s="8"/>
      <c r="CU1002" s="8"/>
      <c r="CV1002" s="8"/>
      <c r="CW1002" s="8"/>
      <c r="CX1002" s="8"/>
      <c r="CY1002" s="8"/>
      <c r="CZ1002" s="8"/>
    </row>
    <row r="1003" spans="26:104" x14ac:dyDescent="0.35">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8"/>
      <c r="BR1003" s="8"/>
      <c r="BS1003" s="8"/>
      <c r="BT1003" s="8"/>
      <c r="BU1003" s="8"/>
      <c r="BV1003" s="8"/>
      <c r="BW1003" s="8"/>
      <c r="BX1003" s="8"/>
      <c r="BY1003" s="8"/>
      <c r="BZ1003" s="8"/>
      <c r="CA1003" s="8"/>
      <c r="CB1003" s="8"/>
      <c r="CC1003" s="8"/>
      <c r="CD1003" s="8"/>
      <c r="CE1003" s="8"/>
      <c r="CF1003" s="8"/>
      <c r="CG1003" s="8"/>
      <c r="CH1003" s="8"/>
      <c r="CI1003" s="8"/>
      <c r="CJ1003" s="8"/>
      <c r="CK1003" s="8"/>
      <c r="CL1003" s="8"/>
      <c r="CM1003" s="8"/>
      <c r="CN1003" s="8"/>
      <c r="CO1003" s="8"/>
      <c r="CP1003" s="8"/>
      <c r="CQ1003" s="8"/>
      <c r="CR1003" s="8"/>
      <c r="CS1003" s="8"/>
      <c r="CT1003" s="8"/>
      <c r="CU1003" s="8"/>
      <c r="CV1003" s="8"/>
      <c r="CW1003" s="8"/>
      <c r="CX1003" s="8"/>
      <c r="CY1003" s="8"/>
      <c r="CZ1003" s="8"/>
    </row>
    <row r="1004" spans="26:104" x14ac:dyDescent="0.35">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8"/>
      <c r="BR1004" s="8"/>
      <c r="BS1004" s="8"/>
      <c r="BT1004" s="8"/>
      <c r="BU1004" s="8"/>
      <c r="BV1004" s="8"/>
      <c r="BW1004" s="8"/>
      <c r="BX1004" s="8"/>
      <c r="BY1004" s="8"/>
      <c r="BZ1004" s="8"/>
      <c r="CA1004" s="8"/>
      <c r="CB1004" s="8"/>
      <c r="CC1004" s="8"/>
      <c r="CD1004" s="8"/>
      <c r="CE1004" s="8"/>
      <c r="CF1004" s="8"/>
      <c r="CG1004" s="8"/>
      <c r="CH1004" s="8"/>
      <c r="CI1004" s="8"/>
      <c r="CJ1004" s="8"/>
      <c r="CK1004" s="8"/>
      <c r="CL1004" s="8"/>
      <c r="CM1004" s="8"/>
      <c r="CN1004" s="8"/>
      <c r="CO1004" s="8"/>
      <c r="CP1004" s="8"/>
      <c r="CQ1004" s="8"/>
      <c r="CR1004" s="8"/>
      <c r="CS1004" s="8"/>
      <c r="CT1004" s="8"/>
      <c r="CU1004" s="8"/>
      <c r="CV1004" s="8"/>
      <c r="CW1004" s="8"/>
      <c r="CX1004" s="8"/>
      <c r="CY1004" s="8"/>
      <c r="CZ1004" s="8"/>
    </row>
    <row r="1005" spans="26:104" x14ac:dyDescent="0.35">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8"/>
      <c r="BR1005" s="8"/>
      <c r="BS1005" s="8"/>
      <c r="BT1005" s="8"/>
      <c r="BU1005" s="8"/>
      <c r="BV1005" s="8"/>
      <c r="BW1005" s="8"/>
      <c r="BX1005" s="8"/>
      <c r="BY1005" s="8"/>
      <c r="BZ1005" s="8"/>
      <c r="CA1005" s="8"/>
      <c r="CB1005" s="8"/>
      <c r="CC1005" s="8"/>
      <c r="CD1005" s="8"/>
      <c r="CE1005" s="8"/>
      <c r="CF1005" s="8"/>
      <c r="CG1005" s="8"/>
      <c r="CH1005" s="8"/>
      <c r="CI1005" s="8"/>
      <c r="CJ1005" s="8"/>
      <c r="CK1005" s="8"/>
      <c r="CL1005" s="8"/>
      <c r="CM1005" s="8"/>
      <c r="CN1005" s="8"/>
      <c r="CO1005" s="8"/>
      <c r="CP1005" s="8"/>
      <c r="CQ1005" s="8"/>
      <c r="CR1005" s="8"/>
      <c r="CS1005" s="8"/>
      <c r="CT1005" s="8"/>
      <c r="CU1005" s="8"/>
      <c r="CV1005" s="8"/>
      <c r="CW1005" s="8"/>
      <c r="CX1005" s="8"/>
      <c r="CY1005" s="8"/>
      <c r="CZ1005" s="8"/>
    </row>
    <row r="1006" spans="26:104" x14ac:dyDescent="0.35">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8"/>
      <c r="BR1006" s="8"/>
      <c r="BS1006" s="8"/>
      <c r="BT1006" s="8"/>
      <c r="BU1006" s="8"/>
      <c r="BV1006" s="8"/>
      <c r="BW1006" s="8"/>
      <c r="BX1006" s="8"/>
      <c r="BY1006" s="8"/>
      <c r="BZ1006" s="8"/>
      <c r="CA1006" s="8"/>
      <c r="CB1006" s="8"/>
      <c r="CC1006" s="8"/>
      <c r="CD1006" s="8"/>
      <c r="CE1006" s="8"/>
      <c r="CF1006" s="8"/>
      <c r="CG1006" s="8"/>
      <c r="CH1006" s="8"/>
      <c r="CI1006" s="8"/>
      <c r="CJ1006" s="8"/>
      <c r="CK1006" s="8"/>
      <c r="CL1006" s="8"/>
      <c r="CM1006" s="8"/>
      <c r="CN1006" s="8"/>
      <c r="CO1006" s="8"/>
      <c r="CP1006" s="8"/>
      <c r="CQ1006" s="8"/>
      <c r="CR1006" s="8"/>
      <c r="CS1006" s="8"/>
      <c r="CT1006" s="8"/>
      <c r="CU1006" s="8"/>
      <c r="CV1006" s="8"/>
      <c r="CW1006" s="8"/>
      <c r="CX1006" s="8"/>
      <c r="CY1006" s="8"/>
      <c r="CZ1006" s="8"/>
    </row>
    <row r="1007" spans="26:104" x14ac:dyDescent="0.35">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c r="BR1007" s="8"/>
      <c r="BS1007" s="8"/>
      <c r="BT1007" s="8"/>
      <c r="BU1007" s="8"/>
      <c r="BV1007" s="8"/>
      <c r="BW1007" s="8"/>
      <c r="BX1007" s="8"/>
      <c r="BY1007" s="8"/>
      <c r="BZ1007" s="8"/>
      <c r="CA1007" s="8"/>
      <c r="CB1007" s="8"/>
      <c r="CC1007" s="8"/>
      <c r="CD1007" s="8"/>
      <c r="CE1007" s="8"/>
      <c r="CF1007" s="8"/>
      <c r="CG1007" s="8"/>
      <c r="CH1007" s="8"/>
      <c r="CI1007" s="8"/>
      <c r="CJ1007" s="8"/>
      <c r="CK1007" s="8"/>
      <c r="CL1007" s="8"/>
      <c r="CM1007" s="8"/>
      <c r="CN1007" s="8"/>
      <c r="CO1007" s="8"/>
      <c r="CP1007" s="8"/>
      <c r="CQ1007" s="8"/>
      <c r="CR1007" s="8"/>
      <c r="CS1007" s="8"/>
      <c r="CT1007" s="8"/>
      <c r="CU1007" s="8"/>
      <c r="CV1007" s="8"/>
      <c r="CW1007" s="8"/>
      <c r="CX1007" s="8"/>
      <c r="CY1007" s="8"/>
      <c r="CZ1007" s="8"/>
    </row>
    <row r="1008" spans="26:104" x14ac:dyDescent="0.35">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c r="BR1008" s="8"/>
      <c r="BS1008" s="8"/>
      <c r="BT1008" s="8"/>
      <c r="BU1008" s="8"/>
      <c r="BV1008" s="8"/>
      <c r="BW1008" s="8"/>
      <c r="BX1008" s="8"/>
      <c r="BY1008" s="8"/>
      <c r="BZ1008" s="8"/>
      <c r="CA1008" s="8"/>
      <c r="CB1008" s="8"/>
      <c r="CC1008" s="8"/>
      <c r="CD1008" s="8"/>
      <c r="CE1008" s="8"/>
      <c r="CF1008" s="8"/>
      <c r="CG1008" s="8"/>
      <c r="CH1008" s="8"/>
      <c r="CI1008" s="8"/>
      <c r="CJ1008" s="8"/>
      <c r="CK1008" s="8"/>
      <c r="CL1008" s="8"/>
      <c r="CM1008" s="8"/>
      <c r="CN1008" s="8"/>
      <c r="CO1008" s="8"/>
      <c r="CP1008" s="8"/>
      <c r="CQ1008" s="8"/>
      <c r="CR1008" s="8"/>
      <c r="CS1008" s="8"/>
      <c r="CT1008" s="8"/>
      <c r="CU1008" s="8"/>
      <c r="CV1008" s="8"/>
      <c r="CW1008" s="8"/>
      <c r="CX1008" s="8"/>
      <c r="CY1008" s="8"/>
      <c r="CZ1008" s="8"/>
    </row>
    <row r="1009" spans="26:104" x14ac:dyDescent="0.35">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c r="BL1009" s="8"/>
      <c r="BM1009" s="8"/>
      <c r="BN1009" s="8"/>
      <c r="BO1009" s="8"/>
      <c r="BP1009" s="8"/>
      <c r="BQ1009" s="8"/>
      <c r="BR1009" s="8"/>
      <c r="BS1009" s="8"/>
      <c r="BT1009" s="8"/>
      <c r="BU1009" s="8"/>
      <c r="BV1009" s="8"/>
      <c r="BW1009" s="8"/>
      <c r="BX1009" s="8"/>
      <c r="BY1009" s="8"/>
      <c r="BZ1009" s="8"/>
      <c r="CA1009" s="8"/>
      <c r="CB1009" s="8"/>
      <c r="CC1009" s="8"/>
      <c r="CD1009" s="8"/>
      <c r="CE1009" s="8"/>
      <c r="CF1009" s="8"/>
      <c r="CG1009" s="8"/>
      <c r="CH1009" s="8"/>
      <c r="CI1009" s="8"/>
      <c r="CJ1009" s="8"/>
      <c r="CK1009" s="8"/>
      <c r="CL1009" s="8"/>
      <c r="CM1009" s="8"/>
      <c r="CN1009" s="8"/>
      <c r="CO1009" s="8"/>
      <c r="CP1009" s="8"/>
      <c r="CQ1009" s="8"/>
      <c r="CR1009" s="8"/>
      <c r="CS1009" s="8"/>
      <c r="CT1009" s="8"/>
      <c r="CU1009" s="8"/>
      <c r="CV1009" s="8"/>
      <c r="CW1009" s="8"/>
      <c r="CX1009" s="8"/>
      <c r="CY1009" s="8"/>
      <c r="CZ1009" s="8"/>
    </row>
    <row r="1010" spans="26:104" x14ac:dyDescent="0.35">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c r="BL1010" s="8"/>
      <c r="BM1010" s="8"/>
      <c r="BN1010" s="8"/>
      <c r="BO1010" s="8"/>
      <c r="BP1010" s="8"/>
      <c r="BQ1010" s="8"/>
      <c r="BR1010" s="8"/>
      <c r="BS1010" s="8"/>
      <c r="BT1010" s="8"/>
      <c r="BU1010" s="8"/>
      <c r="BV1010" s="8"/>
      <c r="BW1010" s="8"/>
      <c r="BX1010" s="8"/>
      <c r="BY1010" s="8"/>
      <c r="BZ1010" s="8"/>
      <c r="CA1010" s="8"/>
      <c r="CB1010" s="8"/>
      <c r="CC1010" s="8"/>
      <c r="CD1010" s="8"/>
      <c r="CE1010" s="8"/>
      <c r="CF1010" s="8"/>
      <c r="CG1010" s="8"/>
      <c r="CH1010" s="8"/>
      <c r="CI1010" s="8"/>
      <c r="CJ1010" s="8"/>
      <c r="CK1010" s="8"/>
      <c r="CL1010" s="8"/>
      <c r="CM1010" s="8"/>
      <c r="CN1010" s="8"/>
      <c r="CO1010" s="8"/>
      <c r="CP1010" s="8"/>
      <c r="CQ1010" s="8"/>
      <c r="CR1010" s="8"/>
      <c r="CS1010" s="8"/>
      <c r="CT1010" s="8"/>
      <c r="CU1010" s="8"/>
      <c r="CV1010" s="8"/>
      <c r="CW1010" s="8"/>
      <c r="CX1010" s="8"/>
      <c r="CY1010" s="8"/>
      <c r="CZ1010" s="8"/>
    </row>
    <row r="1011" spans="26:104" x14ac:dyDescent="0.35">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c r="BL1011" s="8"/>
      <c r="BM1011" s="8"/>
      <c r="BN1011" s="8"/>
      <c r="BO1011" s="8"/>
      <c r="BP1011" s="8"/>
      <c r="BQ1011" s="8"/>
      <c r="BR1011" s="8"/>
      <c r="BS1011" s="8"/>
      <c r="BT1011" s="8"/>
      <c r="BU1011" s="8"/>
      <c r="BV1011" s="8"/>
      <c r="BW1011" s="8"/>
      <c r="BX1011" s="8"/>
      <c r="BY1011" s="8"/>
      <c r="BZ1011" s="8"/>
      <c r="CA1011" s="8"/>
      <c r="CB1011" s="8"/>
      <c r="CC1011" s="8"/>
      <c r="CD1011" s="8"/>
      <c r="CE1011" s="8"/>
      <c r="CF1011" s="8"/>
      <c r="CG1011" s="8"/>
      <c r="CH1011" s="8"/>
      <c r="CI1011" s="8"/>
      <c r="CJ1011" s="8"/>
      <c r="CK1011" s="8"/>
      <c r="CL1011" s="8"/>
      <c r="CM1011" s="8"/>
      <c r="CN1011" s="8"/>
      <c r="CO1011" s="8"/>
      <c r="CP1011" s="8"/>
      <c r="CQ1011" s="8"/>
      <c r="CR1011" s="8"/>
      <c r="CS1011" s="8"/>
      <c r="CT1011" s="8"/>
      <c r="CU1011" s="8"/>
      <c r="CV1011" s="8"/>
      <c r="CW1011" s="8"/>
      <c r="CX1011" s="8"/>
      <c r="CY1011" s="8"/>
      <c r="CZ1011" s="8"/>
    </row>
    <row r="1012" spans="26:104" x14ac:dyDescent="0.35">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c r="BR1012" s="8"/>
      <c r="BS1012" s="8"/>
      <c r="BT1012" s="8"/>
      <c r="BU1012" s="8"/>
      <c r="BV1012" s="8"/>
      <c r="BW1012" s="8"/>
      <c r="BX1012" s="8"/>
      <c r="BY1012" s="8"/>
      <c r="BZ1012" s="8"/>
      <c r="CA1012" s="8"/>
      <c r="CB1012" s="8"/>
      <c r="CC1012" s="8"/>
      <c r="CD1012" s="8"/>
      <c r="CE1012" s="8"/>
      <c r="CF1012" s="8"/>
      <c r="CG1012" s="8"/>
      <c r="CH1012" s="8"/>
      <c r="CI1012" s="8"/>
      <c r="CJ1012" s="8"/>
      <c r="CK1012" s="8"/>
      <c r="CL1012" s="8"/>
      <c r="CM1012" s="8"/>
      <c r="CN1012" s="8"/>
      <c r="CO1012" s="8"/>
      <c r="CP1012" s="8"/>
      <c r="CQ1012" s="8"/>
      <c r="CR1012" s="8"/>
      <c r="CS1012" s="8"/>
      <c r="CT1012" s="8"/>
      <c r="CU1012" s="8"/>
      <c r="CV1012" s="8"/>
      <c r="CW1012" s="8"/>
      <c r="CX1012" s="8"/>
      <c r="CY1012" s="8"/>
      <c r="CZ1012" s="8"/>
    </row>
    <row r="1013" spans="26:104" x14ac:dyDescent="0.35">
      <c r="Z1013" s="8"/>
      <c r="AA1013" s="8"/>
      <c r="AB1013" s="8"/>
      <c r="AC1013" s="8"/>
      <c r="AD1013" s="8"/>
      <c r="AE1013" s="8"/>
      <c r="AF1013" s="8"/>
      <c r="AG1013" s="8"/>
      <c r="AH1013" s="8"/>
      <c r="AI1013" s="8"/>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c r="BL1013" s="8"/>
      <c r="BM1013" s="8"/>
      <c r="BN1013" s="8"/>
      <c r="BO1013" s="8"/>
      <c r="BP1013" s="8"/>
      <c r="BQ1013" s="8"/>
      <c r="BR1013" s="8"/>
      <c r="BS1013" s="8"/>
      <c r="BT1013" s="8"/>
      <c r="BU1013" s="8"/>
      <c r="BV1013" s="8"/>
      <c r="BW1013" s="8"/>
      <c r="BX1013" s="8"/>
      <c r="BY1013" s="8"/>
      <c r="BZ1013" s="8"/>
      <c r="CA1013" s="8"/>
      <c r="CB1013" s="8"/>
      <c r="CC1013" s="8"/>
      <c r="CD1013" s="8"/>
      <c r="CE1013" s="8"/>
      <c r="CF1013" s="8"/>
      <c r="CG1013" s="8"/>
      <c r="CH1013" s="8"/>
      <c r="CI1013" s="8"/>
      <c r="CJ1013" s="8"/>
      <c r="CK1013" s="8"/>
      <c r="CL1013" s="8"/>
      <c r="CM1013" s="8"/>
      <c r="CN1013" s="8"/>
      <c r="CO1013" s="8"/>
      <c r="CP1013" s="8"/>
      <c r="CQ1013" s="8"/>
      <c r="CR1013" s="8"/>
      <c r="CS1013" s="8"/>
      <c r="CT1013" s="8"/>
      <c r="CU1013" s="8"/>
      <c r="CV1013" s="8"/>
      <c r="CW1013" s="8"/>
      <c r="CX1013" s="8"/>
      <c r="CY1013" s="8"/>
      <c r="CZ1013" s="8"/>
    </row>
    <row r="1014" spans="26:104" x14ac:dyDescent="0.35">
      <c r="Z1014" s="8"/>
      <c r="AA1014" s="8"/>
      <c r="AB1014" s="8"/>
      <c r="AC1014" s="8"/>
      <c r="AD1014" s="8"/>
      <c r="AE1014" s="8"/>
      <c r="AF1014" s="8"/>
      <c r="AG1014" s="8"/>
      <c r="AH1014" s="8"/>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c r="BL1014" s="8"/>
      <c r="BM1014" s="8"/>
      <c r="BN1014" s="8"/>
      <c r="BO1014" s="8"/>
      <c r="BP1014" s="8"/>
      <c r="BQ1014" s="8"/>
      <c r="BR1014" s="8"/>
      <c r="BS1014" s="8"/>
      <c r="BT1014" s="8"/>
      <c r="BU1014" s="8"/>
      <c r="BV1014" s="8"/>
      <c r="BW1014" s="8"/>
      <c r="BX1014" s="8"/>
      <c r="BY1014" s="8"/>
      <c r="BZ1014" s="8"/>
      <c r="CA1014" s="8"/>
      <c r="CB1014" s="8"/>
      <c r="CC1014" s="8"/>
      <c r="CD1014" s="8"/>
      <c r="CE1014" s="8"/>
      <c r="CF1014" s="8"/>
      <c r="CG1014" s="8"/>
      <c r="CH1014" s="8"/>
      <c r="CI1014" s="8"/>
      <c r="CJ1014" s="8"/>
      <c r="CK1014" s="8"/>
      <c r="CL1014" s="8"/>
      <c r="CM1014" s="8"/>
      <c r="CN1014" s="8"/>
      <c r="CO1014" s="8"/>
      <c r="CP1014" s="8"/>
      <c r="CQ1014" s="8"/>
      <c r="CR1014" s="8"/>
      <c r="CS1014" s="8"/>
      <c r="CT1014" s="8"/>
      <c r="CU1014" s="8"/>
      <c r="CV1014" s="8"/>
      <c r="CW1014" s="8"/>
      <c r="CX1014" s="8"/>
      <c r="CY1014" s="8"/>
      <c r="CZ1014" s="8"/>
    </row>
    <row r="1015" spans="26:104" x14ac:dyDescent="0.35">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8"/>
      <c r="BR1015" s="8"/>
      <c r="BS1015" s="8"/>
      <c r="BT1015" s="8"/>
      <c r="BU1015" s="8"/>
      <c r="BV1015" s="8"/>
      <c r="BW1015" s="8"/>
      <c r="BX1015" s="8"/>
      <c r="BY1015" s="8"/>
      <c r="BZ1015" s="8"/>
      <c r="CA1015" s="8"/>
      <c r="CB1015" s="8"/>
      <c r="CC1015" s="8"/>
      <c r="CD1015" s="8"/>
      <c r="CE1015" s="8"/>
      <c r="CF1015" s="8"/>
      <c r="CG1015" s="8"/>
      <c r="CH1015" s="8"/>
      <c r="CI1015" s="8"/>
      <c r="CJ1015" s="8"/>
      <c r="CK1015" s="8"/>
      <c r="CL1015" s="8"/>
      <c r="CM1015" s="8"/>
      <c r="CN1015" s="8"/>
      <c r="CO1015" s="8"/>
      <c r="CP1015" s="8"/>
      <c r="CQ1015" s="8"/>
      <c r="CR1015" s="8"/>
      <c r="CS1015" s="8"/>
      <c r="CT1015" s="8"/>
      <c r="CU1015" s="8"/>
      <c r="CV1015" s="8"/>
      <c r="CW1015" s="8"/>
      <c r="CX1015" s="8"/>
      <c r="CY1015" s="8"/>
      <c r="CZ1015" s="8"/>
    </row>
    <row r="1016" spans="26:104" x14ac:dyDescent="0.35">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8"/>
      <c r="BR1016" s="8"/>
      <c r="BS1016" s="8"/>
      <c r="BT1016" s="8"/>
      <c r="BU1016" s="8"/>
      <c r="BV1016" s="8"/>
      <c r="BW1016" s="8"/>
      <c r="BX1016" s="8"/>
      <c r="BY1016" s="8"/>
      <c r="BZ1016" s="8"/>
      <c r="CA1016" s="8"/>
      <c r="CB1016" s="8"/>
      <c r="CC1016" s="8"/>
      <c r="CD1016" s="8"/>
      <c r="CE1016" s="8"/>
      <c r="CF1016" s="8"/>
      <c r="CG1016" s="8"/>
      <c r="CH1016" s="8"/>
      <c r="CI1016" s="8"/>
      <c r="CJ1016" s="8"/>
      <c r="CK1016" s="8"/>
      <c r="CL1016" s="8"/>
      <c r="CM1016" s="8"/>
      <c r="CN1016" s="8"/>
      <c r="CO1016" s="8"/>
      <c r="CP1016" s="8"/>
      <c r="CQ1016" s="8"/>
      <c r="CR1016" s="8"/>
      <c r="CS1016" s="8"/>
      <c r="CT1016" s="8"/>
      <c r="CU1016" s="8"/>
      <c r="CV1016" s="8"/>
      <c r="CW1016" s="8"/>
      <c r="CX1016" s="8"/>
      <c r="CY1016" s="8"/>
      <c r="CZ1016" s="8"/>
    </row>
    <row r="1017" spans="26:104" x14ac:dyDescent="0.35">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c r="BL1017" s="8"/>
      <c r="BM1017" s="8"/>
      <c r="BN1017" s="8"/>
      <c r="BO1017" s="8"/>
      <c r="BP1017" s="8"/>
      <c r="BQ1017" s="8"/>
      <c r="BR1017" s="8"/>
      <c r="BS1017" s="8"/>
      <c r="BT1017" s="8"/>
      <c r="BU1017" s="8"/>
      <c r="BV1017" s="8"/>
      <c r="BW1017" s="8"/>
      <c r="BX1017" s="8"/>
      <c r="BY1017" s="8"/>
      <c r="BZ1017" s="8"/>
      <c r="CA1017" s="8"/>
      <c r="CB1017" s="8"/>
      <c r="CC1017" s="8"/>
      <c r="CD1017" s="8"/>
      <c r="CE1017" s="8"/>
      <c r="CF1017" s="8"/>
      <c r="CG1017" s="8"/>
      <c r="CH1017" s="8"/>
      <c r="CI1017" s="8"/>
      <c r="CJ1017" s="8"/>
      <c r="CK1017" s="8"/>
      <c r="CL1017" s="8"/>
      <c r="CM1017" s="8"/>
      <c r="CN1017" s="8"/>
      <c r="CO1017" s="8"/>
      <c r="CP1017" s="8"/>
      <c r="CQ1017" s="8"/>
      <c r="CR1017" s="8"/>
      <c r="CS1017" s="8"/>
      <c r="CT1017" s="8"/>
      <c r="CU1017" s="8"/>
      <c r="CV1017" s="8"/>
      <c r="CW1017" s="8"/>
      <c r="CX1017" s="8"/>
      <c r="CY1017" s="8"/>
      <c r="CZ1017" s="8"/>
    </row>
    <row r="1018" spans="26:104" x14ac:dyDescent="0.35">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c r="BL1018" s="8"/>
      <c r="BM1018" s="8"/>
      <c r="BN1018" s="8"/>
      <c r="BO1018" s="8"/>
      <c r="BP1018" s="8"/>
      <c r="BQ1018" s="8"/>
      <c r="BR1018" s="8"/>
      <c r="BS1018" s="8"/>
      <c r="BT1018" s="8"/>
      <c r="BU1018" s="8"/>
      <c r="BV1018" s="8"/>
      <c r="BW1018" s="8"/>
      <c r="BX1018" s="8"/>
      <c r="BY1018" s="8"/>
      <c r="BZ1018" s="8"/>
      <c r="CA1018" s="8"/>
      <c r="CB1018" s="8"/>
      <c r="CC1018" s="8"/>
      <c r="CD1018" s="8"/>
      <c r="CE1018" s="8"/>
      <c r="CF1018" s="8"/>
      <c r="CG1018" s="8"/>
      <c r="CH1018" s="8"/>
      <c r="CI1018" s="8"/>
      <c r="CJ1018" s="8"/>
      <c r="CK1018" s="8"/>
      <c r="CL1018" s="8"/>
      <c r="CM1018" s="8"/>
      <c r="CN1018" s="8"/>
      <c r="CO1018" s="8"/>
      <c r="CP1018" s="8"/>
      <c r="CQ1018" s="8"/>
      <c r="CR1018" s="8"/>
      <c r="CS1018" s="8"/>
      <c r="CT1018" s="8"/>
      <c r="CU1018" s="8"/>
      <c r="CV1018" s="8"/>
      <c r="CW1018" s="8"/>
      <c r="CX1018" s="8"/>
      <c r="CY1018" s="8"/>
      <c r="CZ1018" s="8"/>
    </row>
    <row r="1019" spans="26:104" x14ac:dyDescent="0.35">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c r="BL1019" s="8"/>
      <c r="BM1019" s="8"/>
      <c r="BN1019" s="8"/>
      <c r="BO1019" s="8"/>
      <c r="BP1019" s="8"/>
      <c r="BQ1019" s="8"/>
      <c r="BR1019" s="8"/>
      <c r="BS1019" s="8"/>
      <c r="BT1019" s="8"/>
      <c r="BU1019" s="8"/>
      <c r="BV1019" s="8"/>
      <c r="BW1019" s="8"/>
      <c r="BX1019" s="8"/>
      <c r="BY1019" s="8"/>
      <c r="BZ1019" s="8"/>
      <c r="CA1019" s="8"/>
      <c r="CB1019" s="8"/>
      <c r="CC1019" s="8"/>
      <c r="CD1019" s="8"/>
      <c r="CE1019" s="8"/>
      <c r="CF1019" s="8"/>
      <c r="CG1019" s="8"/>
      <c r="CH1019" s="8"/>
      <c r="CI1019" s="8"/>
      <c r="CJ1019" s="8"/>
      <c r="CK1019" s="8"/>
      <c r="CL1019" s="8"/>
      <c r="CM1019" s="8"/>
      <c r="CN1019" s="8"/>
      <c r="CO1019" s="8"/>
      <c r="CP1019" s="8"/>
      <c r="CQ1019" s="8"/>
      <c r="CR1019" s="8"/>
      <c r="CS1019" s="8"/>
      <c r="CT1019" s="8"/>
      <c r="CU1019" s="8"/>
      <c r="CV1019" s="8"/>
      <c r="CW1019" s="8"/>
      <c r="CX1019" s="8"/>
      <c r="CY1019" s="8"/>
      <c r="CZ1019" s="8"/>
    </row>
    <row r="1020" spans="26:104" x14ac:dyDescent="0.35">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c r="BL1020" s="8"/>
      <c r="BM1020" s="8"/>
      <c r="BN1020" s="8"/>
      <c r="BO1020" s="8"/>
      <c r="BP1020" s="8"/>
      <c r="BQ1020" s="8"/>
      <c r="BR1020" s="8"/>
      <c r="BS1020" s="8"/>
      <c r="BT1020" s="8"/>
      <c r="BU1020" s="8"/>
      <c r="BV1020" s="8"/>
      <c r="BW1020" s="8"/>
      <c r="BX1020" s="8"/>
      <c r="BY1020" s="8"/>
      <c r="BZ1020" s="8"/>
      <c r="CA1020" s="8"/>
      <c r="CB1020" s="8"/>
      <c r="CC1020" s="8"/>
      <c r="CD1020" s="8"/>
      <c r="CE1020" s="8"/>
      <c r="CF1020" s="8"/>
      <c r="CG1020" s="8"/>
      <c r="CH1020" s="8"/>
      <c r="CI1020" s="8"/>
      <c r="CJ1020" s="8"/>
      <c r="CK1020" s="8"/>
      <c r="CL1020" s="8"/>
      <c r="CM1020" s="8"/>
      <c r="CN1020" s="8"/>
      <c r="CO1020" s="8"/>
      <c r="CP1020" s="8"/>
      <c r="CQ1020" s="8"/>
      <c r="CR1020" s="8"/>
      <c r="CS1020" s="8"/>
      <c r="CT1020" s="8"/>
      <c r="CU1020" s="8"/>
      <c r="CV1020" s="8"/>
      <c r="CW1020" s="8"/>
      <c r="CX1020" s="8"/>
      <c r="CY1020" s="8"/>
      <c r="CZ1020" s="8"/>
    </row>
    <row r="1021" spans="26:104" x14ac:dyDescent="0.35">
      <c r="Z1021" s="8"/>
      <c r="AA1021" s="8"/>
      <c r="AB1021" s="8"/>
      <c r="AC1021" s="8"/>
      <c r="AD1021" s="8"/>
      <c r="AE1021" s="8"/>
      <c r="AF1021" s="8"/>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c r="BL1021" s="8"/>
      <c r="BM1021" s="8"/>
      <c r="BN1021" s="8"/>
      <c r="BO1021" s="8"/>
      <c r="BP1021" s="8"/>
      <c r="BQ1021" s="8"/>
      <c r="BR1021" s="8"/>
      <c r="BS1021" s="8"/>
      <c r="BT1021" s="8"/>
      <c r="BU1021" s="8"/>
      <c r="BV1021" s="8"/>
      <c r="BW1021" s="8"/>
      <c r="BX1021" s="8"/>
      <c r="BY1021" s="8"/>
      <c r="BZ1021" s="8"/>
      <c r="CA1021" s="8"/>
      <c r="CB1021" s="8"/>
      <c r="CC1021" s="8"/>
      <c r="CD1021" s="8"/>
      <c r="CE1021" s="8"/>
      <c r="CF1021" s="8"/>
      <c r="CG1021" s="8"/>
      <c r="CH1021" s="8"/>
      <c r="CI1021" s="8"/>
      <c r="CJ1021" s="8"/>
      <c r="CK1021" s="8"/>
      <c r="CL1021" s="8"/>
      <c r="CM1021" s="8"/>
      <c r="CN1021" s="8"/>
      <c r="CO1021" s="8"/>
      <c r="CP1021" s="8"/>
      <c r="CQ1021" s="8"/>
      <c r="CR1021" s="8"/>
      <c r="CS1021" s="8"/>
      <c r="CT1021" s="8"/>
      <c r="CU1021" s="8"/>
      <c r="CV1021" s="8"/>
      <c r="CW1021" s="8"/>
      <c r="CX1021" s="8"/>
      <c r="CY1021" s="8"/>
      <c r="CZ1021" s="8"/>
    </row>
    <row r="1022" spans="26:104" x14ac:dyDescent="0.35">
      <c r="Z1022" s="8"/>
      <c r="AA1022" s="8"/>
      <c r="AB1022" s="8"/>
      <c r="AC1022" s="8"/>
      <c r="AD1022" s="8"/>
      <c r="AE1022" s="8"/>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c r="BL1022" s="8"/>
      <c r="BM1022" s="8"/>
      <c r="BN1022" s="8"/>
      <c r="BO1022" s="8"/>
      <c r="BP1022" s="8"/>
      <c r="BQ1022" s="8"/>
      <c r="BR1022" s="8"/>
      <c r="BS1022" s="8"/>
      <c r="BT1022" s="8"/>
      <c r="BU1022" s="8"/>
      <c r="BV1022" s="8"/>
      <c r="BW1022" s="8"/>
      <c r="BX1022" s="8"/>
      <c r="BY1022" s="8"/>
      <c r="BZ1022" s="8"/>
      <c r="CA1022" s="8"/>
      <c r="CB1022" s="8"/>
      <c r="CC1022" s="8"/>
      <c r="CD1022" s="8"/>
      <c r="CE1022" s="8"/>
      <c r="CF1022" s="8"/>
      <c r="CG1022" s="8"/>
      <c r="CH1022" s="8"/>
      <c r="CI1022" s="8"/>
      <c r="CJ1022" s="8"/>
      <c r="CK1022" s="8"/>
      <c r="CL1022" s="8"/>
      <c r="CM1022" s="8"/>
      <c r="CN1022" s="8"/>
      <c r="CO1022" s="8"/>
      <c r="CP1022" s="8"/>
      <c r="CQ1022" s="8"/>
      <c r="CR1022" s="8"/>
      <c r="CS1022" s="8"/>
      <c r="CT1022" s="8"/>
      <c r="CU1022" s="8"/>
      <c r="CV1022" s="8"/>
      <c r="CW1022" s="8"/>
      <c r="CX1022" s="8"/>
      <c r="CY1022" s="8"/>
      <c r="CZ1022" s="8"/>
    </row>
    <row r="1023" spans="26:104" x14ac:dyDescent="0.35">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c r="BL1023" s="8"/>
      <c r="BM1023" s="8"/>
      <c r="BN1023" s="8"/>
      <c r="BO1023" s="8"/>
      <c r="BP1023" s="8"/>
      <c r="BQ1023" s="8"/>
      <c r="BR1023" s="8"/>
      <c r="BS1023" s="8"/>
      <c r="BT1023" s="8"/>
      <c r="BU1023" s="8"/>
      <c r="BV1023" s="8"/>
      <c r="BW1023" s="8"/>
      <c r="BX1023" s="8"/>
      <c r="BY1023" s="8"/>
      <c r="BZ1023" s="8"/>
      <c r="CA1023" s="8"/>
      <c r="CB1023" s="8"/>
      <c r="CC1023" s="8"/>
      <c r="CD1023" s="8"/>
      <c r="CE1023" s="8"/>
      <c r="CF1023" s="8"/>
      <c r="CG1023" s="8"/>
      <c r="CH1023" s="8"/>
      <c r="CI1023" s="8"/>
      <c r="CJ1023" s="8"/>
      <c r="CK1023" s="8"/>
      <c r="CL1023" s="8"/>
      <c r="CM1023" s="8"/>
      <c r="CN1023" s="8"/>
      <c r="CO1023" s="8"/>
      <c r="CP1023" s="8"/>
      <c r="CQ1023" s="8"/>
      <c r="CR1023" s="8"/>
      <c r="CS1023" s="8"/>
      <c r="CT1023" s="8"/>
      <c r="CU1023" s="8"/>
      <c r="CV1023" s="8"/>
      <c r="CW1023" s="8"/>
      <c r="CX1023" s="8"/>
      <c r="CY1023" s="8"/>
      <c r="CZ1023" s="8"/>
    </row>
    <row r="1024" spans="26:104" x14ac:dyDescent="0.35">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c r="BL1024" s="8"/>
      <c r="BM1024" s="8"/>
      <c r="BN1024" s="8"/>
      <c r="BO1024" s="8"/>
      <c r="BP1024" s="8"/>
      <c r="BQ1024" s="8"/>
      <c r="BR1024" s="8"/>
      <c r="BS1024" s="8"/>
      <c r="BT1024" s="8"/>
      <c r="BU1024" s="8"/>
      <c r="BV1024" s="8"/>
      <c r="BW1024" s="8"/>
      <c r="BX1024" s="8"/>
      <c r="BY1024" s="8"/>
      <c r="BZ1024" s="8"/>
      <c r="CA1024" s="8"/>
      <c r="CB1024" s="8"/>
      <c r="CC1024" s="8"/>
      <c r="CD1024" s="8"/>
      <c r="CE1024" s="8"/>
      <c r="CF1024" s="8"/>
      <c r="CG1024" s="8"/>
      <c r="CH1024" s="8"/>
      <c r="CI1024" s="8"/>
      <c r="CJ1024" s="8"/>
      <c r="CK1024" s="8"/>
      <c r="CL1024" s="8"/>
      <c r="CM1024" s="8"/>
      <c r="CN1024" s="8"/>
      <c r="CO1024" s="8"/>
      <c r="CP1024" s="8"/>
      <c r="CQ1024" s="8"/>
      <c r="CR1024" s="8"/>
      <c r="CS1024" s="8"/>
      <c r="CT1024" s="8"/>
      <c r="CU1024" s="8"/>
      <c r="CV1024" s="8"/>
      <c r="CW1024" s="8"/>
      <c r="CX1024" s="8"/>
      <c r="CY1024" s="8"/>
      <c r="CZ1024" s="8"/>
    </row>
    <row r="1025" spans="26:104" x14ac:dyDescent="0.35">
      <c r="Z1025" s="8"/>
      <c r="AA1025" s="8"/>
      <c r="AB1025" s="8"/>
      <c r="AC1025" s="8"/>
      <c r="AD1025" s="8"/>
      <c r="AE1025" s="8"/>
      <c r="AF1025" s="8"/>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c r="BL1025" s="8"/>
      <c r="BM1025" s="8"/>
      <c r="BN1025" s="8"/>
      <c r="BO1025" s="8"/>
      <c r="BP1025" s="8"/>
      <c r="BQ1025" s="8"/>
      <c r="BR1025" s="8"/>
      <c r="BS1025" s="8"/>
      <c r="BT1025" s="8"/>
      <c r="BU1025" s="8"/>
      <c r="BV1025" s="8"/>
      <c r="BW1025" s="8"/>
      <c r="BX1025" s="8"/>
      <c r="BY1025" s="8"/>
      <c r="BZ1025" s="8"/>
      <c r="CA1025" s="8"/>
      <c r="CB1025" s="8"/>
      <c r="CC1025" s="8"/>
      <c r="CD1025" s="8"/>
      <c r="CE1025" s="8"/>
      <c r="CF1025" s="8"/>
      <c r="CG1025" s="8"/>
      <c r="CH1025" s="8"/>
      <c r="CI1025" s="8"/>
      <c r="CJ1025" s="8"/>
      <c r="CK1025" s="8"/>
      <c r="CL1025" s="8"/>
      <c r="CM1025" s="8"/>
      <c r="CN1025" s="8"/>
      <c r="CO1025" s="8"/>
      <c r="CP1025" s="8"/>
      <c r="CQ1025" s="8"/>
      <c r="CR1025" s="8"/>
      <c r="CS1025" s="8"/>
      <c r="CT1025" s="8"/>
      <c r="CU1025" s="8"/>
      <c r="CV1025" s="8"/>
      <c r="CW1025" s="8"/>
      <c r="CX1025" s="8"/>
      <c r="CY1025" s="8"/>
      <c r="CZ1025" s="8"/>
    </row>
    <row r="1026" spans="26:104" x14ac:dyDescent="0.35">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8"/>
      <c r="BR1026" s="8"/>
      <c r="BS1026" s="8"/>
      <c r="BT1026" s="8"/>
      <c r="BU1026" s="8"/>
      <c r="BV1026" s="8"/>
      <c r="BW1026" s="8"/>
      <c r="BX1026" s="8"/>
      <c r="BY1026" s="8"/>
      <c r="BZ1026" s="8"/>
      <c r="CA1026" s="8"/>
      <c r="CB1026" s="8"/>
      <c r="CC1026" s="8"/>
      <c r="CD1026" s="8"/>
      <c r="CE1026" s="8"/>
      <c r="CF1026" s="8"/>
      <c r="CG1026" s="8"/>
      <c r="CH1026" s="8"/>
      <c r="CI1026" s="8"/>
      <c r="CJ1026" s="8"/>
      <c r="CK1026" s="8"/>
      <c r="CL1026" s="8"/>
      <c r="CM1026" s="8"/>
      <c r="CN1026" s="8"/>
      <c r="CO1026" s="8"/>
      <c r="CP1026" s="8"/>
      <c r="CQ1026" s="8"/>
      <c r="CR1026" s="8"/>
      <c r="CS1026" s="8"/>
      <c r="CT1026" s="8"/>
      <c r="CU1026" s="8"/>
      <c r="CV1026" s="8"/>
      <c r="CW1026" s="8"/>
      <c r="CX1026" s="8"/>
      <c r="CY1026" s="8"/>
      <c r="CZ1026" s="8"/>
    </row>
    <row r="1027" spans="26:104" x14ac:dyDescent="0.35">
      <c r="Z1027" s="8"/>
      <c r="AA1027" s="8"/>
      <c r="AB1027" s="8"/>
      <c r="AC1027" s="8"/>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c r="BL1027" s="8"/>
      <c r="BM1027" s="8"/>
      <c r="BN1027" s="8"/>
      <c r="BO1027" s="8"/>
      <c r="BP1027" s="8"/>
      <c r="BQ1027" s="8"/>
      <c r="BR1027" s="8"/>
      <c r="BS1027" s="8"/>
      <c r="BT1027" s="8"/>
      <c r="BU1027" s="8"/>
      <c r="BV1027" s="8"/>
      <c r="BW1027" s="8"/>
      <c r="BX1027" s="8"/>
      <c r="BY1027" s="8"/>
      <c r="BZ1027" s="8"/>
      <c r="CA1027" s="8"/>
      <c r="CB1027" s="8"/>
      <c r="CC1027" s="8"/>
      <c r="CD1027" s="8"/>
      <c r="CE1027" s="8"/>
      <c r="CF1027" s="8"/>
      <c r="CG1027" s="8"/>
      <c r="CH1027" s="8"/>
      <c r="CI1027" s="8"/>
      <c r="CJ1027" s="8"/>
      <c r="CK1027" s="8"/>
      <c r="CL1027" s="8"/>
      <c r="CM1027" s="8"/>
      <c r="CN1027" s="8"/>
      <c r="CO1027" s="8"/>
      <c r="CP1027" s="8"/>
      <c r="CQ1027" s="8"/>
      <c r="CR1027" s="8"/>
      <c r="CS1027" s="8"/>
      <c r="CT1027" s="8"/>
      <c r="CU1027" s="8"/>
      <c r="CV1027" s="8"/>
      <c r="CW1027" s="8"/>
      <c r="CX1027" s="8"/>
      <c r="CY1027" s="8"/>
      <c r="CZ1027" s="8"/>
    </row>
    <row r="1028" spans="26:104" x14ac:dyDescent="0.35">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c r="BL1028" s="8"/>
      <c r="BM1028" s="8"/>
      <c r="BN1028" s="8"/>
      <c r="BO1028" s="8"/>
      <c r="BP1028" s="8"/>
      <c r="BQ1028" s="8"/>
      <c r="BR1028" s="8"/>
      <c r="BS1028" s="8"/>
      <c r="BT1028" s="8"/>
      <c r="BU1028" s="8"/>
      <c r="BV1028" s="8"/>
      <c r="BW1028" s="8"/>
      <c r="BX1028" s="8"/>
      <c r="BY1028" s="8"/>
      <c r="BZ1028" s="8"/>
      <c r="CA1028" s="8"/>
      <c r="CB1028" s="8"/>
      <c r="CC1028" s="8"/>
      <c r="CD1028" s="8"/>
      <c r="CE1028" s="8"/>
      <c r="CF1028" s="8"/>
      <c r="CG1028" s="8"/>
      <c r="CH1028" s="8"/>
      <c r="CI1028" s="8"/>
      <c r="CJ1028" s="8"/>
      <c r="CK1028" s="8"/>
      <c r="CL1028" s="8"/>
      <c r="CM1028" s="8"/>
      <c r="CN1028" s="8"/>
      <c r="CO1028" s="8"/>
      <c r="CP1028" s="8"/>
      <c r="CQ1028" s="8"/>
      <c r="CR1028" s="8"/>
      <c r="CS1028" s="8"/>
      <c r="CT1028" s="8"/>
      <c r="CU1028" s="8"/>
      <c r="CV1028" s="8"/>
      <c r="CW1028" s="8"/>
      <c r="CX1028" s="8"/>
      <c r="CY1028" s="8"/>
      <c r="CZ1028" s="8"/>
    </row>
    <row r="1029" spans="26:104" x14ac:dyDescent="0.35">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c r="BL1029" s="8"/>
      <c r="BM1029" s="8"/>
      <c r="BN1029" s="8"/>
      <c r="BO1029" s="8"/>
      <c r="BP1029" s="8"/>
      <c r="BQ1029" s="8"/>
      <c r="BR1029" s="8"/>
      <c r="BS1029" s="8"/>
      <c r="BT1029" s="8"/>
      <c r="BU1029" s="8"/>
      <c r="BV1029" s="8"/>
      <c r="BW1029" s="8"/>
      <c r="BX1029" s="8"/>
      <c r="BY1029" s="8"/>
      <c r="BZ1029" s="8"/>
      <c r="CA1029" s="8"/>
      <c r="CB1029" s="8"/>
      <c r="CC1029" s="8"/>
      <c r="CD1029" s="8"/>
      <c r="CE1029" s="8"/>
      <c r="CF1029" s="8"/>
      <c r="CG1029" s="8"/>
      <c r="CH1029" s="8"/>
      <c r="CI1029" s="8"/>
      <c r="CJ1029" s="8"/>
      <c r="CK1029" s="8"/>
      <c r="CL1029" s="8"/>
      <c r="CM1029" s="8"/>
      <c r="CN1029" s="8"/>
      <c r="CO1029" s="8"/>
      <c r="CP1029" s="8"/>
      <c r="CQ1029" s="8"/>
      <c r="CR1029" s="8"/>
      <c r="CS1029" s="8"/>
      <c r="CT1029" s="8"/>
      <c r="CU1029" s="8"/>
      <c r="CV1029" s="8"/>
      <c r="CW1029" s="8"/>
      <c r="CX1029" s="8"/>
      <c r="CY1029" s="8"/>
      <c r="CZ1029" s="8"/>
    </row>
    <row r="1030" spans="26:104" x14ac:dyDescent="0.35">
      <c r="Z1030" s="8"/>
      <c r="AA1030" s="8"/>
      <c r="AB1030" s="8"/>
      <c r="AC1030" s="8"/>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c r="BL1030" s="8"/>
      <c r="BM1030" s="8"/>
      <c r="BN1030" s="8"/>
      <c r="BO1030" s="8"/>
      <c r="BP1030" s="8"/>
      <c r="BQ1030" s="8"/>
      <c r="BR1030" s="8"/>
      <c r="BS1030" s="8"/>
      <c r="BT1030" s="8"/>
      <c r="BU1030" s="8"/>
      <c r="BV1030" s="8"/>
      <c r="BW1030" s="8"/>
      <c r="BX1030" s="8"/>
      <c r="BY1030" s="8"/>
      <c r="BZ1030" s="8"/>
      <c r="CA1030" s="8"/>
      <c r="CB1030" s="8"/>
      <c r="CC1030" s="8"/>
      <c r="CD1030" s="8"/>
      <c r="CE1030" s="8"/>
      <c r="CF1030" s="8"/>
      <c r="CG1030" s="8"/>
      <c r="CH1030" s="8"/>
      <c r="CI1030" s="8"/>
      <c r="CJ1030" s="8"/>
      <c r="CK1030" s="8"/>
      <c r="CL1030" s="8"/>
      <c r="CM1030" s="8"/>
      <c r="CN1030" s="8"/>
      <c r="CO1030" s="8"/>
      <c r="CP1030" s="8"/>
      <c r="CQ1030" s="8"/>
      <c r="CR1030" s="8"/>
      <c r="CS1030" s="8"/>
      <c r="CT1030" s="8"/>
      <c r="CU1030" s="8"/>
      <c r="CV1030" s="8"/>
      <c r="CW1030" s="8"/>
      <c r="CX1030" s="8"/>
      <c r="CY1030" s="8"/>
      <c r="CZ1030" s="8"/>
    </row>
    <row r="1031" spans="26:104" x14ac:dyDescent="0.35">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c r="BL1031" s="8"/>
      <c r="BM1031" s="8"/>
      <c r="BN1031" s="8"/>
      <c r="BO1031" s="8"/>
      <c r="BP1031" s="8"/>
      <c r="BQ1031" s="8"/>
      <c r="BR1031" s="8"/>
      <c r="BS1031" s="8"/>
      <c r="BT1031" s="8"/>
      <c r="BU1031" s="8"/>
      <c r="BV1031" s="8"/>
      <c r="BW1031" s="8"/>
      <c r="BX1031" s="8"/>
      <c r="BY1031" s="8"/>
      <c r="BZ1031" s="8"/>
      <c r="CA1031" s="8"/>
      <c r="CB1031" s="8"/>
      <c r="CC1031" s="8"/>
      <c r="CD1031" s="8"/>
      <c r="CE1031" s="8"/>
      <c r="CF1031" s="8"/>
      <c r="CG1031" s="8"/>
      <c r="CH1031" s="8"/>
      <c r="CI1031" s="8"/>
      <c r="CJ1031" s="8"/>
      <c r="CK1031" s="8"/>
      <c r="CL1031" s="8"/>
      <c r="CM1031" s="8"/>
      <c r="CN1031" s="8"/>
      <c r="CO1031" s="8"/>
      <c r="CP1031" s="8"/>
      <c r="CQ1031" s="8"/>
      <c r="CR1031" s="8"/>
      <c r="CS1031" s="8"/>
      <c r="CT1031" s="8"/>
      <c r="CU1031" s="8"/>
      <c r="CV1031" s="8"/>
      <c r="CW1031" s="8"/>
      <c r="CX1031" s="8"/>
      <c r="CY1031" s="8"/>
      <c r="CZ1031" s="8"/>
    </row>
    <row r="1032" spans="26:104" x14ac:dyDescent="0.35">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c r="BL1032" s="8"/>
      <c r="BM1032" s="8"/>
      <c r="BN1032" s="8"/>
      <c r="BO1032" s="8"/>
      <c r="BP1032" s="8"/>
      <c r="BQ1032" s="8"/>
      <c r="BR1032" s="8"/>
      <c r="BS1032" s="8"/>
      <c r="BT1032" s="8"/>
      <c r="BU1032" s="8"/>
      <c r="BV1032" s="8"/>
      <c r="BW1032" s="8"/>
      <c r="BX1032" s="8"/>
      <c r="BY1032" s="8"/>
      <c r="BZ1032" s="8"/>
      <c r="CA1032" s="8"/>
      <c r="CB1032" s="8"/>
      <c r="CC1032" s="8"/>
      <c r="CD1032" s="8"/>
      <c r="CE1032" s="8"/>
      <c r="CF1032" s="8"/>
      <c r="CG1032" s="8"/>
      <c r="CH1032" s="8"/>
      <c r="CI1032" s="8"/>
      <c r="CJ1032" s="8"/>
      <c r="CK1032" s="8"/>
      <c r="CL1032" s="8"/>
      <c r="CM1032" s="8"/>
      <c r="CN1032" s="8"/>
      <c r="CO1032" s="8"/>
      <c r="CP1032" s="8"/>
      <c r="CQ1032" s="8"/>
      <c r="CR1032" s="8"/>
      <c r="CS1032" s="8"/>
      <c r="CT1032" s="8"/>
      <c r="CU1032" s="8"/>
      <c r="CV1032" s="8"/>
      <c r="CW1032" s="8"/>
      <c r="CX1032" s="8"/>
      <c r="CY1032" s="8"/>
      <c r="CZ1032" s="8"/>
    </row>
    <row r="1033" spans="26:104" x14ac:dyDescent="0.35">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c r="BL1033" s="8"/>
      <c r="BM1033" s="8"/>
      <c r="BN1033" s="8"/>
      <c r="BO1033" s="8"/>
      <c r="BP1033" s="8"/>
      <c r="BQ1033" s="8"/>
      <c r="BR1033" s="8"/>
      <c r="BS1033" s="8"/>
      <c r="BT1033" s="8"/>
      <c r="BU1033" s="8"/>
      <c r="BV1033" s="8"/>
      <c r="BW1033" s="8"/>
      <c r="BX1033" s="8"/>
      <c r="BY1033" s="8"/>
      <c r="BZ1033" s="8"/>
      <c r="CA1033" s="8"/>
      <c r="CB1033" s="8"/>
      <c r="CC1033" s="8"/>
      <c r="CD1033" s="8"/>
      <c r="CE1033" s="8"/>
      <c r="CF1033" s="8"/>
      <c r="CG1033" s="8"/>
      <c r="CH1033" s="8"/>
      <c r="CI1033" s="8"/>
      <c r="CJ1033" s="8"/>
      <c r="CK1033" s="8"/>
      <c r="CL1033" s="8"/>
      <c r="CM1033" s="8"/>
      <c r="CN1033" s="8"/>
      <c r="CO1033" s="8"/>
      <c r="CP1033" s="8"/>
      <c r="CQ1033" s="8"/>
      <c r="CR1033" s="8"/>
      <c r="CS1033" s="8"/>
      <c r="CT1033" s="8"/>
      <c r="CU1033" s="8"/>
      <c r="CV1033" s="8"/>
      <c r="CW1033" s="8"/>
      <c r="CX1033" s="8"/>
      <c r="CY1033" s="8"/>
      <c r="CZ1033" s="8"/>
    </row>
    <row r="1034" spans="26:104" x14ac:dyDescent="0.35">
      <c r="Z1034" s="8"/>
      <c r="AA1034" s="8"/>
      <c r="AB1034" s="8"/>
      <c r="AC1034" s="8"/>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c r="BL1034" s="8"/>
      <c r="BM1034" s="8"/>
      <c r="BN1034" s="8"/>
      <c r="BO1034" s="8"/>
      <c r="BP1034" s="8"/>
      <c r="BQ1034" s="8"/>
      <c r="BR1034" s="8"/>
      <c r="BS1034" s="8"/>
      <c r="BT1034" s="8"/>
      <c r="BU1034" s="8"/>
      <c r="BV1034" s="8"/>
      <c r="BW1034" s="8"/>
      <c r="BX1034" s="8"/>
      <c r="BY1034" s="8"/>
      <c r="BZ1034" s="8"/>
      <c r="CA1034" s="8"/>
      <c r="CB1034" s="8"/>
      <c r="CC1034" s="8"/>
      <c r="CD1034" s="8"/>
      <c r="CE1034" s="8"/>
      <c r="CF1034" s="8"/>
      <c r="CG1034" s="8"/>
      <c r="CH1034" s="8"/>
      <c r="CI1034" s="8"/>
      <c r="CJ1034" s="8"/>
      <c r="CK1034" s="8"/>
      <c r="CL1034" s="8"/>
      <c r="CM1034" s="8"/>
      <c r="CN1034" s="8"/>
      <c r="CO1034" s="8"/>
      <c r="CP1034" s="8"/>
      <c r="CQ1034" s="8"/>
      <c r="CR1034" s="8"/>
      <c r="CS1034" s="8"/>
      <c r="CT1034" s="8"/>
      <c r="CU1034" s="8"/>
      <c r="CV1034" s="8"/>
      <c r="CW1034" s="8"/>
      <c r="CX1034" s="8"/>
      <c r="CY1034" s="8"/>
      <c r="CZ1034" s="8"/>
    </row>
    <row r="1035" spans="26:104" x14ac:dyDescent="0.35">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c r="BL1035" s="8"/>
      <c r="BM1035" s="8"/>
      <c r="BN1035" s="8"/>
      <c r="BO1035" s="8"/>
      <c r="BP1035" s="8"/>
      <c r="BQ1035" s="8"/>
      <c r="BR1035" s="8"/>
      <c r="BS1035" s="8"/>
      <c r="BT1035" s="8"/>
      <c r="BU1035" s="8"/>
      <c r="BV1035" s="8"/>
      <c r="BW1035" s="8"/>
      <c r="BX1035" s="8"/>
      <c r="BY1035" s="8"/>
      <c r="BZ1035" s="8"/>
      <c r="CA1035" s="8"/>
      <c r="CB1035" s="8"/>
      <c r="CC1035" s="8"/>
      <c r="CD1035" s="8"/>
      <c r="CE1035" s="8"/>
      <c r="CF1035" s="8"/>
      <c r="CG1035" s="8"/>
      <c r="CH1035" s="8"/>
      <c r="CI1035" s="8"/>
      <c r="CJ1035" s="8"/>
      <c r="CK1035" s="8"/>
      <c r="CL1035" s="8"/>
      <c r="CM1035" s="8"/>
      <c r="CN1035" s="8"/>
      <c r="CO1035" s="8"/>
      <c r="CP1035" s="8"/>
      <c r="CQ1035" s="8"/>
      <c r="CR1035" s="8"/>
      <c r="CS1035" s="8"/>
      <c r="CT1035" s="8"/>
      <c r="CU1035" s="8"/>
      <c r="CV1035" s="8"/>
      <c r="CW1035" s="8"/>
      <c r="CX1035" s="8"/>
      <c r="CY1035" s="8"/>
      <c r="CZ1035" s="8"/>
    </row>
    <row r="1036" spans="26:104" x14ac:dyDescent="0.35">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c r="BL1036" s="8"/>
      <c r="BM1036" s="8"/>
      <c r="BN1036" s="8"/>
      <c r="BO1036" s="8"/>
      <c r="BP1036" s="8"/>
      <c r="BQ1036" s="8"/>
      <c r="BR1036" s="8"/>
      <c r="BS1036" s="8"/>
      <c r="BT1036" s="8"/>
      <c r="BU1036" s="8"/>
      <c r="BV1036" s="8"/>
      <c r="BW1036" s="8"/>
      <c r="BX1036" s="8"/>
      <c r="BY1036" s="8"/>
      <c r="BZ1036" s="8"/>
      <c r="CA1036" s="8"/>
      <c r="CB1036" s="8"/>
      <c r="CC1036" s="8"/>
      <c r="CD1036" s="8"/>
      <c r="CE1036" s="8"/>
      <c r="CF1036" s="8"/>
      <c r="CG1036" s="8"/>
      <c r="CH1036" s="8"/>
      <c r="CI1036" s="8"/>
      <c r="CJ1036" s="8"/>
      <c r="CK1036" s="8"/>
      <c r="CL1036" s="8"/>
      <c r="CM1036" s="8"/>
      <c r="CN1036" s="8"/>
      <c r="CO1036" s="8"/>
      <c r="CP1036" s="8"/>
      <c r="CQ1036" s="8"/>
      <c r="CR1036" s="8"/>
      <c r="CS1036" s="8"/>
      <c r="CT1036" s="8"/>
      <c r="CU1036" s="8"/>
      <c r="CV1036" s="8"/>
      <c r="CW1036" s="8"/>
      <c r="CX1036" s="8"/>
      <c r="CY1036" s="8"/>
      <c r="CZ1036" s="8"/>
    </row>
    <row r="1037" spans="26:104" x14ac:dyDescent="0.35">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c r="BL1037" s="8"/>
      <c r="BM1037" s="8"/>
      <c r="BN1037" s="8"/>
      <c r="BO1037" s="8"/>
      <c r="BP1037" s="8"/>
      <c r="BQ1037" s="8"/>
      <c r="BR1037" s="8"/>
      <c r="BS1037" s="8"/>
      <c r="BT1037" s="8"/>
      <c r="BU1037" s="8"/>
      <c r="BV1037" s="8"/>
      <c r="BW1037" s="8"/>
      <c r="BX1037" s="8"/>
      <c r="BY1037" s="8"/>
      <c r="BZ1037" s="8"/>
      <c r="CA1037" s="8"/>
      <c r="CB1037" s="8"/>
      <c r="CC1037" s="8"/>
      <c r="CD1037" s="8"/>
      <c r="CE1037" s="8"/>
      <c r="CF1037" s="8"/>
      <c r="CG1037" s="8"/>
      <c r="CH1037" s="8"/>
      <c r="CI1037" s="8"/>
      <c r="CJ1037" s="8"/>
      <c r="CK1037" s="8"/>
      <c r="CL1037" s="8"/>
      <c r="CM1037" s="8"/>
      <c r="CN1037" s="8"/>
      <c r="CO1037" s="8"/>
      <c r="CP1037" s="8"/>
      <c r="CQ1037" s="8"/>
      <c r="CR1037" s="8"/>
      <c r="CS1037" s="8"/>
      <c r="CT1037" s="8"/>
      <c r="CU1037" s="8"/>
      <c r="CV1037" s="8"/>
      <c r="CW1037" s="8"/>
      <c r="CX1037" s="8"/>
      <c r="CY1037" s="8"/>
      <c r="CZ1037" s="8"/>
    </row>
    <row r="1038" spans="26:104" x14ac:dyDescent="0.35">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8"/>
      <c r="BR1038" s="8"/>
      <c r="BS1038" s="8"/>
      <c r="BT1038" s="8"/>
      <c r="BU1038" s="8"/>
      <c r="BV1038" s="8"/>
      <c r="BW1038" s="8"/>
      <c r="BX1038" s="8"/>
      <c r="BY1038" s="8"/>
      <c r="BZ1038" s="8"/>
      <c r="CA1038" s="8"/>
      <c r="CB1038" s="8"/>
      <c r="CC1038" s="8"/>
      <c r="CD1038" s="8"/>
      <c r="CE1038" s="8"/>
      <c r="CF1038" s="8"/>
      <c r="CG1038" s="8"/>
      <c r="CH1038" s="8"/>
      <c r="CI1038" s="8"/>
      <c r="CJ1038" s="8"/>
      <c r="CK1038" s="8"/>
      <c r="CL1038" s="8"/>
      <c r="CM1038" s="8"/>
      <c r="CN1038" s="8"/>
      <c r="CO1038" s="8"/>
      <c r="CP1038" s="8"/>
      <c r="CQ1038" s="8"/>
      <c r="CR1038" s="8"/>
      <c r="CS1038" s="8"/>
      <c r="CT1038" s="8"/>
      <c r="CU1038" s="8"/>
      <c r="CV1038" s="8"/>
      <c r="CW1038" s="8"/>
      <c r="CX1038" s="8"/>
      <c r="CY1038" s="8"/>
      <c r="CZ1038" s="8"/>
    </row>
    <row r="1039" spans="26:104" x14ac:dyDescent="0.35">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8"/>
      <c r="BR1039" s="8"/>
      <c r="BS1039" s="8"/>
      <c r="BT1039" s="8"/>
      <c r="BU1039" s="8"/>
      <c r="BV1039" s="8"/>
      <c r="BW1039" s="8"/>
      <c r="BX1039" s="8"/>
      <c r="BY1039" s="8"/>
      <c r="BZ1039" s="8"/>
      <c r="CA1039" s="8"/>
      <c r="CB1039" s="8"/>
      <c r="CC1039" s="8"/>
      <c r="CD1039" s="8"/>
      <c r="CE1039" s="8"/>
      <c r="CF1039" s="8"/>
      <c r="CG1039" s="8"/>
      <c r="CH1039" s="8"/>
      <c r="CI1039" s="8"/>
      <c r="CJ1039" s="8"/>
      <c r="CK1039" s="8"/>
      <c r="CL1039" s="8"/>
      <c r="CM1039" s="8"/>
      <c r="CN1039" s="8"/>
      <c r="CO1039" s="8"/>
      <c r="CP1039" s="8"/>
      <c r="CQ1039" s="8"/>
      <c r="CR1039" s="8"/>
      <c r="CS1039" s="8"/>
      <c r="CT1039" s="8"/>
      <c r="CU1039" s="8"/>
      <c r="CV1039" s="8"/>
      <c r="CW1039" s="8"/>
      <c r="CX1039" s="8"/>
      <c r="CY1039" s="8"/>
      <c r="CZ1039" s="8"/>
    </row>
    <row r="1040" spans="26:104" x14ac:dyDescent="0.35">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c r="BL1040" s="8"/>
      <c r="BM1040" s="8"/>
      <c r="BN1040" s="8"/>
      <c r="BO1040" s="8"/>
      <c r="BP1040" s="8"/>
      <c r="BQ1040" s="8"/>
      <c r="BR1040" s="8"/>
      <c r="BS1040" s="8"/>
      <c r="BT1040" s="8"/>
      <c r="BU1040" s="8"/>
      <c r="BV1040" s="8"/>
      <c r="BW1040" s="8"/>
      <c r="BX1040" s="8"/>
      <c r="BY1040" s="8"/>
      <c r="BZ1040" s="8"/>
      <c r="CA1040" s="8"/>
      <c r="CB1040" s="8"/>
      <c r="CC1040" s="8"/>
      <c r="CD1040" s="8"/>
      <c r="CE1040" s="8"/>
      <c r="CF1040" s="8"/>
      <c r="CG1040" s="8"/>
      <c r="CH1040" s="8"/>
      <c r="CI1040" s="8"/>
      <c r="CJ1040" s="8"/>
      <c r="CK1040" s="8"/>
      <c r="CL1040" s="8"/>
      <c r="CM1040" s="8"/>
      <c r="CN1040" s="8"/>
      <c r="CO1040" s="8"/>
      <c r="CP1040" s="8"/>
      <c r="CQ1040" s="8"/>
      <c r="CR1040" s="8"/>
      <c r="CS1040" s="8"/>
      <c r="CT1040" s="8"/>
      <c r="CU1040" s="8"/>
      <c r="CV1040" s="8"/>
      <c r="CW1040" s="8"/>
      <c r="CX1040" s="8"/>
      <c r="CY1040" s="8"/>
      <c r="CZ1040" s="8"/>
    </row>
    <row r="1041" spans="26:104" x14ac:dyDescent="0.35">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c r="BL1041" s="8"/>
      <c r="BM1041" s="8"/>
      <c r="BN1041" s="8"/>
      <c r="BO1041" s="8"/>
      <c r="BP1041" s="8"/>
      <c r="BQ1041" s="8"/>
      <c r="BR1041" s="8"/>
      <c r="BS1041" s="8"/>
      <c r="BT1041" s="8"/>
      <c r="BU1041" s="8"/>
      <c r="BV1041" s="8"/>
      <c r="BW1041" s="8"/>
      <c r="BX1041" s="8"/>
      <c r="BY1041" s="8"/>
      <c r="BZ1041" s="8"/>
      <c r="CA1041" s="8"/>
      <c r="CB1041" s="8"/>
      <c r="CC1041" s="8"/>
      <c r="CD1041" s="8"/>
      <c r="CE1041" s="8"/>
      <c r="CF1041" s="8"/>
      <c r="CG1041" s="8"/>
      <c r="CH1041" s="8"/>
      <c r="CI1041" s="8"/>
      <c r="CJ1041" s="8"/>
      <c r="CK1041" s="8"/>
      <c r="CL1041" s="8"/>
      <c r="CM1041" s="8"/>
      <c r="CN1041" s="8"/>
      <c r="CO1041" s="8"/>
      <c r="CP1041" s="8"/>
      <c r="CQ1041" s="8"/>
      <c r="CR1041" s="8"/>
      <c r="CS1041" s="8"/>
      <c r="CT1041" s="8"/>
      <c r="CU1041" s="8"/>
      <c r="CV1041" s="8"/>
      <c r="CW1041" s="8"/>
      <c r="CX1041" s="8"/>
      <c r="CY1041" s="8"/>
      <c r="CZ1041" s="8"/>
    </row>
    <row r="1042" spans="26:104" x14ac:dyDescent="0.35">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c r="BL1042" s="8"/>
      <c r="BM1042" s="8"/>
      <c r="BN1042" s="8"/>
      <c r="BO1042" s="8"/>
      <c r="BP1042" s="8"/>
      <c r="BQ1042" s="8"/>
      <c r="BR1042" s="8"/>
      <c r="BS1042" s="8"/>
      <c r="BT1042" s="8"/>
      <c r="BU1042" s="8"/>
      <c r="BV1042" s="8"/>
      <c r="BW1042" s="8"/>
      <c r="BX1042" s="8"/>
      <c r="BY1042" s="8"/>
      <c r="BZ1042" s="8"/>
      <c r="CA1042" s="8"/>
      <c r="CB1042" s="8"/>
      <c r="CC1042" s="8"/>
      <c r="CD1042" s="8"/>
      <c r="CE1042" s="8"/>
      <c r="CF1042" s="8"/>
      <c r="CG1042" s="8"/>
      <c r="CH1042" s="8"/>
      <c r="CI1042" s="8"/>
      <c r="CJ1042" s="8"/>
      <c r="CK1042" s="8"/>
      <c r="CL1042" s="8"/>
      <c r="CM1042" s="8"/>
      <c r="CN1042" s="8"/>
      <c r="CO1042" s="8"/>
      <c r="CP1042" s="8"/>
      <c r="CQ1042" s="8"/>
      <c r="CR1042" s="8"/>
      <c r="CS1042" s="8"/>
      <c r="CT1042" s="8"/>
      <c r="CU1042" s="8"/>
      <c r="CV1042" s="8"/>
      <c r="CW1042" s="8"/>
      <c r="CX1042" s="8"/>
      <c r="CY1042" s="8"/>
      <c r="CZ1042" s="8"/>
    </row>
    <row r="1043" spans="26:104" x14ac:dyDescent="0.35">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c r="BL1043" s="8"/>
      <c r="BM1043" s="8"/>
      <c r="BN1043" s="8"/>
      <c r="BO1043" s="8"/>
      <c r="BP1043" s="8"/>
      <c r="BQ1043" s="8"/>
      <c r="BR1043" s="8"/>
      <c r="BS1043" s="8"/>
      <c r="BT1043" s="8"/>
      <c r="BU1043" s="8"/>
      <c r="BV1043" s="8"/>
      <c r="BW1043" s="8"/>
      <c r="BX1043" s="8"/>
      <c r="BY1043" s="8"/>
      <c r="BZ1043" s="8"/>
      <c r="CA1043" s="8"/>
      <c r="CB1043" s="8"/>
      <c r="CC1043" s="8"/>
      <c r="CD1043" s="8"/>
      <c r="CE1043" s="8"/>
      <c r="CF1043" s="8"/>
      <c r="CG1043" s="8"/>
      <c r="CH1043" s="8"/>
      <c r="CI1043" s="8"/>
      <c r="CJ1043" s="8"/>
      <c r="CK1043" s="8"/>
      <c r="CL1043" s="8"/>
      <c r="CM1043" s="8"/>
      <c r="CN1043" s="8"/>
      <c r="CO1043" s="8"/>
      <c r="CP1043" s="8"/>
      <c r="CQ1043" s="8"/>
      <c r="CR1043" s="8"/>
      <c r="CS1043" s="8"/>
      <c r="CT1043" s="8"/>
      <c r="CU1043" s="8"/>
      <c r="CV1043" s="8"/>
      <c r="CW1043" s="8"/>
      <c r="CX1043" s="8"/>
      <c r="CY1043" s="8"/>
      <c r="CZ1043" s="8"/>
    </row>
    <row r="1044" spans="26:104" x14ac:dyDescent="0.35">
      <c r="Z1044" s="8"/>
      <c r="AA1044" s="8"/>
      <c r="AB1044" s="8"/>
      <c r="AC1044" s="8"/>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c r="BL1044" s="8"/>
      <c r="BM1044" s="8"/>
      <c r="BN1044" s="8"/>
      <c r="BO1044" s="8"/>
      <c r="BP1044" s="8"/>
      <c r="BQ1044" s="8"/>
      <c r="BR1044" s="8"/>
      <c r="BS1044" s="8"/>
      <c r="BT1044" s="8"/>
      <c r="BU1044" s="8"/>
      <c r="BV1044" s="8"/>
      <c r="BW1044" s="8"/>
      <c r="BX1044" s="8"/>
      <c r="BY1044" s="8"/>
      <c r="BZ1044" s="8"/>
      <c r="CA1044" s="8"/>
      <c r="CB1044" s="8"/>
      <c r="CC1044" s="8"/>
      <c r="CD1044" s="8"/>
      <c r="CE1044" s="8"/>
      <c r="CF1044" s="8"/>
      <c r="CG1044" s="8"/>
      <c r="CH1044" s="8"/>
      <c r="CI1044" s="8"/>
      <c r="CJ1044" s="8"/>
      <c r="CK1044" s="8"/>
      <c r="CL1044" s="8"/>
      <c r="CM1044" s="8"/>
      <c r="CN1044" s="8"/>
      <c r="CO1044" s="8"/>
      <c r="CP1044" s="8"/>
      <c r="CQ1044" s="8"/>
      <c r="CR1044" s="8"/>
      <c r="CS1044" s="8"/>
      <c r="CT1044" s="8"/>
      <c r="CU1044" s="8"/>
      <c r="CV1044" s="8"/>
      <c r="CW1044" s="8"/>
      <c r="CX1044" s="8"/>
      <c r="CY1044" s="8"/>
      <c r="CZ1044" s="8"/>
    </row>
    <row r="1045" spans="26:104" x14ac:dyDescent="0.35">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c r="BL1045" s="8"/>
      <c r="BM1045" s="8"/>
      <c r="BN1045" s="8"/>
      <c r="BO1045" s="8"/>
      <c r="BP1045" s="8"/>
      <c r="BQ1045" s="8"/>
      <c r="BR1045" s="8"/>
      <c r="BS1045" s="8"/>
      <c r="BT1045" s="8"/>
      <c r="BU1045" s="8"/>
      <c r="BV1045" s="8"/>
      <c r="BW1045" s="8"/>
      <c r="BX1045" s="8"/>
      <c r="BY1045" s="8"/>
      <c r="BZ1045" s="8"/>
      <c r="CA1045" s="8"/>
      <c r="CB1045" s="8"/>
      <c r="CC1045" s="8"/>
      <c r="CD1045" s="8"/>
      <c r="CE1045" s="8"/>
      <c r="CF1045" s="8"/>
      <c r="CG1045" s="8"/>
      <c r="CH1045" s="8"/>
      <c r="CI1045" s="8"/>
      <c r="CJ1045" s="8"/>
      <c r="CK1045" s="8"/>
      <c r="CL1045" s="8"/>
      <c r="CM1045" s="8"/>
      <c r="CN1045" s="8"/>
      <c r="CO1045" s="8"/>
      <c r="CP1045" s="8"/>
      <c r="CQ1045" s="8"/>
      <c r="CR1045" s="8"/>
      <c r="CS1045" s="8"/>
      <c r="CT1045" s="8"/>
      <c r="CU1045" s="8"/>
      <c r="CV1045" s="8"/>
      <c r="CW1045" s="8"/>
      <c r="CX1045" s="8"/>
      <c r="CY1045" s="8"/>
      <c r="CZ1045" s="8"/>
    </row>
    <row r="1046" spans="26:104" x14ac:dyDescent="0.35">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c r="BL1046" s="8"/>
      <c r="BM1046" s="8"/>
      <c r="BN1046" s="8"/>
      <c r="BO1046" s="8"/>
      <c r="BP1046" s="8"/>
      <c r="BQ1046" s="8"/>
      <c r="BR1046" s="8"/>
      <c r="BS1046" s="8"/>
      <c r="BT1046" s="8"/>
      <c r="BU1046" s="8"/>
      <c r="BV1046" s="8"/>
      <c r="BW1046" s="8"/>
      <c r="BX1046" s="8"/>
      <c r="BY1046" s="8"/>
      <c r="BZ1046" s="8"/>
      <c r="CA1046" s="8"/>
      <c r="CB1046" s="8"/>
      <c r="CC1046" s="8"/>
      <c r="CD1046" s="8"/>
      <c r="CE1046" s="8"/>
      <c r="CF1046" s="8"/>
      <c r="CG1046" s="8"/>
      <c r="CH1046" s="8"/>
      <c r="CI1046" s="8"/>
      <c r="CJ1046" s="8"/>
      <c r="CK1046" s="8"/>
      <c r="CL1046" s="8"/>
      <c r="CM1046" s="8"/>
      <c r="CN1046" s="8"/>
      <c r="CO1046" s="8"/>
      <c r="CP1046" s="8"/>
      <c r="CQ1046" s="8"/>
      <c r="CR1046" s="8"/>
      <c r="CS1046" s="8"/>
      <c r="CT1046" s="8"/>
      <c r="CU1046" s="8"/>
      <c r="CV1046" s="8"/>
      <c r="CW1046" s="8"/>
      <c r="CX1046" s="8"/>
      <c r="CY1046" s="8"/>
      <c r="CZ1046" s="8"/>
    </row>
    <row r="1047" spans="26:104" x14ac:dyDescent="0.35">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8"/>
      <c r="BR1047" s="8"/>
      <c r="BS1047" s="8"/>
      <c r="BT1047" s="8"/>
      <c r="BU1047" s="8"/>
      <c r="BV1047" s="8"/>
      <c r="BW1047" s="8"/>
      <c r="BX1047" s="8"/>
      <c r="BY1047" s="8"/>
      <c r="BZ1047" s="8"/>
      <c r="CA1047" s="8"/>
      <c r="CB1047" s="8"/>
      <c r="CC1047" s="8"/>
      <c r="CD1047" s="8"/>
      <c r="CE1047" s="8"/>
      <c r="CF1047" s="8"/>
      <c r="CG1047" s="8"/>
      <c r="CH1047" s="8"/>
      <c r="CI1047" s="8"/>
      <c r="CJ1047" s="8"/>
      <c r="CK1047" s="8"/>
      <c r="CL1047" s="8"/>
      <c r="CM1047" s="8"/>
      <c r="CN1047" s="8"/>
      <c r="CO1047" s="8"/>
      <c r="CP1047" s="8"/>
      <c r="CQ1047" s="8"/>
      <c r="CR1047" s="8"/>
      <c r="CS1047" s="8"/>
      <c r="CT1047" s="8"/>
      <c r="CU1047" s="8"/>
      <c r="CV1047" s="8"/>
      <c r="CW1047" s="8"/>
      <c r="CX1047" s="8"/>
      <c r="CY1047" s="8"/>
      <c r="CZ1047" s="8"/>
    </row>
    <row r="1048" spans="26:104" x14ac:dyDescent="0.35">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8"/>
      <c r="BR1048" s="8"/>
      <c r="BS1048" s="8"/>
      <c r="BT1048" s="8"/>
      <c r="BU1048" s="8"/>
      <c r="BV1048" s="8"/>
      <c r="BW1048" s="8"/>
      <c r="BX1048" s="8"/>
      <c r="BY1048" s="8"/>
      <c r="BZ1048" s="8"/>
      <c r="CA1048" s="8"/>
      <c r="CB1048" s="8"/>
      <c r="CC1048" s="8"/>
      <c r="CD1048" s="8"/>
      <c r="CE1048" s="8"/>
      <c r="CF1048" s="8"/>
      <c r="CG1048" s="8"/>
      <c r="CH1048" s="8"/>
      <c r="CI1048" s="8"/>
      <c r="CJ1048" s="8"/>
      <c r="CK1048" s="8"/>
      <c r="CL1048" s="8"/>
      <c r="CM1048" s="8"/>
      <c r="CN1048" s="8"/>
      <c r="CO1048" s="8"/>
      <c r="CP1048" s="8"/>
      <c r="CQ1048" s="8"/>
      <c r="CR1048" s="8"/>
      <c r="CS1048" s="8"/>
      <c r="CT1048" s="8"/>
      <c r="CU1048" s="8"/>
      <c r="CV1048" s="8"/>
      <c r="CW1048" s="8"/>
      <c r="CX1048" s="8"/>
      <c r="CY1048" s="8"/>
      <c r="CZ1048" s="8"/>
    </row>
    <row r="1049" spans="26:104" x14ac:dyDescent="0.35">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c r="BL1049" s="8"/>
      <c r="BM1049" s="8"/>
      <c r="BN1049" s="8"/>
      <c r="BO1049" s="8"/>
      <c r="BP1049" s="8"/>
      <c r="BQ1049" s="8"/>
      <c r="BR1049" s="8"/>
      <c r="BS1049" s="8"/>
      <c r="BT1049" s="8"/>
      <c r="BU1049" s="8"/>
      <c r="BV1049" s="8"/>
      <c r="BW1049" s="8"/>
      <c r="BX1049" s="8"/>
      <c r="BY1049" s="8"/>
      <c r="BZ1049" s="8"/>
      <c r="CA1049" s="8"/>
      <c r="CB1049" s="8"/>
      <c r="CC1049" s="8"/>
      <c r="CD1049" s="8"/>
      <c r="CE1049" s="8"/>
      <c r="CF1049" s="8"/>
      <c r="CG1049" s="8"/>
      <c r="CH1049" s="8"/>
      <c r="CI1049" s="8"/>
      <c r="CJ1049" s="8"/>
      <c r="CK1049" s="8"/>
      <c r="CL1049" s="8"/>
      <c r="CM1049" s="8"/>
      <c r="CN1049" s="8"/>
      <c r="CO1049" s="8"/>
      <c r="CP1049" s="8"/>
      <c r="CQ1049" s="8"/>
      <c r="CR1049" s="8"/>
      <c r="CS1049" s="8"/>
      <c r="CT1049" s="8"/>
      <c r="CU1049" s="8"/>
      <c r="CV1049" s="8"/>
      <c r="CW1049" s="8"/>
      <c r="CX1049" s="8"/>
      <c r="CY1049" s="8"/>
      <c r="CZ1049" s="8"/>
    </row>
    <row r="1050" spans="26:104" x14ac:dyDescent="0.35">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8"/>
      <c r="BR1050" s="8"/>
      <c r="BS1050" s="8"/>
      <c r="BT1050" s="8"/>
      <c r="BU1050" s="8"/>
      <c r="BV1050" s="8"/>
      <c r="BW1050" s="8"/>
      <c r="BX1050" s="8"/>
      <c r="BY1050" s="8"/>
      <c r="BZ1050" s="8"/>
      <c r="CA1050" s="8"/>
      <c r="CB1050" s="8"/>
      <c r="CC1050" s="8"/>
      <c r="CD1050" s="8"/>
      <c r="CE1050" s="8"/>
      <c r="CF1050" s="8"/>
      <c r="CG1050" s="8"/>
      <c r="CH1050" s="8"/>
      <c r="CI1050" s="8"/>
      <c r="CJ1050" s="8"/>
      <c r="CK1050" s="8"/>
      <c r="CL1050" s="8"/>
      <c r="CM1050" s="8"/>
      <c r="CN1050" s="8"/>
      <c r="CO1050" s="8"/>
      <c r="CP1050" s="8"/>
      <c r="CQ1050" s="8"/>
      <c r="CR1050" s="8"/>
      <c r="CS1050" s="8"/>
      <c r="CT1050" s="8"/>
      <c r="CU1050" s="8"/>
      <c r="CV1050" s="8"/>
      <c r="CW1050" s="8"/>
      <c r="CX1050" s="8"/>
      <c r="CY1050" s="8"/>
      <c r="CZ1050" s="8"/>
    </row>
    <row r="1051" spans="26:104" x14ac:dyDescent="0.35">
      <c r="Z1051" s="8"/>
      <c r="AA1051" s="8"/>
      <c r="AB1051" s="8"/>
      <c r="AC1051" s="8"/>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c r="BL1051" s="8"/>
      <c r="BM1051" s="8"/>
      <c r="BN1051" s="8"/>
      <c r="BO1051" s="8"/>
      <c r="BP1051" s="8"/>
      <c r="BQ1051" s="8"/>
      <c r="BR1051" s="8"/>
      <c r="BS1051" s="8"/>
      <c r="BT1051" s="8"/>
      <c r="BU1051" s="8"/>
      <c r="BV1051" s="8"/>
      <c r="BW1051" s="8"/>
      <c r="BX1051" s="8"/>
      <c r="BY1051" s="8"/>
      <c r="BZ1051" s="8"/>
      <c r="CA1051" s="8"/>
      <c r="CB1051" s="8"/>
      <c r="CC1051" s="8"/>
      <c r="CD1051" s="8"/>
      <c r="CE1051" s="8"/>
      <c r="CF1051" s="8"/>
      <c r="CG1051" s="8"/>
      <c r="CH1051" s="8"/>
      <c r="CI1051" s="8"/>
      <c r="CJ1051" s="8"/>
      <c r="CK1051" s="8"/>
      <c r="CL1051" s="8"/>
      <c r="CM1051" s="8"/>
      <c r="CN1051" s="8"/>
      <c r="CO1051" s="8"/>
      <c r="CP1051" s="8"/>
      <c r="CQ1051" s="8"/>
      <c r="CR1051" s="8"/>
      <c r="CS1051" s="8"/>
      <c r="CT1051" s="8"/>
      <c r="CU1051" s="8"/>
      <c r="CV1051" s="8"/>
      <c r="CW1051" s="8"/>
      <c r="CX1051" s="8"/>
      <c r="CY1051" s="8"/>
      <c r="CZ1051" s="8"/>
    </row>
    <row r="1052" spans="26:104" x14ac:dyDescent="0.35">
      <c r="Z1052" s="8"/>
      <c r="AA1052" s="8"/>
      <c r="AB1052" s="8"/>
      <c r="AC1052" s="8"/>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c r="BL1052" s="8"/>
      <c r="BM1052" s="8"/>
      <c r="BN1052" s="8"/>
      <c r="BO1052" s="8"/>
      <c r="BP1052" s="8"/>
      <c r="BQ1052" s="8"/>
      <c r="BR1052" s="8"/>
      <c r="BS1052" s="8"/>
      <c r="BT1052" s="8"/>
      <c r="BU1052" s="8"/>
      <c r="BV1052" s="8"/>
      <c r="BW1052" s="8"/>
      <c r="BX1052" s="8"/>
      <c r="BY1052" s="8"/>
      <c r="BZ1052" s="8"/>
      <c r="CA1052" s="8"/>
      <c r="CB1052" s="8"/>
      <c r="CC1052" s="8"/>
      <c r="CD1052" s="8"/>
      <c r="CE1052" s="8"/>
      <c r="CF1052" s="8"/>
      <c r="CG1052" s="8"/>
      <c r="CH1052" s="8"/>
      <c r="CI1052" s="8"/>
      <c r="CJ1052" s="8"/>
      <c r="CK1052" s="8"/>
      <c r="CL1052" s="8"/>
      <c r="CM1052" s="8"/>
      <c r="CN1052" s="8"/>
      <c r="CO1052" s="8"/>
      <c r="CP1052" s="8"/>
      <c r="CQ1052" s="8"/>
      <c r="CR1052" s="8"/>
      <c r="CS1052" s="8"/>
      <c r="CT1052" s="8"/>
      <c r="CU1052" s="8"/>
      <c r="CV1052" s="8"/>
      <c r="CW1052" s="8"/>
      <c r="CX1052" s="8"/>
      <c r="CY1052" s="8"/>
      <c r="CZ1052" s="8"/>
    </row>
    <row r="1053" spans="26:104" x14ac:dyDescent="0.35">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c r="BL1053" s="8"/>
      <c r="BM1053" s="8"/>
      <c r="BN1053" s="8"/>
      <c r="BO1053" s="8"/>
      <c r="BP1053" s="8"/>
      <c r="BQ1053" s="8"/>
      <c r="BR1053" s="8"/>
      <c r="BS1053" s="8"/>
      <c r="BT1053" s="8"/>
      <c r="BU1053" s="8"/>
      <c r="BV1053" s="8"/>
      <c r="BW1053" s="8"/>
      <c r="BX1053" s="8"/>
      <c r="BY1053" s="8"/>
      <c r="BZ1053" s="8"/>
      <c r="CA1053" s="8"/>
      <c r="CB1053" s="8"/>
      <c r="CC1053" s="8"/>
      <c r="CD1053" s="8"/>
      <c r="CE1053" s="8"/>
      <c r="CF1053" s="8"/>
      <c r="CG1053" s="8"/>
      <c r="CH1053" s="8"/>
      <c r="CI1053" s="8"/>
      <c r="CJ1053" s="8"/>
      <c r="CK1053" s="8"/>
      <c r="CL1053" s="8"/>
      <c r="CM1053" s="8"/>
      <c r="CN1053" s="8"/>
      <c r="CO1053" s="8"/>
      <c r="CP1053" s="8"/>
      <c r="CQ1053" s="8"/>
      <c r="CR1053" s="8"/>
      <c r="CS1053" s="8"/>
      <c r="CT1053" s="8"/>
      <c r="CU1053" s="8"/>
      <c r="CV1053" s="8"/>
      <c r="CW1053" s="8"/>
      <c r="CX1053" s="8"/>
      <c r="CY1053" s="8"/>
      <c r="CZ1053" s="8"/>
    </row>
    <row r="1054" spans="26:104" x14ac:dyDescent="0.35">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c r="BR1054" s="8"/>
      <c r="BS1054" s="8"/>
      <c r="BT1054" s="8"/>
      <c r="BU1054" s="8"/>
      <c r="BV1054" s="8"/>
      <c r="BW1054" s="8"/>
      <c r="BX1054" s="8"/>
      <c r="BY1054" s="8"/>
      <c r="BZ1054" s="8"/>
      <c r="CA1054" s="8"/>
      <c r="CB1054" s="8"/>
      <c r="CC1054" s="8"/>
      <c r="CD1054" s="8"/>
      <c r="CE1054" s="8"/>
      <c r="CF1054" s="8"/>
      <c r="CG1054" s="8"/>
      <c r="CH1054" s="8"/>
      <c r="CI1054" s="8"/>
      <c r="CJ1054" s="8"/>
      <c r="CK1054" s="8"/>
      <c r="CL1054" s="8"/>
      <c r="CM1054" s="8"/>
      <c r="CN1054" s="8"/>
      <c r="CO1054" s="8"/>
      <c r="CP1054" s="8"/>
      <c r="CQ1054" s="8"/>
      <c r="CR1054" s="8"/>
      <c r="CS1054" s="8"/>
      <c r="CT1054" s="8"/>
      <c r="CU1054" s="8"/>
      <c r="CV1054" s="8"/>
      <c r="CW1054" s="8"/>
      <c r="CX1054" s="8"/>
      <c r="CY1054" s="8"/>
      <c r="CZ1054" s="8"/>
    </row>
    <row r="1055" spans="26:104" x14ac:dyDescent="0.35">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c r="BL1055" s="8"/>
      <c r="BM1055" s="8"/>
      <c r="BN1055" s="8"/>
      <c r="BO1055" s="8"/>
      <c r="BP1055" s="8"/>
      <c r="BQ1055" s="8"/>
      <c r="BR1055" s="8"/>
      <c r="BS1055" s="8"/>
      <c r="BT1055" s="8"/>
      <c r="BU1055" s="8"/>
      <c r="BV1055" s="8"/>
      <c r="BW1055" s="8"/>
      <c r="BX1055" s="8"/>
      <c r="BY1055" s="8"/>
      <c r="BZ1055" s="8"/>
      <c r="CA1055" s="8"/>
      <c r="CB1055" s="8"/>
      <c r="CC1055" s="8"/>
      <c r="CD1055" s="8"/>
      <c r="CE1055" s="8"/>
      <c r="CF1055" s="8"/>
      <c r="CG1055" s="8"/>
      <c r="CH1055" s="8"/>
      <c r="CI1055" s="8"/>
      <c r="CJ1055" s="8"/>
      <c r="CK1055" s="8"/>
      <c r="CL1055" s="8"/>
      <c r="CM1055" s="8"/>
      <c r="CN1055" s="8"/>
      <c r="CO1055" s="8"/>
      <c r="CP1055" s="8"/>
      <c r="CQ1055" s="8"/>
      <c r="CR1055" s="8"/>
      <c r="CS1055" s="8"/>
      <c r="CT1055" s="8"/>
      <c r="CU1055" s="8"/>
      <c r="CV1055" s="8"/>
      <c r="CW1055" s="8"/>
      <c r="CX1055" s="8"/>
      <c r="CY1055" s="8"/>
      <c r="CZ1055" s="8"/>
    </row>
    <row r="1056" spans="26:104" x14ac:dyDescent="0.35">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c r="BL1056" s="8"/>
      <c r="BM1056" s="8"/>
      <c r="BN1056" s="8"/>
      <c r="BO1056" s="8"/>
      <c r="BP1056" s="8"/>
      <c r="BQ1056" s="8"/>
      <c r="BR1056" s="8"/>
      <c r="BS1056" s="8"/>
      <c r="BT1056" s="8"/>
      <c r="BU1056" s="8"/>
      <c r="BV1056" s="8"/>
      <c r="BW1056" s="8"/>
      <c r="BX1056" s="8"/>
      <c r="BY1056" s="8"/>
      <c r="BZ1056" s="8"/>
      <c r="CA1056" s="8"/>
      <c r="CB1056" s="8"/>
      <c r="CC1056" s="8"/>
      <c r="CD1056" s="8"/>
      <c r="CE1056" s="8"/>
      <c r="CF1056" s="8"/>
      <c r="CG1056" s="8"/>
      <c r="CH1056" s="8"/>
      <c r="CI1056" s="8"/>
      <c r="CJ1056" s="8"/>
      <c r="CK1056" s="8"/>
      <c r="CL1056" s="8"/>
      <c r="CM1056" s="8"/>
      <c r="CN1056" s="8"/>
      <c r="CO1056" s="8"/>
      <c r="CP1056" s="8"/>
      <c r="CQ1056" s="8"/>
      <c r="CR1056" s="8"/>
      <c r="CS1056" s="8"/>
      <c r="CT1056" s="8"/>
      <c r="CU1056" s="8"/>
      <c r="CV1056" s="8"/>
      <c r="CW1056" s="8"/>
      <c r="CX1056" s="8"/>
      <c r="CY1056" s="8"/>
      <c r="CZ1056" s="8"/>
    </row>
    <row r="1057" spans="26:104" x14ac:dyDescent="0.35">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c r="BR1057" s="8"/>
      <c r="BS1057" s="8"/>
      <c r="BT1057" s="8"/>
      <c r="BU1057" s="8"/>
      <c r="BV1057" s="8"/>
      <c r="BW1057" s="8"/>
      <c r="BX1057" s="8"/>
      <c r="BY1057" s="8"/>
      <c r="BZ1057" s="8"/>
      <c r="CA1057" s="8"/>
      <c r="CB1057" s="8"/>
      <c r="CC1057" s="8"/>
      <c r="CD1057" s="8"/>
      <c r="CE1057" s="8"/>
      <c r="CF1057" s="8"/>
      <c r="CG1057" s="8"/>
      <c r="CH1057" s="8"/>
      <c r="CI1057" s="8"/>
      <c r="CJ1057" s="8"/>
      <c r="CK1057" s="8"/>
      <c r="CL1057" s="8"/>
      <c r="CM1057" s="8"/>
      <c r="CN1057" s="8"/>
      <c r="CO1057" s="8"/>
      <c r="CP1057" s="8"/>
      <c r="CQ1057" s="8"/>
      <c r="CR1057" s="8"/>
      <c r="CS1057" s="8"/>
      <c r="CT1057" s="8"/>
      <c r="CU1057" s="8"/>
      <c r="CV1057" s="8"/>
      <c r="CW1057" s="8"/>
      <c r="CX1057" s="8"/>
      <c r="CY1057" s="8"/>
      <c r="CZ1057" s="8"/>
    </row>
    <row r="1058" spans="26:104" x14ac:dyDescent="0.35">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8"/>
      <c r="BR1058" s="8"/>
      <c r="BS1058" s="8"/>
      <c r="BT1058" s="8"/>
      <c r="BU1058" s="8"/>
      <c r="BV1058" s="8"/>
      <c r="BW1058" s="8"/>
      <c r="BX1058" s="8"/>
      <c r="BY1058" s="8"/>
      <c r="BZ1058" s="8"/>
      <c r="CA1058" s="8"/>
      <c r="CB1058" s="8"/>
      <c r="CC1058" s="8"/>
      <c r="CD1058" s="8"/>
      <c r="CE1058" s="8"/>
      <c r="CF1058" s="8"/>
      <c r="CG1058" s="8"/>
      <c r="CH1058" s="8"/>
      <c r="CI1058" s="8"/>
      <c r="CJ1058" s="8"/>
      <c r="CK1058" s="8"/>
      <c r="CL1058" s="8"/>
      <c r="CM1058" s="8"/>
      <c r="CN1058" s="8"/>
      <c r="CO1058" s="8"/>
      <c r="CP1058" s="8"/>
      <c r="CQ1058" s="8"/>
      <c r="CR1058" s="8"/>
      <c r="CS1058" s="8"/>
      <c r="CT1058" s="8"/>
      <c r="CU1058" s="8"/>
      <c r="CV1058" s="8"/>
      <c r="CW1058" s="8"/>
      <c r="CX1058" s="8"/>
      <c r="CY1058" s="8"/>
      <c r="CZ1058" s="8"/>
    </row>
    <row r="1059" spans="26:104" x14ac:dyDescent="0.35">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8"/>
      <c r="BR1059" s="8"/>
      <c r="BS1059" s="8"/>
      <c r="BT1059" s="8"/>
      <c r="BU1059" s="8"/>
      <c r="BV1059" s="8"/>
      <c r="BW1059" s="8"/>
      <c r="BX1059" s="8"/>
      <c r="BY1059" s="8"/>
      <c r="BZ1059" s="8"/>
      <c r="CA1059" s="8"/>
      <c r="CB1059" s="8"/>
      <c r="CC1059" s="8"/>
      <c r="CD1059" s="8"/>
      <c r="CE1059" s="8"/>
      <c r="CF1059" s="8"/>
      <c r="CG1059" s="8"/>
      <c r="CH1059" s="8"/>
      <c r="CI1059" s="8"/>
      <c r="CJ1059" s="8"/>
      <c r="CK1059" s="8"/>
      <c r="CL1059" s="8"/>
      <c r="CM1059" s="8"/>
      <c r="CN1059" s="8"/>
      <c r="CO1059" s="8"/>
      <c r="CP1059" s="8"/>
      <c r="CQ1059" s="8"/>
      <c r="CR1059" s="8"/>
      <c r="CS1059" s="8"/>
      <c r="CT1059" s="8"/>
      <c r="CU1059" s="8"/>
      <c r="CV1059" s="8"/>
      <c r="CW1059" s="8"/>
      <c r="CX1059" s="8"/>
      <c r="CY1059" s="8"/>
      <c r="CZ1059" s="8"/>
    </row>
    <row r="1060" spans="26:104" x14ac:dyDescent="0.35">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c r="BL1060" s="8"/>
      <c r="BM1060" s="8"/>
      <c r="BN1060" s="8"/>
      <c r="BO1060" s="8"/>
      <c r="BP1060" s="8"/>
      <c r="BQ1060" s="8"/>
      <c r="BR1060" s="8"/>
      <c r="BS1060" s="8"/>
      <c r="BT1060" s="8"/>
      <c r="BU1060" s="8"/>
      <c r="BV1060" s="8"/>
      <c r="BW1060" s="8"/>
      <c r="BX1060" s="8"/>
      <c r="BY1060" s="8"/>
      <c r="BZ1060" s="8"/>
      <c r="CA1060" s="8"/>
      <c r="CB1060" s="8"/>
      <c r="CC1060" s="8"/>
      <c r="CD1060" s="8"/>
      <c r="CE1060" s="8"/>
      <c r="CF1060" s="8"/>
      <c r="CG1060" s="8"/>
      <c r="CH1060" s="8"/>
      <c r="CI1060" s="8"/>
      <c r="CJ1060" s="8"/>
      <c r="CK1060" s="8"/>
      <c r="CL1060" s="8"/>
      <c r="CM1060" s="8"/>
      <c r="CN1060" s="8"/>
      <c r="CO1060" s="8"/>
      <c r="CP1060" s="8"/>
      <c r="CQ1060" s="8"/>
      <c r="CR1060" s="8"/>
      <c r="CS1060" s="8"/>
      <c r="CT1060" s="8"/>
      <c r="CU1060" s="8"/>
      <c r="CV1060" s="8"/>
      <c r="CW1060" s="8"/>
      <c r="CX1060" s="8"/>
      <c r="CY1060" s="8"/>
      <c r="CZ1060" s="8"/>
    </row>
    <row r="1061" spans="26:104" x14ac:dyDescent="0.35">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c r="BL1061" s="8"/>
      <c r="BM1061" s="8"/>
      <c r="BN1061" s="8"/>
      <c r="BO1061" s="8"/>
      <c r="BP1061" s="8"/>
      <c r="BQ1061" s="8"/>
      <c r="BR1061" s="8"/>
      <c r="BS1061" s="8"/>
      <c r="BT1061" s="8"/>
      <c r="BU1061" s="8"/>
      <c r="BV1061" s="8"/>
      <c r="BW1061" s="8"/>
      <c r="BX1061" s="8"/>
      <c r="BY1061" s="8"/>
      <c r="BZ1061" s="8"/>
      <c r="CA1061" s="8"/>
      <c r="CB1061" s="8"/>
      <c r="CC1061" s="8"/>
      <c r="CD1061" s="8"/>
      <c r="CE1061" s="8"/>
      <c r="CF1061" s="8"/>
      <c r="CG1061" s="8"/>
      <c r="CH1061" s="8"/>
      <c r="CI1061" s="8"/>
      <c r="CJ1061" s="8"/>
      <c r="CK1061" s="8"/>
      <c r="CL1061" s="8"/>
      <c r="CM1061" s="8"/>
      <c r="CN1061" s="8"/>
      <c r="CO1061" s="8"/>
      <c r="CP1061" s="8"/>
      <c r="CQ1061" s="8"/>
      <c r="CR1061" s="8"/>
      <c r="CS1061" s="8"/>
      <c r="CT1061" s="8"/>
      <c r="CU1061" s="8"/>
      <c r="CV1061" s="8"/>
      <c r="CW1061" s="8"/>
      <c r="CX1061" s="8"/>
      <c r="CY1061" s="8"/>
      <c r="CZ1061" s="8"/>
    </row>
    <row r="1062" spans="26:104" x14ac:dyDescent="0.35">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8"/>
      <c r="BR1062" s="8"/>
      <c r="BS1062" s="8"/>
      <c r="BT1062" s="8"/>
      <c r="BU1062" s="8"/>
      <c r="BV1062" s="8"/>
      <c r="BW1062" s="8"/>
      <c r="BX1062" s="8"/>
      <c r="BY1062" s="8"/>
      <c r="BZ1062" s="8"/>
      <c r="CA1062" s="8"/>
      <c r="CB1062" s="8"/>
      <c r="CC1062" s="8"/>
      <c r="CD1062" s="8"/>
      <c r="CE1062" s="8"/>
      <c r="CF1062" s="8"/>
      <c r="CG1062" s="8"/>
      <c r="CH1062" s="8"/>
      <c r="CI1062" s="8"/>
      <c r="CJ1062" s="8"/>
      <c r="CK1062" s="8"/>
      <c r="CL1062" s="8"/>
      <c r="CM1062" s="8"/>
      <c r="CN1062" s="8"/>
      <c r="CO1062" s="8"/>
      <c r="CP1062" s="8"/>
      <c r="CQ1062" s="8"/>
      <c r="CR1062" s="8"/>
      <c r="CS1062" s="8"/>
      <c r="CT1062" s="8"/>
      <c r="CU1062" s="8"/>
      <c r="CV1062" s="8"/>
      <c r="CW1062" s="8"/>
      <c r="CX1062" s="8"/>
      <c r="CY1062" s="8"/>
      <c r="CZ1062" s="8"/>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30 Days Logical Raw Data</vt:lpstr>
      <vt:lpstr>Cleaned Dataset&amp;MIS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jintu bharadwaj</cp:lastModifiedBy>
  <dcterms:created xsi:type="dcterms:W3CDTF">2026-05-18T10:59:29Z</dcterms:created>
  <dcterms:modified xsi:type="dcterms:W3CDTF">2026-05-22T04:43:08Z</dcterms:modified>
</cp:coreProperties>
</file>